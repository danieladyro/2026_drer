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conservation-my.sharepoint.com/personal/hhawkins_conservation_org/Documents/1RESEARCH/!SPUN/data and code/"/>
    </mc:Choice>
  </mc:AlternateContent>
  <xr:revisionPtr revIDLastSave="68" documentId="13_ncr:1_{312FF2B4-1242-4718-89CB-8B2A582FCCDA}" xr6:coauthVersionLast="47" xr6:coauthVersionMax="47" xr10:uidLastSave="{E44708DB-ABF7-4782-A96D-DA903D53D514}"/>
  <bookViews>
    <workbookView xWindow="-96" yWindow="-96" windowWidth="23232" windowHeight="13872" xr2:uid="{00000000-000D-0000-FFFF-FFFF00000000}"/>
  </bookViews>
  <sheets>
    <sheet name="scopus1" sheetId="1" r:id="rId1"/>
    <sheet name="meta-data" sheetId="2" r:id="rId2"/>
  </sheets>
  <definedNames>
    <definedName name="_xlnm._FilterDatabase" localSheetId="0" hidden="1">scopus1!$A$1:$AZ$1012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J1011" i="1" l="1"/>
  <c r="AK1011" i="1"/>
  <c r="AJ984" i="1"/>
  <c r="AT914" i="1" l="1"/>
  <c r="AK974" i="1"/>
  <c r="AK973" i="1"/>
  <c r="AK972" i="1"/>
  <c r="AK914" i="1"/>
  <c r="AT974" i="1"/>
  <c r="AT973" i="1"/>
  <c r="AT972" i="1"/>
  <c r="AV974" i="1"/>
  <c r="AV973" i="1"/>
  <c r="AV972" i="1"/>
  <c r="AV914" i="1"/>
  <c r="AT913" i="1"/>
  <c r="AT890" i="1"/>
  <c r="AJ852" i="1"/>
  <c r="AJ851" i="1"/>
  <c r="AJ850" i="1"/>
  <c r="AJ849" i="1"/>
  <c r="AJ848" i="1"/>
  <c r="AJ847" i="1"/>
  <c r="AJ846" i="1"/>
  <c r="AJ845" i="1"/>
  <c r="AJ844" i="1"/>
  <c r="AJ835" i="1"/>
  <c r="AK847" i="1"/>
  <c r="AK846" i="1"/>
  <c r="AK845" i="1"/>
  <c r="AK844" i="1"/>
  <c r="AK835" i="1"/>
  <c r="AK708" i="1" l="1"/>
  <c r="AU708" i="1"/>
  <c r="AT708" i="1"/>
  <c r="AK635" i="1"/>
  <c r="AT635" i="1"/>
  <c r="AU635" i="1"/>
  <c r="AV635" i="1"/>
  <c r="AT137" i="1" l="1"/>
  <c r="AT136" i="1"/>
  <c r="AT135" i="1"/>
  <c r="AT134" i="1"/>
  <c r="AT133" i="1"/>
  <c r="AT132" i="1"/>
  <c r="AT131" i="1"/>
  <c r="AT130" i="1"/>
  <c r="AT129" i="1"/>
  <c r="AT128" i="1"/>
  <c r="AT127" i="1"/>
  <c r="AT126" i="1"/>
  <c r="AT125" i="1"/>
  <c r="AT124" i="1"/>
  <c r="AU137" i="1"/>
  <c r="AU136" i="1"/>
  <c r="AU135" i="1"/>
  <c r="AU134" i="1"/>
  <c r="AU133" i="1"/>
  <c r="AU132" i="1"/>
  <c r="AU131" i="1"/>
  <c r="AU130" i="1"/>
  <c r="AU129" i="1"/>
  <c r="AU128" i="1"/>
  <c r="AU127" i="1"/>
  <c r="AU126" i="1"/>
  <c r="AU125" i="1"/>
  <c r="AU124" i="1"/>
  <c r="AJ137" i="1"/>
  <c r="AJ136" i="1"/>
  <c r="AJ135" i="1"/>
  <c r="AJ134" i="1"/>
  <c r="AJ133" i="1"/>
  <c r="AJ132" i="1"/>
  <c r="AJ131" i="1"/>
  <c r="AJ130" i="1"/>
  <c r="AJ129" i="1"/>
  <c r="AJ128" i="1"/>
  <c r="AJ127" i="1"/>
  <c r="AJ126" i="1"/>
  <c r="AJ125" i="1"/>
  <c r="AJ124" i="1"/>
  <c r="AT140" i="1"/>
  <c r="AK140" i="1"/>
  <c r="AK139" i="1"/>
  <c r="AT139" i="1"/>
  <c r="AJ37" i="1"/>
  <c r="AT38" i="1"/>
  <c r="AT37" i="1"/>
  <c r="AV75" i="1"/>
  <c r="AV74" i="1"/>
  <c r="AV73" i="1"/>
  <c r="AV170" i="1"/>
  <c r="AV169" i="1"/>
  <c r="AV168" i="1"/>
  <c r="AV167" i="1"/>
  <c r="AV166" i="1"/>
  <c r="AV165" i="1"/>
  <c r="AV164" i="1"/>
  <c r="AV163" i="1"/>
  <c r="AV162" i="1"/>
  <c r="AV161" i="1"/>
  <c r="AV123" i="1"/>
  <c r="AV122" i="1"/>
  <c r="AV121" i="1"/>
  <c r="AV56" i="1"/>
  <c r="AV55" i="1"/>
  <c r="AV54" i="1"/>
  <c r="AV53" i="1"/>
  <c r="AV52" i="1"/>
  <c r="AV51" i="1"/>
  <c r="AV119" i="1"/>
  <c r="AV118" i="1"/>
  <c r="AV41" i="1"/>
  <c r="AV40" i="1"/>
  <c r="AV36" i="1"/>
  <c r="AV81" i="1"/>
  <c r="AV80" i="1"/>
  <c r="AV79" i="1"/>
  <c r="AV78" i="1"/>
  <c r="AT96" i="1"/>
  <c r="AJ96" i="1"/>
  <c r="AT95" i="1"/>
  <c r="AJ95" i="1"/>
  <c r="AT94" i="1"/>
  <c r="AJ94" i="1"/>
  <c r="AT93" i="1"/>
  <c r="AJ93" i="1"/>
  <c r="AT92" i="1"/>
  <c r="AJ92" i="1"/>
  <c r="AT91" i="1"/>
  <c r="AJ91" i="1"/>
  <c r="AT90" i="1"/>
  <c r="AJ90" i="1"/>
  <c r="AT89" i="1"/>
  <c r="AJ89" i="1"/>
  <c r="AT88" i="1"/>
  <c r="AJ88" i="1"/>
  <c r="AT87" i="1"/>
  <c r="AJ87" i="1"/>
  <c r="AT86" i="1"/>
  <c r="AJ86" i="1"/>
  <c r="AT85" i="1"/>
  <c r="AJ85" i="1"/>
  <c r="AT84" i="1"/>
  <c r="AJ84" i="1"/>
  <c r="AT83" i="1"/>
  <c r="AJ83" i="1"/>
  <c r="AK137" i="1"/>
  <c r="AK136" i="1"/>
  <c r="AK135" i="1"/>
  <c r="AK134" i="1"/>
  <c r="AK133" i="1"/>
  <c r="AK132" i="1"/>
  <c r="AK131" i="1"/>
  <c r="AK130" i="1"/>
  <c r="AK129" i="1"/>
  <c r="AK128" i="1"/>
  <c r="AK127" i="1"/>
  <c r="AK126" i="1"/>
  <c r="AK125" i="1"/>
  <c r="AK124" i="1"/>
  <c r="AK119" i="1"/>
  <c r="AK118" i="1"/>
  <c r="AK120" i="1"/>
  <c r="AK149" i="1"/>
  <c r="AT141" i="1"/>
  <c r="AK141" i="1"/>
  <c r="AU120" i="1"/>
  <c r="AT120" i="1"/>
  <c r="AT103" i="1"/>
  <c r="AJ102" i="1"/>
  <c r="AJ101" i="1"/>
  <c r="AJ100" i="1"/>
  <c r="AJ99" i="1"/>
  <c r="AT102" i="1"/>
  <c r="AT101" i="1"/>
  <c r="AT100" i="1"/>
  <c r="AT99" i="1"/>
  <c r="AT155" i="1"/>
  <c r="AT154" i="1"/>
  <c r="AV155" i="1"/>
  <c r="AV154" i="1"/>
  <c r="AT67" i="1"/>
  <c r="AT66" i="1"/>
  <c r="AT68" i="1"/>
  <c r="AJ79" i="1"/>
  <c r="AK79" i="1"/>
  <c r="AK78" i="1"/>
  <c r="AJ78" i="1"/>
  <c r="AV108" i="1"/>
  <c r="AK205" i="1"/>
  <c r="AK204" i="1"/>
  <c r="AK203" i="1"/>
  <c r="AK202" i="1"/>
  <c r="AK201" i="1"/>
  <c r="AK200" i="1"/>
  <c r="AK199" i="1"/>
  <c r="AK198" i="1"/>
  <c r="AK197" i="1"/>
  <c r="AK196" i="1"/>
  <c r="AK195" i="1"/>
  <c r="AK194" i="1"/>
  <c r="AK193" i="1"/>
  <c r="AK192" i="1"/>
  <c r="AK191" i="1"/>
  <c r="AK190" i="1"/>
  <c r="AK189" i="1"/>
  <c r="AK188" i="1"/>
  <c r="AK187" i="1"/>
  <c r="AJ187" i="1"/>
  <c r="AK186" i="1"/>
  <c r="AJ186" i="1"/>
  <c r="AK185" i="1"/>
  <c r="AJ185" i="1"/>
  <c r="AK184" i="1"/>
  <c r="AJ184" i="1"/>
  <c r="AK183" i="1"/>
  <c r="AJ183" i="1"/>
  <c r="AK182" i="1"/>
  <c r="AJ182" i="1"/>
  <c r="AK181" i="1"/>
  <c r="AJ181" i="1"/>
  <c r="AK180" i="1"/>
  <c r="AJ180" i="1"/>
  <c r="AK22" i="1"/>
  <c r="AK21" i="1"/>
  <c r="AK20" i="1"/>
  <c r="AK19" i="1"/>
  <c r="AK18" i="1"/>
  <c r="AK17" i="1"/>
  <c r="AK16" i="1"/>
  <c r="AK15" i="1"/>
  <c r="AK14" i="1"/>
  <c r="AK13" i="1"/>
  <c r="AJ11" i="1"/>
  <c r="AJ12" i="1"/>
  <c r="AT7" i="1" l="1"/>
  <c r="AR7" i="1"/>
  <c r="AT2" i="1" l="1"/>
  <c r="AJ5" i="1" l="1"/>
  <c r="AJ4" i="1" l="1"/>
  <c r="AJ3" i="1" l="1"/>
  <c r="AO3" i="1"/>
  <c r="AW179" i="1"/>
  <c r="AV179" i="1"/>
  <c r="AW178" i="1"/>
  <c r="AV178" i="1"/>
  <c r="AW177" i="1"/>
  <c r="AV177" i="1"/>
  <c r="AW98" i="1"/>
  <c r="AV98" i="1"/>
  <c r="AW97" i="1"/>
  <c r="AV97" i="1"/>
</calcChain>
</file>

<file path=xl/sharedStrings.xml><?xml version="1.0" encoding="utf-8"?>
<sst xmlns="http://schemas.openxmlformats.org/spreadsheetml/2006/main" count="20131" uniqueCount="5768">
  <si>
    <t>Authors</t>
  </si>
  <si>
    <t>Title</t>
  </si>
  <si>
    <t>Year</t>
  </si>
  <si>
    <t>Source title</t>
  </si>
  <si>
    <t>Volume</t>
  </si>
  <si>
    <t>Issue</t>
  </si>
  <si>
    <t>Art. No.</t>
  </si>
  <si>
    <t>Page start</t>
  </si>
  <si>
    <t>Page end</t>
  </si>
  <si>
    <t>Page count</t>
  </si>
  <si>
    <t>DOI</t>
  </si>
  <si>
    <t>Link</t>
  </si>
  <si>
    <t>Abstract</t>
  </si>
  <si>
    <t>Author Keywords</t>
  </si>
  <si>
    <t>Document Type</t>
  </si>
  <si>
    <t>Source</t>
  </si>
  <si>
    <t>include</t>
  </si>
  <si>
    <t>diversity_ecology</t>
  </si>
  <si>
    <t>new_methods</t>
  </si>
  <si>
    <t>Jin J., Krohn C., Franks A.E., Wang X., Wood J.L., Petrovski S., McCaskill M., Batinovic S., Xie Z., Tang C.</t>
  </si>
  <si>
    <t>Elevated atmospheric CO2 alters the microbial community composition and metabolic potential to mineralize organic phosphorus in the rhizosphere of wheat</t>
  </si>
  <si>
    <t>Microbiome</t>
  </si>
  <si>
    <t>10.1186/s40168-021-01203-w</t>
  </si>
  <si>
    <t>https://www.scopus.com/inward/record.uri?eid=2-s2.0-85123590530&amp;doi=10.1186%2fs40168-021-01203-w&amp;partnerID=40&amp;md5=b6c0f9f5bc881bed3e49d2f85feb7e11</t>
  </si>
  <si>
    <t>Background: Understanding how elevated atmospheric CO2 (eCO2) impacts on phosphorus (P) transformation in plant rhizosphere is critical for maintaining ecological sustainability in response to climate change, especially in agricultural systems where soil P availability is low. Methods: This study used rhizoboxes to physically separate rhizosphere regions (plant root-soil interface) into 1.5-mm segments. Wheat plants were grown in rhizoboxes under eCO2 (800 ppm) and ambient CO2 (400 ppm) in two farming soils, Chromosol and Vertosol, supplemented with phytate (organic P). Photosynthetic carbon flow in the plant-soil continuum was traced with 13CO2 labeling. Amplicon sequencing was performed on the rhizosphere-associated microbial community in the root-growth zone, and 1.5 mm and 3 mm away from the root. Results: Elevated CO2 accelerated the mineralization of phytate in the rhizosphere zones, which corresponded with increases in plant-derived 13C enrichment and the relative abundances of discreet phylogenetic clades containing Bacteroidetes and Gemmatimonadetes in the bacterial community, and Funneliformis affiliated to arbuscular mycorrhizas in the fungal community. Although the amplicon sequence variants (ASVs) associated the stimulation of phytate mineralization under eCO2 differed between the two soils, these ASVs belonged to the same phyla associated with phytase and phosphatase production. The symbiotic mycorrhizas in the rhizosphere of wheat under eCO2 benefited from increased plant C supply and increased P access from soil. Further supportive evidence was the eCO2-induced increase in the genetic pool expressing the pentose phosphate pathway, which is the central pathway for biosynthesis of RNA/DNA precursors. Conclusions: The results suggested that an increased belowground carbon flow under eCO2 stimulated bacterial growth, changing community composition in favor of phylotypes capable of degrading aromatic P compounds. It is proposed that energy investments by bacteria into anabolic processes increase under eCO2 to level microbial P-use efficiencies and that synergies with symbiotic mycorrhizas further enhance the competition for and mineralization of organic P. [MediaObject not available: see fulltext.]. © 2022, The Author(s).</t>
  </si>
  <si>
    <t>Climate change; Metabolic pathway; Microbial phosphorus; Microbial phylotypes; Phytate mineralization; Rhizobox</t>
  </si>
  <si>
    <t>Article</t>
  </si>
  <si>
    <t>Scopus</t>
  </si>
  <si>
    <t>n</t>
  </si>
  <si>
    <t>Forczek S.T., Bukovská P., Püschel D., Janoušková M., Blažková A., Jansa J.</t>
  </si>
  <si>
    <t>Drought rearranges preferential carbon allocation to arbuscular mycorrhizal community members co-inhabiting roots of Medicago truncatula</t>
  </si>
  <si>
    <t>Environmental and Experimental Botany</t>
  </si>
  <si>
    <t>10.1016/j.envexpbot.2022.104897</t>
  </si>
  <si>
    <t>https://www.scopus.com/inward/record.uri?eid=2-s2.0-85129776348&amp;doi=10.1016%2fj.envexpbot.2022.104897&amp;partnerID=40&amp;md5=9d7156adf7968258fabe30a8fa138bdf</t>
  </si>
  <si>
    <t>Arbuscular mycorrhizal (AM) fungi establish symbiosis with majority of plant species, supporting their abiotic and biotic stress tolerances, and receiving reduced carbon in return. However, how and why plants control the composition of their associated mycorrhizal communities remains largely unknown. Our aim was to analyze the consequences of abrupt changes in environmental conditions such as light intensity or water supply on carbon allocation from plant (Medicago truncatula) to different AM fungal species coexisting in plant roots, employing 13C labeling and tracing. Significant differences were detected in the composition of synthetic communities of AM fungi just ten days after the environmental change induction. Under simulated drought, plants preferentially allocated their carbon to Funneliformis mosseae to the detriment of Claroideoglomus claroideum. Compared to drought, shading did not lead to a significant rearrangement of carbon fluxes from plants to the different AM fungi. Our observations strongly suggest that plants actively promote, through preferential allocation of their carbon, specific AM fungal symbionts in their roots depending on environmental conditions. Yet, it still needs to be elucidated which fungal traits are playing a role in this process, how are the different symbionts recognized, and which molecular mechanisms are involved in such preferential carbon routing. © 2022 Elsevier B.V.</t>
  </si>
  <si>
    <t>13C isotopic labeling; Arbuscular mycorrhizal symbiosis; Drought stress; Environmental context; Quantitative stable isotope probing (qSIP); Signature fatty acids; Species competition; Synthetic communities</t>
  </si>
  <si>
    <t>Yan J., Li Q., Hu L., Wang J., Zhou Q., Zhong J.</t>
  </si>
  <si>
    <t>Response of microbial communities and their metabolic functions to calcareous succession process</t>
  </si>
  <si>
    <t>Science of the Total Environment</t>
  </si>
  <si>
    <t>10.1016/j.scitotenv.2022.154020</t>
  </si>
  <si>
    <t>https://www.scopus.com/inward/record.uri?eid=2-s2.0-85125505800&amp;doi=10.1016%2fj.scitotenv.2022.154020&amp;partnerID=40&amp;md5=ba26901eb00c12302b8d422a54d2748b</t>
  </si>
  <si>
    <t>Soil chronosequence is of great important in studying rates and directions of soil evolution, which can provide valuable information for the validation of soil genesis theory. However, the variation of microbial composition and structure in a calcareous soil chronosequence in karst region of southwest China is not clear. To reveal the response of microbial communities and their metabolic functions to calcareous succession process, a chronosequence of four calcareous soils (black calcareous soil, brown calcareous soil, yellow calcareous soil and red calcareous soil) with a depth of 0–20 cm from tropical monsoon rainforests of Guangxi Nonggang National Nature Reserve, southwest China was collected to analyze the soil physichemical and microbial properties. The results showed that the overall soil nutrient contents decreased along calcareous soil chronosequences and all calcareous soils were nitrogen (N) limitation. And, there were significant differences in the structure of microbial communities in calcareous soil chronosequences. To accommodate N-restriction, fungal community shifted from pathotroph to symbiotroph trophic pattern and Ectomycorrhizal fungi (ECM) emerged. ECM competing with free-living decomposers for N will slow soil carbon (C) cycling and increase soil C storage. Penicillium and Gaiella, the keystone genera, were related to phosphorus (P) cycle closely. Taken together, the occurrence of these microorganisms emphasizes the importance for C, N and P cycle in calcareous chronosequence soils and thus contributes to the ongoing worldwide endeavor to characterize their function for investigating the rate and direction of calcareous pedogenic changes. © 2022 Elsevier B.V.</t>
  </si>
  <si>
    <t>Calcareous soil; Metabolic functions; Microbial community; Microorganism assemblages; Soil chronosequence</t>
  </si>
  <si>
    <t>y</t>
  </si>
  <si>
    <t>Brands M., Dörmann P.</t>
  </si>
  <si>
    <t>Two AMP-Binding Domain Proteins from Rhizophagus irregularis Involved in Import of Exogenous Fatty Acids</t>
  </si>
  <si>
    <t>Molecular Plant-Microbe Interactions</t>
  </si>
  <si>
    <t>10.1094/MPMI-01-22-0026-R</t>
  </si>
  <si>
    <t>https://www.scopus.com/inward/record.uri?eid=2-s2.0-85130862753&amp;doi=10.1094%2fMPMI-01-22-0026-R&amp;partnerID=40&amp;md5=9665ebdca5468687936d0fef6e43c43b</t>
  </si>
  <si>
    <t>Arbuscular mycorrhizal fungi (AMF) colonize roots, where they provide nutrients in exchange for sugars and lipids. Because AMF lack genes for cytosolic fatty acid de novo synthase (FAS), they depend on host-derived fatty acids. AMF colonization is accompanied by expression of specific lipid genes and synthesis of sn-2 monoacylglycerols (MAGs). It is unknown how host-derived fatty acids are taken up by AMF. We describe the characterization of two AMP-binding domain protein genes from Rhizophagus irregularis, RiFAT1 and RiFAT2, with sequence similarity to Saccharomyces cerevisiae fatty acid transporter 1 (FAT1). Uptake of 13C-myristic acid (14:0) and, to a lesser extent, 13C-palmitic acid (16:0) was enhanced after expression of RiFAT1 or RiFAT2 in S. cerevisiae Dfat1 cells. The uptake of 2H-labeled fatty acids from 2H-myristoylglycerol or 2H-palmitoylglycerol was also increased after RiFAT1 and RiFAT2 expression in Dfat, but intact 2H-MAGs were not detected. RiFAT1 and RiFAT2 expression was induced in colonized roots compared with extraradical mycelium. 13C-label in the AMF-specific palmitvaccenic acid (16:1D11) and eicosatrienoic acid (20:3) were detected in colonized roots only when 13C2-acetate was supplemented but not 13C-fatty acids, demonstrating that de novo synthesized, host-derived fatty acids are rapidly taken up by R. irregularis from the roots. The results show that RiFAT1 and RiFAT2 are involved in the uptake of myristic acid (14:0) and palmitic acid (16:0), while fatty acids from MAGs are only taken up after hydrolysis. Therefore, the two proteins might be involved in fatty acid import into the fungal arbuscules in colonized roots. Copyright © 2022 The Author(s).</t>
  </si>
  <si>
    <t>Arbuscular mycorrhizal fungi; Fatty acid transport; Monoacylglycerol; Myristic acid; Palmitic acid; Rhizophagus irregularis</t>
  </si>
  <si>
    <t>Fujii K., Hayakawa C.</t>
  </si>
  <si>
    <t>Urea uptake by spruce tree roots in permafrost-affected soils</t>
  </si>
  <si>
    <t>Soil Biology and Biochemistry</t>
  </si>
  <si>
    <t>10.1016/j.soilbio.2022.108647</t>
  </si>
  <si>
    <t>https://www.scopus.com/inward/record.uri?eid=2-s2.0-85128231592&amp;doi=10.1016%2fj.soilbio.2022.108647&amp;partnerID=40&amp;md5=618853d0c64fd673762cfa2f07251fa1</t>
  </si>
  <si>
    <t>Biomass productivity of black spruce trees is strongly limited by soil nitrogen (N) in shallow active layer on permafrost. Trees and mycorrhizal roots are known to absorb amino acids to bypass slow N mineralization in N-limited boreal forest soils. However, amino acid uptake strategy of tree roots cannot fully explain their advantages in competition for soil N with other plants and microbes. We investigated the potentials of tree roots to absorb urea as well as amino acids and inorganic N, using tracer experiments of 13C, 15N-labelled glutamic acid and urea and 15N-labelled ammonium nitrate in black spruce forests growing on permafrost-affected soils with different permafrost table depths in the eastern edge of the Mackenzie river delta (northwest Canada). We demonstrated that black spruce roots have potentials to absorb intact urea but only in soils with shallow permafrost, where urea accumulates due to limited microbial mineralization activity. This contrasts with soils with deep permafrost table, where roots absorb amino acids and inorganic N. Allocation of fine roots to colder subsoil above permafrost provides advantages for trees monopolizing urea-N. Despite lower energy efficiency of urea utilization compared to inorganic N and amino acids, urea uptake is one of N acquisition strategies for spruce growing on N-limited subarctic soil. © 2022</t>
  </si>
  <si>
    <t>Active layer; Amino acids; Gelisol; Permafrost; Radioisotope; Urea</t>
  </si>
  <si>
    <t>Jevon F.V., Lang A.K.</t>
  </si>
  <si>
    <t>Tree biomass allocation differs by mycorrhizal association</t>
  </si>
  <si>
    <t>Ecology</t>
  </si>
  <si>
    <t>e3688</t>
  </si>
  <si>
    <t>10.1002/ecy.3688</t>
  </si>
  <si>
    <t>https://www.scopus.com/inward/record.uri?eid=2-s2.0-85127987008&amp;doi=10.1002%2fecy.3688&amp;partnerID=40&amp;md5=9ac122f51c89952d924552c785df27d8</t>
  </si>
  <si>
    <t>Tree biomass allocation to leaves, roots, and wood affects the residence time of carbon in forests, with potentially dramatic implications for ecosystem carbon storage. However, drivers of tree biomass allocation remain poorly quantified. Using a combination of global data sets, we tested the relative importance of climate, leaf habit, and tree mycorrhizal associations on biomass allocation. We show that trees that associate with arbuscular mycorrhizal (AM) fungi allocate roughly 4% more of their biomass to root tissue than trees that associate with ectomycorrhizal (ECM) fungi. Further, the effect of mycorrhizal association on root biomass allocation was greater than that of climate and similar in magnitude to that of leaf habit (evergreen vs. deciduous). These patterns in whole-plant biomass allocation are likely due to differences in carbon investment toward root versus fungal tissues, where trees with AM fungi favor root production while trees with ECM fungi favor fungal tissue production. These results suggest that considering tree mycorrhizal associations could improve our understanding of ecosystem carbon storage in terrestrial biosphere models: specifically, that greater within-tree allocation to root biomass in AM-associated tree species may contribute to stable soil carbon pools in forests dominated by AM fungi. © 2022 The Ecological Society of America.</t>
  </si>
  <si>
    <t>arbuscular mycorrhizal fungi; biomass allocation; ecosystem carbon storage; ectomycorrhizal fungi; tree allometry</t>
  </si>
  <si>
    <t>Mundra S., Kauserud H., Økland T., Nordbakken J.-F., Ransedokken Y., Kjønaas O.J.</t>
  </si>
  <si>
    <t>Shift in tree species changes the belowground biota of boreal forests</t>
  </si>
  <si>
    <t>New Phytologist</t>
  </si>
  <si>
    <t>10.1111/nph.18109</t>
  </si>
  <si>
    <t>https://www.scopus.com/inward/record.uri?eid=2-s2.0-85127727311&amp;doi=10.1111%2fnph.18109&amp;partnerID=40&amp;md5=176f052b5b2c6f6abeda4e0d6d40101c</t>
  </si>
  <si>
    <t>The replacement of native birch with Norway spruce has been initiated in Norway to increase long-term carbon storage in forests. However, there is limited knowledge on the impacts that aboveground changes will have on the belowground microbiota. We examined which effects a tree species shift from birch to spruce stands has on belowground microbial communities, soil fungal biomass and relationships with vegetation biomass and soil organic carbon (SOC). Replacement of birch with spruce negatively influenced soil bacterial and fungal richness and strongly altered microbial community composition in the forest floor layer, most strikingly for fungi. Tree species-mediated variation in soil properties was a major factor explaining variation in bacterial communities. For fungi, both soil chemistry and understorey vegetation were important community structuring factors, particularly for ectomycorrhizal fungi. The relative abundance of ectomycorrhizal fungi and the ectomycorrhizal : saprotrophic fungal ratio were higher in spruce compared to birch stands, particularly in the deeper mineral soil layers, and vice versa for saprotrophs. The positive relationship between ergosterol (fungal biomass) and SOC stock in the forest floor layer suggests higher carbon sequestration potential in spruce forest soil, alternatively, that the larger carbon stock leads to an increase in soil fungal biomass. © 2022 The Authors. New Phytologist © 2022 New Phytologist Foundation.</t>
  </si>
  <si>
    <t>boreal forest; carbon and nitrogen stock; downy birch (Betula pubescens); ectomycorrhiza; fungal guild; Norway spruce (Picea abies); tree species effects</t>
  </si>
  <si>
    <t>Klink S., Keller A.B., Wild A.J., Baumert V.L., Gube M., Lehndorff E., Meyer N., Mueller C.W., Phillips R.P., Pausch J.</t>
  </si>
  <si>
    <t>Stable isotopes reveal that fungal residues contribute more to mineral-associated organic matter pools than plant residues</t>
  </si>
  <si>
    <t>10.1016/j.soilbio.2022.108634</t>
  </si>
  <si>
    <t>https://www.scopus.com/inward/record.uri?eid=2-s2.0-85127350645&amp;doi=10.1016%2fj.soilbio.2022.108634&amp;partnerID=40&amp;md5=4852841cfa97a506e0b591fb080ae8f3</t>
  </si>
  <si>
    <t>We still lack crucial knowledge about the contribution of plant vs. microbial residues to specific SOM pools, particularly the relative contribution of arbuscular (AM), ectomycorrhizal (ECM), and saprotrophic (SAP) fungi. We investigated sources of particulate and mineral-associated organic matter (POM and MAOM) around trees with distinct mycorrhizal types, Liriodendron tulipifera (AM-association) and Quercus alba (ECM-association), in a temperate deciduous forest in Indiana, USA. Combining 13C and 15N natural abundance analyses with measurements of microbial residues using amino sugars, the isotope signatures of large, medium and small-sized POM and MAOM fractions were compared with those of leaves, roots and biomass of mycorrhizal and saprotrophic fungi. A Bayesian inference isotope mixing model calculated sources of C and N to SOM fractions. While the isotope composition of POM resembled that of plants, MAOM was close to fungal values. This was confirmed by mixing model calculations and microbial residue analysis, which additionally and independent from tree partner suggested saprobic fungi contributing with 4–53% to POM and 23–42% to MAOM, as opposed to ECM contributions. Our results suggest fungal, not plant residues, as the source of the most putatively stable OM pool; thus, altering fungal communities may enhance efforts to increase long-term soil C storage. © 2022 Elsevier Ltd</t>
  </si>
  <si>
    <t>Amino sugars; MEMS hypothesis; Mineral-associated organic matter; Particulate organic matter; Soil organic matter dynamics; Stable isotopes</t>
  </si>
  <si>
    <t>Yan G., Wang Q., Han S., Guo Z., Yu J., Wang W., Fan C., Cao W., Wang L., Xing Y., Zhang Z.</t>
  </si>
  <si>
    <t>Beneficial effects of warming on temperate tree carbon storage depend on precipitation and mycorrhizal types</t>
  </si>
  <si>
    <t>10.1016/j.scitotenv.2022.153086</t>
  </si>
  <si>
    <t>https://www.scopus.com/inward/record.uri?eid=2-s2.0-85122971450&amp;doi=10.1016%2fj.scitotenv.2022.153086&amp;partnerID=40&amp;md5=d7e45aff8e486efc4d31bfbf967bd3c6</t>
  </si>
  <si>
    <t>Despite evidence from multiple observation data sets and numerical model simulations that interactions between biotic and abiotic factors control tree carbon (C) storage in the Northern Hemisphere, it remains unclear whether the effect of one factor will be altered by other factors. Here, we used forest inventory data consisting of more than 500,000 trees from 1910 plots to explore the relative importance of these drivers of plant C storage in northeast China. We found that tree C storage was significantly positively associated with mean annual temperature (MAT). After controlling for the role of mean annual precipitation (MAP), directionality in the tree C storage-MAT relationship reversed, indicating that the direction of MAT affecting tree C storage depends on MAP. Accounting for the effects of tree-fungal symbioses on plant resistance to drought and warming, we found that warming increased AM tree C storage even after controlling the role of MAP, but decreased EcM tree C storage after controlling the role of MAP. Our analysis also shows that species richness, especially the relative richness of AM tree species, had a significantly positive relationship with all types of tree C storage. Our findings have implications for improving temperate forest C sink and afforestation strategies: the increasing richness of AM trees has the potential to enhance the tree C sink and reduce the sensitivity of warming-induced tree growth benefits to changes in precipitation. © 2022</t>
  </si>
  <si>
    <t>Climate change; Plant-fungal symbioses; Temperate forest; Tree carbon storage</t>
  </si>
  <si>
    <t>Cahanovitc R., Livne-Luzon S., Angel R., Klein T.</t>
  </si>
  <si>
    <t>Ectomycorrhizal fungi mediate belowground carbon transfer between pines and oaks</t>
  </si>
  <si>
    <t>ISME Journal</t>
  </si>
  <si>
    <t>10.1038/s41396-022-01193-z</t>
  </si>
  <si>
    <t>https://www.scopus.com/inward/record.uri?eid=2-s2.0-85122860889&amp;doi=10.1038%2fs41396-022-01193-z&amp;partnerID=40&amp;md5=8df887371c927a48c9b4049248182d1f</t>
  </si>
  <si>
    <t>Inter-kingdom belowground carbon (C) transfer is a significant, yet hidden, biological phenomenon, due to the complexity and highly dynamic nature of soil ecology. Among key biotic agents influencing C allocation belowground are ectomycorrhizal fungi (EMF). EMF symbiosis can extend beyond the single tree-fungus partnership to form common mycorrhizal networks (CMNs). Despite the high prevalence of CMNs in forests, little is known about the identity of the EMF transferring the C and how these in turn affect the dynamics of C transfer. Here, Pinus halepensis and Quercus calliprinos saplings growing in forest soil were labeled using a 13CO2 labeling system. Repeated samplings were applied during 36 days to trace how 13C was distributed along the tree-fungus-tree pathway. To identify the fungal species active in the transfer, mycorrhizal fine root tips were used for DNA-stable isotope probing (SIP) with 13CO2 followed by sequencing of labeled DNA. Assimilated 13CO2 reached tree roots within four days and was then transferred to various EMF species. C was transferred across all four tree species combinations. While Tomentella ellisii was the primary fungal mediator between pines and oaks, Terfezia pini, Pustularia spp., and Tuber oligospermum controlled C transfer among pines. We demonstrate at a high temporal, quantitative, and taxonomic resolution, that C from EMF host trees moved into EMF and that C was transferred further to neighboring trees of similar and distinct phylogenies. © 2022, The Author(s), under exclusive licence to International Society for Microbial Ecology.</t>
  </si>
  <si>
    <t>Dixon C.M., Robertson K.M., Ulyshen M.D., Sikes B.A.</t>
  </si>
  <si>
    <t>Pine savanna restoration on agricultural landscapes: The path back to native savanna ecosystem services</t>
  </si>
  <si>
    <t>10.1016/j.scitotenv.2021.151715</t>
  </si>
  <si>
    <t>https://www.scopus.com/inward/record.uri?eid=2-s2.0-85119624616&amp;doi=10.1016%2fj.scitotenv.2021.151715&amp;partnerID=40&amp;md5=fba4a69a6b11594d4368935ef3e3dcf0</t>
  </si>
  <si>
    <t>Restoration of savanna ecosystems within their historic range is expected to increase provision of ecosystem services to resident human populations. However, the benefits of restoration depend on the degree to which ecosystems and their services can be restored, the rate of restoration of particular services, and tradeoffs in services between restored ecosystems and other common land uses. We use a chronosequence approach to infer multi-decadal changes in ecosystem services under management aimed at restoring fire-dependent pine savannas, including the use of frequent prescribed fire, following abandonment of row-crop agriculture in the southeastern U.S. We compare ecosystem services between restored pine savannas of different ages and reference pine savannas as well as other common land uses (row-crop agriculture, improved pasture, pine plantation, unmanaged forest). Our results suggest that restoring pine savannas results in many improvements to ecosystem services, including increases in plant species richness, perennial grass cover, tree biomass, total ecosystem carbon, soil carbon and C:N, reductions in soil bulk density and predicted erosion and sedimentation, shifts from soil fungal pathogens to fungal symbionts, and changes in soil chemistry toward reference pine savanna conditions. However, the rate of improvement varies widely among services from a few years to decades. Compared to row-crop agriculture and improved pasture, restored savannas have lower erosion, soil bulk density, and soil pathogens and a higher percentage of mycorrhizal fungi and ecosystem carbon storage. Compared to pine plantations and unmanaged forests, restored pine savannas have lower fire-prone fuel loads and higher water yield and bee pollinator abundance. Our results indicate that restoration of pine savanna using frequent fire provides a broad suite of ecosystem services that increase the landscape's overall resilience to climate change. These results are likely relevant to other savannas dominated by perennial vegetation and maintained with frequent fire. © 2021 Elsevier B.V.</t>
  </si>
  <si>
    <t>Bee pollinators; Fungal community; Hydrological modeling; Old field succession; Prescribed fire; Soil restoration</t>
  </si>
  <si>
    <t>Yang Q., Ravnskov S., Pullens J.W.M., Andersen M.N.</t>
  </si>
  <si>
    <t>Interactions between biochar, arbuscular mycorrhizal fungi and photosynthetic processes in potato (Solanum tuberosum L.)</t>
  </si>
  <si>
    <t>10.1016/j.scitotenv.2021.151649</t>
  </si>
  <si>
    <t>https://www.scopus.com/inward/record.uri?eid=2-s2.0-85119416485&amp;doi=10.1016%2fj.scitotenv.2021.151649&amp;partnerID=40&amp;md5=661dc66e121a7acd8c27d5456e392e48</t>
  </si>
  <si>
    <t>Pyrolyzed biomass, generating biochar for use as soil amendment, is recognized as a promising strategy for carbon sequestration. Current understanding of the interactions between biochar, arbuscular mycorrhizal (AM), and plant photosynthesis, in terms of biochemical processes and CO2 uptake, is fragmentary. The aim of this study was to investigate the effects on photosynthesis in potato including maximum rate of carboxylation by Rubisco (Vcmax), maximum rate of electron transport rate for RuBP-regeneration (Jmax), mesophyll conductance (gm) and other plant traits. Four types of biochar (wheat or miscanthus straw pellets pyrolyzed at temperatures of either 550 °C or 700 °C) were amended into low phosphorus soil. Potato plants were inoculated with the AM fungus Rhizophagus irregularis (M+) or not (M−). The results showed that four types of biochar generally decreased nitrogen and phosphorus content of potato, especially the biochars pyrolyzed at high temperature. This negative effect of biochar on nutrient content was alleviated by AM. It was found that Vcmax was limited by low plant nitrogen content as well as leaf area and phosphorus content. Plant phosphorus content also limited Jmax, which was mutually constrained by Vcmax of leaves. Low gm was an additional limiting factor for photosynthesis. The gm was positively correlated to nitrogen content, which influenced the leaf anatomical structure by alteration of leaf mass per area. In conclusion, the influence of interactions between quality of biochar and AM symbiosis on photosynthesis of potato seems to relate to effects on plant nutrient content and leaf structures. Accordingly, a model for the dependence of Vcmax on nitrogen and phosphorus content and their interactive effect exhibited a high correlation coefficient. As potato plants form AM symbiosis under natural field conditions, the extent and interaction with the quality of amended biochar can be a determining factor for plant nutrient content, growth and yield. © 2021 The Authors</t>
  </si>
  <si>
    <t>Mesophyll conductance; Miscanthus straw pellets; Photo-biochemical limitation; Rhizophagus irregularis; Rubisco activity; Wheat straw pellets</t>
  </si>
  <si>
    <t>Christmann S.</t>
  </si>
  <si>
    <t>Regard and protect ground-nesting pollinators as part of soil biodiversity</t>
  </si>
  <si>
    <t>Ecological Applications</t>
  </si>
  <si>
    <t>e2564</t>
  </si>
  <si>
    <t>10.1002/eap.2564</t>
  </si>
  <si>
    <t>https://www.scopus.com/inward/record.uri?eid=2-s2.0-85126374517&amp;doi=10.1002%2feap.2564&amp;partnerID=40&amp;md5=6b5a5d33f4ccc7cf1e0e4553737e6f18</t>
  </si>
  <si>
    <t>While the Convention on Biological Diversity employs a habitat-oriented definition of soil biodiversity including all kinds of species living in soil, the Food and Agriculture Organization, since 2002 assigned to safeguard soil biodiversity, excludes them by focusing on species directly providing four ecosystem services contributing to soil quality and functions: nutrient cycling, regulation of water flow and storage, soil structure maintenance and erosion control, and carbon storage and regulation of atmospheric composition. Many solitary wasps and 70% of wild bees nest below ground and require protection during this long and crucial period of their lifecycle. Recent research has demonstrated the extent of threats to which ground-nesting pollinators are exposed, for example, chemicals and deep tillage. Ground-nesting pollinators change soil texture directly by digging cavities, but more importantly by their indirect contribution to soil quality and functions: 87% of all flowering plants require pollinators. Without pollinators, soil would lose all ecosystem services provided by these flowering plants, for example, litter, shade, roots for habitats, and erosion control. Above- and belowground biota are in constant interaction. Therefore, and in line with the Convention's definition, the key stakeholder, the Food and Agriculture Organization should protect ground-nesting pollinators explicitly within soil biodiversity conservation. © 2022 The Author. Ecological Applications published by Wiley Periodicals LLC on behalf of The Ecological Society of America.</t>
  </si>
  <si>
    <t>CBD; FAO; ground-nesting pollinators; habitat; mycorrhizal fungi; pesticides; soil biodiversity</t>
  </si>
  <si>
    <t>Averill C., Fortunel C., Maynard D.S., van den Hoogen J., Dietze M.C., Bhatnagar J.M., Crowther T.W.</t>
  </si>
  <si>
    <t>Alternative stable states of the forest mycobiome are maintained through positive feedbacks</t>
  </si>
  <si>
    <t>Nature Ecology and Evolution</t>
  </si>
  <si>
    <t>10.1038/s41559-022-01663-9</t>
  </si>
  <si>
    <t>https://www.scopus.com/inward/record.uri?eid=2-s2.0-85125148973&amp;doi=10.1038%2fs41559-022-01663-9&amp;partnerID=40&amp;md5=9969808d37f2aa4d95f2eb7b13923b81</t>
  </si>
  <si>
    <t>Most trees on Earth form a symbiosis with either arbuscular mycorrhizal or ectomycorrhizal fungi. By forming common mycorrhizal networks, actively modifying the soil environment and other ecological mechanisms, these contrasting symbioses may generate positive feedbacks that favour their own mycorrhizal strategy (that is, the con-mycorrhizal strategy) at the expense of the alternative strategy. Positive con-mycorrhizal feedbacks set the stage for alternative stable states of forests and their fungi, where the presence of different forest mycorrhizal strategies is determined not only by external environmental conditions but also mycorrhiza-mediated feedbacks embedded within the forest ecosystem. Here, we test this hypothesis using thousands of US forest inventory sites to show that arbuscular and ectomycorrhizal tree recruitment and survival exhibit positive con-mycorrhizal density dependence. Data-driven simulations show that these positive feedbacks are sufficient in magnitude to generate and maintain alternative stable states of the forest mycobiome. Given the links between forest mycorrhizal strategy and carbon sequestration potential, the presence of mycorrhizal-mediated alternative stable states affects how we forecast forest composition, carbon sequestration and terrestrial climate feedbacks. © 2022, The Author(s), under exclusive licence to Springer Nature Limited.</t>
  </si>
  <si>
    <t>Verbrigghe N., Meeran K., Bahn M., Canarini A., Fransen E., Fuchslueger L., Ingrisch J., Janssens I.A., Richter A., Sigurdsson B.D., Soong J.L., Vicca S.</t>
  </si>
  <si>
    <t>Long-term warming reduced microbial biomass but increased recent plant-derived C in microbes of a subarctic grassland</t>
  </si>
  <si>
    <t>10.1016/j.soilbio.2022.108590</t>
  </si>
  <si>
    <t>https://www.scopus.com/inward/record.uri?eid=2-s2.0-85124673786&amp;doi=10.1016%2fj.soilbio.2022.108590&amp;partnerID=40&amp;md5=5d028c40727f109757b99ab3a45bf14d</t>
  </si>
  <si>
    <t>Long-term soil warming and nitrogen (N) availability have been shown to affect microbial biomass and community composition. Altered assimilation patterns of recent plant-derived C and changes in soil C stocks following warming as well as increased N availability are critical in mediating the direction and magnitude of these community shifts. A 13C pulse labelling experiment was done on a warming gradient in an Icelandic grassland (Sigurdsson et al., 2016), to investigate the role of recent plant-derived C and warming on the microbial community structure and size. We observed an overall increase of microbial 13C (e.g., root-exudate) uptake, while warming led to significant microbial biomass loss in all microbial groups. The increase of microbial 13C uptake with warming differed between microbial groups: an increase was only observed in the general and Gram-positive bacterial phospholipid fatty acid (PLFA) markers and in the PLFA and neutral lipid fatty acid (NLFA) markers of arbuscular mycorrhizal fungi (AMF). Nitrogen addition of 50 kg ha−1 y−1 for two years had no effect on the microbial uptake, microbial biomass or community composition, indicating that microbes were not N limited, and no plant-mediated N addition effects occurred. Additionally, we show that both warming and soil C depletion were responsible for the microbial biomass loss. Soil warming caused stronger loss in microbial groups with higher 13C uptake. In our experiment, warming caused a general reduction of microbial biomass, despite a relative increase in microbial 13C uptake, and altered microbial community composition. The warming effects on microbial biomass and community composition were partly mediated through soil C depletion with warming and changes in recent plant-derived C uptake patterns of the microbial community. © 2022</t>
  </si>
  <si>
    <t>13CO2 pulse labelling; Long-term warming; Microbial biomass; Microbial community structure; N addition</t>
  </si>
  <si>
    <t>Huang W., Van Bodegom P.M., Viskari T., Liski J., Soudzilovskaia N.A.</t>
  </si>
  <si>
    <t>Implementation of mycorrhizal mechanisms into soil carbon model improves the prediction of long-term processes of plant litter decomposition</t>
  </si>
  <si>
    <t>Biogeosciences</t>
  </si>
  <si>
    <t>10.5194/bg-19-1469-2022</t>
  </si>
  <si>
    <t>https://www.scopus.com/inward/record.uri?eid=2-s2.0-85127426027&amp;doi=10.5194%2fbg-19-1469-2022&amp;partnerID=40&amp;md5=c9b85d0d062353532b2927b9f9e4bd1f</t>
  </si>
  <si>
    <t>Ecosystems have distinct soil carbon dynamics, including litter decomposition, depending on whether they are dominated by plants featuring ectomycorrhizae (EM) or arbuscular mycorrhizae (AM). However, current soil carbon models treat mycorrhizal impacts on the processes of soil carbon transformation as a black box. We re-formulated the soil carbon model Yasso15 and incorporated impacts of mycorrhizal vegetation on topsoil carbon pools of different recalcitrance. We examined alternative conceptualizations of mycorrhizal impacts on transformations of labile and stable carbon and quantitatively assessed the performance of the selected optimal model in terms of the long-term fate of plant litter 10 years following litter input. We found that mycorrhizal impacts on labile carbon pools are distinct from those on recalcitrant pools. Plant litter of the same chemical composition decomposes slower when exposed to EM-dominated ecosystems compared to AM-dominated ones, and across time, EM-dominated ecosystems accumulate more recalcitrant residues of non-decomposed litter. Overall, adding our mycorrhizal module into the Yasso model improved the accuracy of the temporal dynamics of carbon sequestration predictions. Our results suggest that mycorrhizal impacts on litter decomposition are underpinned by distinct decomposition pathways in AM- and EM-dominated ecosystems. A sensitivity analysis of litter decomposition to climate and mycorrhizal factors indicated that ignoring the mycorrhizal impact on decomposition leads to an overestimation of climate impacts on decomposition dynamics. Our new model provides a benchmark for quantitative modelling of microbial impacts on soil carbon dynamics. It helps to determine the relative importance of mycorrhizal associations and climate on litter decomposition rate and reduces the uncertainties in estimating soil carbon sequestration. Copyright © 2022 Weilin Huang et al.</t>
  </si>
  <si>
    <t>Islam M., Al-Hashimi A., Ayshasiddeka M., Ali H., El Enshasy H.A., Dailin D.J., Sayyed R.Z., Yeasmin T.</t>
  </si>
  <si>
    <t>Prevalence of mycorrhizae in host plants and rhizosphere soil: A biodiversity aspect</t>
  </si>
  <si>
    <t>PLoS ONE</t>
  </si>
  <si>
    <t>e0266403</t>
  </si>
  <si>
    <t>10.1371/journal.pone.0266403</t>
  </si>
  <si>
    <t>https://www.scopus.com/inward/record.uri?eid=2-s2.0-85127411103&amp;doi=10.1371%2fjournal.pone.0266403&amp;partnerID=40&amp;md5=9dcf05d7051afadc10671de82f9045d7</t>
  </si>
  <si>
    <t>Plants roots are colonized by soil inhabitants known as arbuscular mycorrhizal fungi (AMF), which increase plant productivity, and enhance carbon storage in the soil. We found mycorrhizal vesicles, arbuscles, and mycelium in the root of more than 89% of the selected plants of University of Rajshahi campus, Bangladesh. The rate of their presence differed in plant to plant of a family and different families. The highest root colonization (98±1.0%) was found to be present in Xanthium strumarium (Asteraceae). Mycorrhiza was not found in the root of Sphagneticola calendulacea (Asteraceae), Cestrun nocturnum (Solanaceae), Acacia nilotica and Acacia catechu (Mimosoidae), Rorippa nasturtium, Brassica oleracla var botrytis (Brasicaceae), Punica granatum (Lythraceae), Tecoma capensis (Bignoniacea), Spinacia oleracia (Chenopodiaceae), Chenopodium album (Goosefoot). Result of soil analysis reveals that the rhizospheric soils were deficient in nutrients which might be suitable for mycorrhizal symbiosis with plants. In the rhizospheric soils, 22 species of Glomus, Scutelospora, Gigaspora, Archaeospora, and Acullospora were found. We also found the genera'Glomus' dominance in the plant root and rhizospheric soil. So, it can be concluded that the highly colonized roots as well as spores can be used to prepare mycorrhizal inoculum for future purposes. Copyright: © 2022 Islam et al. This is an open access article distributed under the terms of the Creative Commons Attribution License, which permits unrestricted use, distribution, and reproduction in any medium, provided the original author and source are credited</t>
  </si>
  <si>
    <t>Pulleman M.M., de Boer W., Giller K.E., Kuyper T.W.</t>
  </si>
  <si>
    <t>Soil biodiversity and nature-mimicry in agriculture; the power of metaphor?</t>
  </si>
  <si>
    <t>Outlook on Agriculture</t>
  </si>
  <si>
    <t>10.1177/00307270221080180</t>
  </si>
  <si>
    <t>https://www.scopus.com/inward/record.uri?eid=2-s2.0-85126588087&amp;doi=10.1177%2f00307270221080180&amp;partnerID=40&amp;md5=46068f952b7549a95e1217a4bf9bf8a0</t>
  </si>
  <si>
    <t>Attention to soil biodiversity and its importance for sustainable food production has markedly increased in recent years. In particular, the loss of soil biodiversity as a consequence of intensive agriculture, land degradation and climate change has raised concerns due to the expected negative impacts on ecosystem services, food security and human health. The result is a strong demand for ‘nature-based’ practices that stimulate soil biodiversity or beneficial soil organisms and enhance soil health. Here, we examine the origin of popular ideas on the role of soil biology in sustainable soil management, as well as their potential to address key global challenges related to agriculture. Three examples of such ideas are discussed: 1) a higher fungal:bacterial (F:B) biomass ratio favours soil carbon storage and nutrient conservation; (2) intensive agricultural practices lead to a decline in soil biodiversity with detrimental consequences for sustainable food production; (3) inoculation with arbuscular mycorrhizal fungi reduces agriculture's dependency on synthetic fertilizers. Our analysis demonstrates how ecological theories, especially E.P. Odum's (1969) hypotheses on ecological succession, have inspired the promotion of agricultural practices and commercial products that are based on the mimicry of (soil biology in) natural ecosystems. Yet our reading of the scientific literature shows that popular claims on the importance of high F:B ratios, soil biodiversity and the inoculation with beneficial microbes for soil health and sustainable agricultural production cannot be generalized and require careful consideration of limitations and possible trade-offs. We argue that dichotomies and pitfalls associated with the normative use of nature as a metaphor for sustainability can be counterproductive given the urgency to achieve real solutions that sustain food production and natural resources. Finally, implications for soil ecology research and sustainable soil management in agriculture are discussed. © The Author(s) 2022.</t>
  </si>
  <si>
    <t>Arbuscular mycorrhizal fungi; ecological intensification; ecologistic fallacy; fungal:bacterial biomass ratio; inoculation; nature-based solutions; soil ecology; soil health; sustainable farming</t>
  </si>
  <si>
    <t>Review</t>
  </si>
  <si>
    <t>Wu Y., Deng M., Huang J., Yang S., Guo L., Yang L., Ahirwal J., Peng Z., Liu W., Liu L.</t>
  </si>
  <si>
    <t>Global patterns in mycorrhizal mediation of soil carbon storage, stability, and nitrogen demand: A meta-analysis</t>
  </si>
  <si>
    <t>10.1016/j.soilbio.2022.108578</t>
  </si>
  <si>
    <t>https://www.scopus.com/inward/record.uri?eid=2-s2.0-85123763751&amp;doi=10.1016%2fj.soilbio.2022.108578&amp;partnerID=40&amp;md5=638b6413d42c78c883a808dafe198980</t>
  </si>
  <si>
    <t>Understanding what controls the soil organic matter (SOM) storage and its stability is important to predict how SOM will respond to environmental changes. The role of mycorrhizal fungi in mediating soil carbon (C) and nitrogen (N) cycling is increasingly recognized. However, how mycorrhizal fungi could affect C distribution and N demand of different soil fractions is largely unknown. Here, we compiled a global dataset of C and N concentrations in different SOM fractions from arbuscular mycorrhizal (AM) and ectomycorrhizal (EcM) dominated ecosystems, covering major biomes, including tropical forest, temperate forest, boreal forest, and grassland. Based on this dataset, we evaluated the effect of mycorrhiza symbiosis on C storage and C: N stoichiometry of SOM fractions with different stability. We found that for both topsoil and subsoil, bulk soil C storage and C: N ratio in EcM ecosystems were higher than those in AM ecosystems, and a similar pattern was also observed in the particulate organic matter fraction (POM). However, the C storage in the mineral-associated organic matter fraction (MAOM) was not different between AM and EcM ecosystems. Moreover, with the increase in bulk soil C concentration, the C storage in topsoil MAOM reached a stable level in EcM ecosystems but continued to increase in AM ecosystems. With the increase in soil N concentration, bulk soil C storage of EcM ecosystems increased more rapidly than that of AM ecosystems, which was mainly driven by the increase in POM C storage. Our study highlights that soil C storage and relative stability are different between AM and EcM ecosystems. Although EcM ecosystems have a higher soil C storage and lower N demand per unit soil C, most C is distributed in relative labile POM. Therefore, SOM in EcM ecosystems could be more susceptible to disturbances caused by land use and climate changes. © 2022 Elsevier Ltd</t>
  </si>
  <si>
    <t>Arbuscular mycorrhiza; Ectomycorrhiza; Mineral-associated organic matter; Particulate organic matter; Soil C:N ratio; Soil carbon storage</t>
  </si>
  <si>
    <t>Csilléry K., Buchmann N., Brendel O., Gessler A., Glauser A., Doris Kupferschmid A.</t>
  </si>
  <si>
    <t>Recovery of silver fir (Abies alba Mill.) seedlings from ungulate browsing mirrors soil nitrogen availability</t>
  </si>
  <si>
    <t>Tree Physiology</t>
  </si>
  <si>
    <t>10.1093/treephys/tpab105</t>
  </si>
  <si>
    <t>https://www.scopus.com/inward/record.uri?eid=2-s2.0-85124576307&amp;doi=10.1093%2ftreephys%2ftpab105&amp;partnerID=40&amp;md5=dcad605a7bb50e4c9bd2e12eecaed19c</t>
  </si>
  <si>
    <t>Abies alba (Mill.) has a high potential for mitigating climate change in European mountain forests; yet, its natural regeneration is severely limited by ungulate browsing. Here, we simulated browsing in a common garden experiment to study growth and physiological traits, measured from bulk needles, using a randomized block design with two levels of browsing severity and seedlings originating from 19 populations across Switzerland. Genetic factors explained most variation in growth (on average, 51.5%) and physiological traits (10.2%) under control conditions, while heavy browsing considerably reduced the genetic effects on growth (to 30%), but doubled those on physiological traits related to carbon storage. While browsing reduced seedling height, it also lowered seedling water-use efficiency (decreased δ 13°C) and increased their δ 15 N. Different populations reacted differently to browsing stress, and for seedling height, starch concentration and δ 15 N, population differences appeared to be the result of natural selection. First, we found that populations originating from the warmest regions recovered the fastest from browsing stress, and they did so by mobilizing starch from their needles, which suggests a genetic underpinning for a growth-storage trade-off across populations. Second, we found that seedlings originating from mountain populations growing on steep slopes had a higher δ 15N in the common garden than those originating from flat areas, indicating that they have been selected to grow on N-poor, potentially drained, soils. This finding was corroborated by the fact that nitrogen concentration in adult needles was lower on steep slopes than on flat ground, strongly indicating that steep slopes are the most N-poor environments. These results suggest that adaptation to climate and soil nitrogen availability, as well as ungulate browsing pressure, co-determine the regeneration and range limit of silver fir. © 2021 The Author(s) 2021. Published by Oxford University Press. All rights reserved. For permissions, please e-mail: journals.permission@oup.com.</t>
  </si>
  <si>
    <t>herbivory; mountain forests; mycorrhiza; nitrogen; non-structural carbohydrates; simulated browsing; stable isotopes; water-use efficiency</t>
  </si>
  <si>
    <t>Peng Y., Holmstrup M., Schmidt I.K., De Schrijver A., Schelfhout S., Heděnec P., Zheng H., Bachega L.R., Yue K., Vesterdal L.</t>
  </si>
  <si>
    <t>Litter quality, mycorrhizal association, and soil properties regulate effects of tree species on the soil fauna community</t>
  </si>
  <si>
    <t>Geoderma</t>
  </si>
  <si>
    <t>10.1016/j.geoderma.2021.115570</t>
  </si>
  <si>
    <t>https://www.scopus.com/inward/record.uri?eid=2-s2.0-85118835710&amp;doi=10.1016%2fj.geoderma.2021.115570&amp;partnerID=40&amp;md5=b898e622c0f9267779579552f721fffc</t>
  </si>
  <si>
    <t>Forest management, including selection of appropriate tree species to mitigate climate change and sustain biodiversity, requires a better understanding of factors that affect the composition of soil fauna communities. These communities are an integral part of the soil ecosystem and play an essential role in forest ecosystem functioning related to carbon and nitrogen cycling. Here, by performing a field study across six common gardens in Denmark, we evaluated the effects of tree species identity and mycorrhizal association (i.e., arbuscular mycorrhiza (AM) and ectomycorrhiza (ECM)) on soil fauna (meso- and macrofauna) taxonomic and functional community composition by using diversity, abundance, and biomass as proxies. We found that (1) tree species identity and mycorrhizal association both showed significant effects on soil fauna communities, but the separation between community characteristics in AM and ECM tree species was not entirely consistent; (2) total soil fauna abundance, biomass, as well as taxonomic and functional diversity were generally significantly higher under AM tree species, as well as lime, with higher litter quality (high N and base cation and low lignin:N ratio); (3) tree species significantly influenced the properties of litter, forest floor, and soil, among which litter and/or forest floor N, P, Ca, and Mg concentrations, soil pH, and soil moisture predominantly affected soil fauna abundance, biomass, and taxonomic and functional diversity. Our results from this multisite common garden experiment provide strong and consistent evidence of positive effects of tree species with higher litter quality on soil fauna communities in general, which helps to better understand the effects of tree species selection on soil biodiversity and its functions related to forest soil carbon sequestration. © 2021 The Author(s)</t>
  </si>
  <si>
    <t>Abundance; Biomass; Common garden experiment; Diversity; Functional group; Soil meso- and macrofauna; Taxonomic group</t>
  </si>
  <si>
    <t>Thomas P.W., Vazquez L.-B.</t>
  </si>
  <si>
    <t>A novel approach to combine food production with carbon sequestration, biodiversity and conservation goals</t>
  </si>
  <si>
    <t>10.1016/j.scitotenv.2021.151301</t>
  </si>
  <si>
    <t>https://www.scopus.com/inward/record.uri?eid=2-s2.0-85118563113&amp;doi=10.1016%2fj.scitotenv.2021.151301&amp;partnerID=40&amp;md5=cecf35e51ba3b7407d8112203c42e12f</t>
  </si>
  <si>
    <t>Land use conflict is a major contributor to unsustainable deforestation rates, with agriculture being the primary driver. Demand for agricultural output is forecast to increase for years to come and the associated deforestation is a key driver in global declines of biodiversity. Moreover, deforestation is contributing to instability of agricultural production systems and reduces our ability to mitigate anthropogenically driven climate change. There is urgency in reducing this land use conflict and the cultivation of ectomycorrhizal fungi (EMF) may provide a partial solution. As an example, here we focus on Lactarius indigo, an edible and historically appreciated species with distribution in the Neotropics and Nearctic. Exploring the geographic spread and associated climate preferences, we describe how cultivation of this species can be combined with forest-based biodiversity and conservation goals. Detailing a full methodology, including mycelium production and how to create trees that may produce the fungus, we explore potential benefits. Combing data from the emerging field of EMF cultivation with nutritional studies, we show that a protein production of 7.31 kg per hectare should be possible, exceeding that of extensive pastoral beef production. In contrast to commercial agriculture, L. indigo cultivation may enhance biodiversity, contribute to conservational goals and create a net sink of greenhouse gases whilst at the same time producing a similar or higher level of protein per unit area than the most common agriculture use of deforested land. With such startling and clear benefits, we call for urgent action to further the development of such novel food production systems. © 2021 Elsevier B.V.</t>
  </si>
  <si>
    <t>Agriculture; Climate change; Forestry; Fungi; Lactarius indigo; Mycorrhiza</t>
  </si>
  <si>
    <t>Note</t>
  </si>
  <si>
    <t>Agnihotri R., Sharma M.P., Prakash A., Ramesh A., Bhattacharjya S., Patra A.K., Manna M.C., Kurganova I., Kuzyakov Y.</t>
  </si>
  <si>
    <t>Glycoproteins of arbuscular mycorrhiza for soil carbon sequestration: Review of mechanisms and controls</t>
  </si>
  <si>
    <t>10.1016/j.scitotenv.2021.150571</t>
  </si>
  <si>
    <t>https://www.scopus.com/inward/record.uri?eid=2-s2.0-85115892578&amp;doi=10.1016%2fj.scitotenv.2021.150571&amp;partnerID=40&amp;md5=8b2efb038f9ac20a1d707b8f334c901b</t>
  </si>
  <si>
    <t>Glycoproteins, e.g., glomalin related soil proteins (GRSP), are sticky organic substances produced by arbuscular mycorrhizal fungi (AMF). This review summarizes the information on i) the biochemical nature, physical state and origin of GRSP, ii) GRSP decomposition and residence time in soil, iii) GRSP functions, in particular the physical, chemical, and biochemical roles for soil aggregation and carbon (C) sequestration, and finally iv) how land use and agricultural management affect GRSP production and subsequently, organic C sequestration. GRSP augment soil quality by increasing water holding capacity, nutrient storage and availability, microbial and enzymatic activities, and microbial production of extracellular polysaccharides. After release into the soil, GRSP become prone to microbial decomposition due to stabilization with organic matter and sesquioxides, and thereby increasing the residence time between 6 and 42 years. Temperate soils contain 2-15 mg GRSP g-1, whereas arid and semiarid grasslands amount for 0.87-1.7 mg g-1, and GRSP are lower in desert soils. GRSP content is highest in acidic soils as compared to neutral and calcareous soils. Conservation tillage, organic fertilizers and AMF inhabiting crops (e.g. maize, sorghum, soybean, and wheat) increase GRSP production and transform C into stable forms, thereby sustaining soil health and reducing CO2 emissions. Crop rotations with non-mycorrhizal species (e.g. rapeseed) and fallow soils reduce AMF growth and consequently, the GRSP production. The GRSP production increases under nutrient and water deficiency, soil warming and elevated CO2. In the context of global climate change, increased C sequestration through GRSP induced aggregate formation and organic matter stabilization prolong the mean residence time of soil C. Protecting soils against degradation under intensive land use, stable aggregate formation, and prolonging the residence time of C calls for strategies that maximize GRSP production and functions based on reduced tillage, AMF-relevant crop rotations and organic farming. © 2021 Elsevier B.V.</t>
  </si>
  <si>
    <t>Agricultural management practices; Arbuscular mycorrhizal fungi; Carbon capture; Glomalin; Soil quality</t>
  </si>
  <si>
    <t>Bi Y., Wang X., Cai Y., Christie P.</t>
  </si>
  <si>
    <t>Arbuscular mycorrhizal colonization increases plant above-belowground feedback in a northwest Chinese coal mining–degraded soil by increasing photosynthetic carbon assimilation and allocation to maize</t>
  </si>
  <si>
    <t>Environmental Science and Pollution Research</t>
  </si>
  <si>
    <t>10.1007/s11356-022-19838-z</t>
  </si>
  <si>
    <t>https://www.scopus.com/inward/record.uri?eid=2-s2.0-85130741353&amp;doi=10.1007%2fs11356-022-19838-z&amp;partnerID=40&amp;md5=998358c31292f4c4264aa7d1600b65cc</t>
  </si>
  <si>
    <t>A three-compartment culture system was used to study the mechanism by which the AM fungus Funneliformis mosseae influences host plant growth and soil organic carbon (SOC) content in a northwest China coal mining area. A 13CO2 pulse tracing technique was used to trace the allocation of maize photosynthetic C in shoots, roots, AM fungus, and soil. Carbon accumulation and allocation in mycorrhizal (inoculated with Funneliformis mosseae) and non-mycorrhizal treatments were detected. AM fungal inoculation significantly increased the 13C concentration and content in both above- and below-ground plant parts and also significantly enhanced anti-aging ability by increasing soluble sugars and catalase activity (CAT) in maize leaves while reducing foliar malondialdehyde content (MDA) and leaf temperature and promoted plant growth. AM fungi also increased P uptake to promote maize growth. Soil organic carbon (SOC), glomalin, microbial biomass carbon (MBC), and nitrogen (MBN) contents increased significantly after inoculation. A mutually beneficial system was established involving maize, the AM fungus and the microbiome, and the AM fungus became an important regulator of C flux between the above- and below-ground parts of the system. Inoculation with the AM fungus promoted plant growth, C fixation and allocation belowground to enhance soil quality. A positive above-belowground feedback appeared to be established. © 2022, The Author(s), under exclusive licence to Springer-Verlag GmbH Germany, part of Springer Nature.</t>
  </si>
  <si>
    <t>13CO2 pulse labeling; AM fungi; Carbon allocation; Positive feedback; Soil carbon content; Stress resistance</t>
  </si>
  <si>
    <t>Albornoz F.E., Prober S.M., Ryan M.H., Standish R.J.</t>
  </si>
  <si>
    <t>Ecological interactions among microbial functional guilds in the plant-soil system and implications for ecosystem function</t>
  </si>
  <si>
    <t>Plant and Soil</t>
  </si>
  <si>
    <t>10.1007/s11104-022-05479-1</t>
  </si>
  <si>
    <t>https://www.scopus.com/inward/record.uri?eid=2-s2.0-85130226915&amp;doi=10.1007%2fs11104-022-05479-1&amp;partnerID=40&amp;md5=593d739846c0c507d249b6899bdb6136</t>
  </si>
  <si>
    <t>Background: Soils harbour a remarkable diversity of interacting fungi, bacteria, and other microbes: together these perform a wide variety of ecological roles from nutrient cycling and organic matter breakdown, to pathogenic and symbiotic interactions with plants. Many studies demonstrate the role of microbes in plant-soil feedbacks and their interactions with plants. However, interactions among microbes are seldom addressed, and there is no consensus regarding the nature and outcomes of interactions among microbial functional guilds. Scope: Here, we critically review what is known about microbe-microbe interactions among functional guilds within the plant-soil system, with the aim to initiate a path to disentangling the “microbe black-box”. Our review confirms that the nature of microbial interactions among major functional guilds is explained by niche theory. This means that, among microbes, a competitive relationship is likely when their benefits to plants, source of carbon and nutrients, or nutrient scavenging mechanisms overlap, while a neutral-to-facilitative relationship is likely when these microbial traits differ or complement each other. Conclusions: We highlight the numerous knowledge gaps and provide a framework to characterise microbe-microbe interactions that offers insight into the contributions of microbes to key ecosystem functions such as carbon sequestration and nutrient cycling. © 2022, Crown.</t>
  </si>
  <si>
    <t>Ecological niche theory; Gadgil effect; Mycorrhizal fungi; Niche complementarity; Niche overlap; Pathogens; Saprotrophs</t>
  </si>
  <si>
    <t>Bertini S.C.B., Azevedo L.C.B.</t>
  </si>
  <si>
    <t>Soil microbe contributions in the regulation of the global carbon cycle</t>
  </si>
  <si>
    <t>Microbiome Under Changing Climate: Implications and Solutions</t>
  </si>
  <si>
    <t>10.1016/B978-0-323-90571-8.00003-1</t>
  </si>
  <si>
    <t>https://www.scopus.com/inward/record.uri?eid=2-s2.0-85129829039&amp;doi=10.1016%2fB978-0-323-90571-8.00003-1&amp;partnerID=40&amp;md5=91207efc75f7e70a16a1f86037a5ffcb</t>
  </si>
  <si>
    <t>Soil microbes play essential roles in agricultural and natural ecosystems by participating in organic matter mineralization that supports plant growth and consequently contributes to the global plant production and cycling of chemical elements such as carbon. Rising levels of greenhouse gases change carbon flows and alter cycles of matter and energy, including processes occurring in the soil. However, the effects of global climate change above ground are still poorly understood below it. Soil is an important global carbon reservoir that mainly depends on plants to fix atmospheric carbon and soil organisms to transform that carbon into the soil. Thus carbon transfer between reservoirs is essentially processed by soil microbes that are directly or indirectly affected by environmental factors such as climate, topography, parent material, organisms, and physicochemical properties of the soil. These environmental factors can accelerate or inhibit the microbial activity that controls carbon inflows and outflows from the soil and consequently affect carbon storage. Soil microbes can stimulate carbon sequestration and storage through beneficial interactions with plants. Some soil bacteria and fungi can also stimulate plant growth through phytohormone production and regulation, and nutrient solubilization that, in turn, increases plant biomass and consequent carbon retention in biomass. Additionally, soil microorganisms help form aggregates that physically protect soil organic carbon from decomposition. On the other hand, these microbes also participate in the decomposition and mineralization of the soil organic matter, emitting greenhouse gases into the atmosphere. As such, soil microorganisms play essential roles in regulating the global carbon cycle. © 2022 Elsevier Inc.</t>
  </si>
  <si>
    <t>Carbon cycling; Climate change; Greenhouse gases; Land use and management; Mycorrhiza; Plant growth promoting microorganisms; Soil microbial respiration; Soil microbiology; Soil organic matter; Soil texture</t>
  </si>
  <si>
    <t>Book Chapter</t>
  </si>
  <si>
    <t>Pan W., Tang S., Zhou J., Liu M., Xu M., Kuzyakov Y., Ma Q., Wu L.</t>
  </si>
  <si>
    <t>Plant–microbial competition for amino acids depends on soil acidity and the microbial community</t>
  </si>
  <si>
    <t>10.1007/s11104-022-05381-w</t>
  </si>
  <si>
    <t>https://www.scopus.com/inward/record.uri?eid=2-s2.0-85127563008&amp;doi=10.1007%2fs11104-022-05381-w&amp;partnerID=40&amp;md5=e0a3b879ea57844752a65781d3382cbe</t>
  </si>
  <si>
    <t>Purpose: Soil acidification influences competitive N uptake between plants and microorganisms. The mechanisms by which soil acidification affects competition between maize and microorganisms for organic N must be determined to understand N cycling and adjust the forms and levels of N fertilisation. Methods: The uptake of glycine, mineral N after glycine decomposition, and NH4+ by maize and microorganisms was investigated using 13C and 15N labelling. Microbial community composition biomarkers were analysed using phospholipid fatty acid (PLFA) analysis. Mineralisation of organic N was monitored via CO2 production, and gross NH4+/NO3− production and consumption was assessed using 15N pool dilution. Results: Soil acidification (pH from 7.6 to 5.1) increased the intact glycine uptake by maize roots (from 0.7 to 2.4% of added 15N) but decreased its uptake by microorganisms (from 32 to 2.4% of added 15N). Soil acidification altered the microbial community composition: the PLFA of arbuscular mycorrhizal fungi and anaerobes decreased by 6- and 1.5-fold, respectively. Soil acidification reduced the decomposition rates of proteins, peptides, and amino acids as indicated by the CO2 release. This corresponded to a gross NH4+ production increase by 1.3-fold and a gross NO3− production decrease by 97%, compared with soil at pH 7.1. Conclusions: Acidification led to decreased microbial biomass, shift in the microbial community, and the strong decrease (10–15-fold) in amino acid uptake by microorganisms, and was beneficial to maize plants, which assimilated 2.4% of the N added as glycine. However, these quantities of N are insufficient for a substantial increase in the N nutrition of the plants. © 2022, The Author(s), under exclusive licence to Springer Nature Switzerland AG.</t>
  </si>
  <si>
    <t>Glycine transformation; Isotopic approach; Maize rhizosphere; Nutrient cycling; Organic nitrogen uptake; Plant–microbial competition; Rhizosphere microorganism</t>
  </si>
  <si>
    <t>Oyanedel R., Hinsley A., Dentinger B.T.M., Milner-Gulland E.J., Furci G.</t>
  </si>
  <si>
    <t>A way forward for wild fungi in international sustainability policy</t>
  </si>
  <si>
    <t>Conservation Letters</t>
  </si>
  <si>
    <t>10.1111/conl.12882</t>
  </si>
  <si>
    <t>https://www.scopus.com/inward/record.uri?eid=2-s2.0-85127351107&amp;doi=10.1111%2fconl.12882&amp;partnerID=40&amp;md5=a61d6234e1a9d0aee16da9d775ec675f</t>
  </si>
  <si>
    <t>A series of international sustainability policies currently in negotiation will shape biodiversity conservation for decades to come. However, discussions of current sustainability policy have a huge blind spot: the absence of Fungi, one of the eukaryotic Kingdoms. Wild fungi are a key component of natural ecosystems (e.g., through parasitic symbiosis), maintain soil fertility by decomposing organic matter, and facilitate uptake of water and nutrients through mycorrhizal association with plant roots, enhancing carbon sequestration. Moreover, the harvest, use, and trade of wild fungi are essential economic and cultural activities, supporting livelihoods and providing food and medicinal ingredients. Still, the sustainability of wild fungi use is hard to assess because there is a lack of attention from research, legislation, and society at large. Here, we present a way forward for including wild fungi in international sustainability policy. We layout four key steps to foster a much-needed policy and societal transformation: acknowledge the existence of Fungi as an independent Kingdom; tailor sustainability policy targets to include Fungi; implement comprehensive monitoring of wild fungi status and trends; and promote responsible use of wild fungi as a livelihood opportunity in rural areas. These steps can facilitate a transition toward better recognizing, valuing, and conserving the ecosystem services wild fungi provide. © 2022 The Authors. Conservation Letters published by Wiley Periodicals LLC.</t>
  </si>
  <si>
    <t>biodiversity; conservation; development; fungi; neglected; soil; sustainability; trade</t>
  </si>
  <si>
    <t>Chowdhury S., Lange M., Malik A.A., Goodall T., Huang J., Griffiths R.I., Gleixner G.</t>
  </si>
  <si>
    <t>Plants with arbuscular mycorrhizal fungi efficiently acquire Nitrogen from substrate additions by shaping the decomposer community composition and their net plant carbon demand</t>
  </si>
  <si>
    <t>10.1007/s11104-022-05380-x</t>
  </si>
  <si>
    <t>https://www.scopus.com/inward/record.uri?eid=2-s2.0-85127328088&amp;doi=10.1007%2fs11104-022-05380-x&amp;partnerID=40&amp;md5=44d07ef1a07eeda1a9876b3913f86673</t>
  </si>
  <si>
    <t>Aims: We investigated the role of plants and their plant-derived carbon in shaping the microbial community that decomposes substrates and traced the return of nutrients from decomposition back to plant shoots in order to understand the importance of plants for ecosystem element cycling. Methods: We performed a greenhouse experiment having plant communities with and without arbuscular mycorrhizal fungi (AMF) and ingrowth cores that held different 15N labeled substrates. We determined the microbial community structure using molecular sequencing and the net assimilation of plant carbon into soil microorganisms using a 13CO2 pulse and 13C measurements of microbial biomarkers. We determined the return of nitrogen back to the shoots using the 15N signal, which was provided from the decomposition of the substrate added to the ingrowth cores. Results: We observed that the microbial community composition in the ingrowth cores and their net 13C assimilation depended on the presence of AMF and the added substrate. Both plant communities had similar 15N uptake into their shoots, but the net N uptake cost was significantly lower in presence of AMF. In the presence of AMF also lower net N uptake cost was observed for the decomposition of plant-derived and microorganism-derived substrates compared to inorganic nitrogen suggesting that AMF actively controls the decomposer comunity and their carbon demand. Conclusion: Our results identify for the first time a functional overlap of soil microorganisms as identical substrate is decomposed by different microorganisms suggesting functional redundancy of microbial communities. In consequence a better understanding of ecosystem element cycling can only be achieved when the whole plant-microorganism-organic matter-soil continuum is investigated. © 2022, The Author(s).</t>
  </si>
  <si>
    <t>13C; 15N; 16S rRNA Gene; Functional redundancy; Ingrowth core; ITS; PLFA; Pulse labeling</t>
  </si>
  <si>
    <t>Gregory P.J.</t>
  </si>
  <si>
    <t>RUSSELL REVIEW Are plant roots only “in” soil or are they “of” it? Roots, soil formation and function</t>
  </si>
  <si>
    <t>European Journal of Soil Science</t>
  </si>
  <si>
    <t>e13219</t>
  </si>
  <si>
    <t>10.1111/ejss.13219</t>
  </si>
  <si>
    <t>https://www.scopus.com/inward/record.uri?eid=2-s2.0-85125136532&amp;doi=10.1111%2fejss.13219&amp;partnerID=40&amp;md5=61947f9d31aafdbca23db25314abc43a</t>
  </si>
  <si>
    <t>Roots are near-ubiquitous components of soils globally but have often been regarded as separate from the soil rather than a substantial factor in determining what soil is and how it functions. The start of rapid soil formation commenced about 400 million years ago with the emergence of vascular plants and the evolution of roots and associated microbes. Roots and associated microorganisms contribute significantly to soil formation by altering rocks and soil minerals through a variety of biogeochemical processes and supply carbon to a depth that can have long residence times. Living root inputs of carbon via rhizodeposits are more efficient than shoot and root litter inputs in forming slow-cycling, mineral-associated soil organic carbon pools. The current functionality of soils in providing food and fuel and fibres, supplying plant nutrients, filtering water and flood regulation, and disease suppression are all dependent on the activities of plant roots. Roots are actively communicating and collaborating with other organisms for mutual benefit, and the signals underlying this modulation of the rhizosphere microbiome are being identified. In this review I examine how plant roots (an organ not an organism) affect soil formation and function and conclude that, from several perspectives, roots are not just “in” soil but “of” it and that definitions of soil should recognise this. A possible definition is: “Soils are altered surficial rock or sediment, composed of organic matter, minerals, fluids, and organisms whose formation and functionality are influenced by biogeochemical weathering and interactions of these components with plant roots.”. Highlights: Paleoclimatic and paleosoil research shows the key role of roots and mycorrhiza in soil formation. Deep roots and living root inputs are substantial contributors to long-term C storage. Root/microbe signalling facilitates mutualistic symbioses, nutrient uptake and disease suppression. Definitions of soil should explicitly include roots as an important component of the soil system. © 2022 The Author. European Journal of Soil Science published by John Wiley &amp; Sons Ltd on behalf of British Society of Soil Science.</t>
  </si>
  <si>
    <t>arbuscular mycorrhiza; biogeochemical cycling; carbon sequestration; dynamics; N fixation; rhizodeposit; rhizosphere; root; soil acidity; soil aggregate; soil formation</t>
  </si>
  <si>
    <t>Manninen S., Zverev V., Kozlov M.V.</t>
  </si>
  <si>
    <t>Foliar stable isotope ratios of carbon and nitrogen in boreal forest plants exposed to long-term pollution from the nickel-copper smelter at Monchegorsk, Russia</t>
  </si>
  <si>
    <t>10.1007/s11356-022-19261-4</t>
  </si>
  <si>
    <t>https://www.scopus.com/inward/record.uri?eid=2-s2.0-85125085110&amp;doi=10.1007%2fs11356-022-19261-4&amp;partnerID=40&amp;md5=623e1dd51cd95b58c40f7c7fe0c52b41</t>
  </si>
  <si>
    <t>Long-term exposure to primary air pollutants, such as sulphur dioxide (SO2) and nitrogen oxides (NOx), alters the structure and functions of forest ecosystems. Many biochemical and biogeochemical processes discriminate against the heavier isotopes in a mixture; thus, the values of δ13C and δ15N (i.e. the ratio of stable isotopes 13C to 12C and that of 15 N to 14 N, respectively) may give insights into changes in ecosystem processes and identify the immediate drivers of these changes. We studied sources of variation in the δ13C and δ15N values in the foliage of eight boreal forest C3 plants at 10 sites located at the distance of 1–40 km from the Monchegorsk nickel-copper smelter in Russia. From 1939‒2019, this smelter emitted over 14,000,000 metric tons (t) of SO2, 250,000 t of metals, primarily nickel and copper, and 140,000 t of NOx. The δ13C value in evergreen plants and the δ15N value in all plants increased near the smelter independently of the plant mycorrhizal type. We attribute the pollution-related increase in the foliar δ13C values of evergreen species mainly to direct effects of SO2 on stomatal conductance, in combination with pollution-related water stress, which jointly override the potential opposite effect of increasing ambient CO2 concentration on δ13C values. Stomatal uptake of NOx and root uptake of 15N-enriched organic N compounds and NH4+ may explain the increased foliar δ15N values and elevated foliar N concentrations, especially in the evergreen trees (Pinus sylvestris), close to Monchegorsk, where the soil inorganic N supply is reduced due to the impact of long-term SO2 and heavy metal emissions on plant biomass. We conclude that, despite the uncertainties in interpreting δ13C and δ15N responses to pollution, the Monchegorsk smelter has imposed and still imposes a great impact on C and N cycling in the surrounding N-limited subarctic forest ecosystems. © 2022, The Author(s).</t>
  </si>
  <si>
    <t>Heavy metals; Kola Peninsula; Leaf longevity; Mycorrhiza; Stable isotopes; Sulphur dioxide</t>
  </si>
  <si>
    <t>Zhang J., Li J., Ma L., He X., Liu Z., Wang F., Chu G., Tang X.</t>
  </si>
  <si>
    <t>Accumulation of glomalin-related soil protein benefits soil carbon sequestration: Tropical coastal forest restoration experiences</t>
  </si>
  <si>
    <t>Land Degradation and Development</t>
  </si>
  <si>
    <t>10.1002/ldr.4192</t>
  </si>
  <si>
    <t>https://www.scopus.com/inward/record.uri?eid=2-s2.0-85123500881&amp;doi=10.1002%2fldr.4192&amp;partnerID=40&amp;md5=aae05e70f434c2a4ca70bab016aef3f3</t>
  </si>
  <si>
    <t>Many tropical coastal areas experience severe soil erosion due to heavy rainfall, especially after deforestation. Glomalin-related soil protein (GRSP), the product of arbuscular mycorrhizal fungi (AMF), improves soil structure and soil organic carbon (SOC) sequestration with vegetation restoration. Therefore, the contribution of GRSP to soil property improvement in a tropical coastal area was studied for four different restoration practices: a barren land (BL, unrestored control), a Eucalyptus exserta planted forest (EF), a mixed broadleaved forest (MF), and a secondary natural forest (SF). Results showed that vegetation restoration practices increased easily-extractable GRSP (EE-GRSP) and total GRSP (T-GRSP) by 3.9–12.3- and 1.9–4.6-times, respectively, compared with BL. The proportions of EE-GRSP/SOC and T-GRSP/SOC were 1.6%–2.0% and 6.5%–15.8%. The concentrations of GRSP, SOC, and the GRSP/SOC ratio were similar or greater under MF than under SF. 13C NMR analysis showed that the relatively easily degradable O-alkyl-C of SOC was significantly higher under MF than under EF and SF, while the recalcitrant aromatic-C or alkyl-C were highest under SF or EF, respectively. A significantly positive relationship was found between the GRSP/SOC ratio and aromatic-C, and between GRSP and soil aggregate stability. Our study indicates that GRSP contributes to a large proportion of SOC, and benefits SOC sequestration through increasing soil aggregate stability and recalcitrant SOC. Among these artificial or naturally growing forest areas, a mixed forest restoration practice with native tree species provides a promising restoration strategy for heavily eroded land restoration, in particular improving soil aggregation and SOC sequestration. © 2022 John Wiley &amp; Sons, Ltd.</t>
  </si>
  <si>
    <t>Meijuan S., Yanzhu C., Xiang H., Changlin X., Pengbin W., Xiaodong M., Xiaojun Y.</t>
  </si>
  <si>
    <t>Long-term grazing of Cervus elaphus kansuensis restrains expansion of Salix cupularis shrubs in the Eastern Qilian Mountains</t>
  </si>
  <si>
    <t>Global Ecology and Conservation</t>
  </si>
  <si>
    <t>e01987</t>
  </si>
  <si>
    <t>10.1016/j.gecco.2021.e01987</t>
  </si>
  <si>
    <t>https://www.scopus.com/inward/record.uri?eid=2-s2.0-85122328534&amp;doi=10.1016%2fj.gecco.2021.e01987&amp;partnerID=40&amp;md5=ffd09d22008fdc37aabb8bb213d72ba7</t>
  </si>
  <si>
    <t>Alpine shrubland not only has significant ecological function and ecological value, but also is a grazing land for Tibetan livestock and a habitat for wild animals. However, the grazing livestock on a long-term scale has caused severe shrubization of the alpine shrubland. How to control the shrubization of grassland is very important. Therefore, the purpose was to explore the effects of long-term grazing and utilization patterns of different livestock on alpine shrubland. In this study, a collective pasture with basically the same grazing history, intensity and vegetation type was enclosed into two sample plots to graze by Cervus elaphus kansuensis (CEK), and mixed grazing by Bos grunniens (yak) and Ovis aries (Tibetan sheep) (YTS) from 1983 to 2019 respectively, and it provides an vital scientific basis for promoting the balanced development of grass and livestock and maintaining ecological balance. The results showed that, in 2018 and 2019, compared with grazing YTS, the biomass of the Salix cupularis in grazing CEK plot was 55.20% and 56.63% lower, the cluster height was 68.36% and 68.36% lower, the crown width was 75.34% and 76.00% lower, the coverage was 80.00% and 78.00% lower, and the difference was significant (P &lt; 0.05). The cluster height of Spiraea alpina was also 47.17% and 44.38% lower; The Shannon-Wiener index, Simpson index and evenness index of the shrub communities in the CEK plot were significantly higher than YTS (P &lt; 0.05); The leaf carbon storage of Salix cupularis in CEK was 26.48% and 18.44% lower, and the root carbon storage was 48.88% and 49.15% higher respectively. The contents of soil organic matter, total phosphorus, total potassium, available nitrogen and available potassium in CEK were higher than those in YTS. In 2018, the soil respiration rate among CEK shrubs was significantly lower than that of YTS by 46.81%; The diversity and wealth of the bacterial community between shrubs, and the wealth index of the fungal community under shrubs in the CEK plot were all lower than those of YTS plot. The relative abundance of saprophytic fungi and bacterial metabolism between and under shrubs in grazing CEK plot were higher than that of YTS, while the relative abundance of arbuscular mycorrhizal fungi, animal parasitic bacteria and human-related infectious disease bacteria were lower than YTS. Therefore, moderate long-time grazing of Cervus elaphus kansuensis can effectively inhibit the spread of alpine shrubs, facilitate the growth of herbaceous plants and achieve the balanced development of grass and livestock. It provides a strong support for the rational utilization and management of alpine shrubs. © 2021</t>
  </si>
  <si>
    <t>Cervus elaphus kansuensis; Eastern Qilian Mountains; Grazing management; Shrub invasion; Soil microbial diversity</t>
  </si>
  <si>
    <t>Steffens C., Beer C., Schelfhout S., De Schrijver A., Pfeiffer E.-M., Vesterdal L.</t>
  </si>
  <si>
    <t>Do tree species affect decadal changes in soil organic carbon and total nitrogen stocks in Danish common garden experiments?</t>
  </si>
  <si>
    <t>e13206</t>
  </si>
  <si>
    <t>10.1111/ejss.13206</t>
  </si>
  <si>
    <t>https://www.scopus.com/inward/record.uri?eid=2-s2.0-85121600759&amp;doi=10.1111%2fejss.13206&amp;partnerID=40&amp;md5=2e5bd52aeb1796f72ccbb2c2193dfc98</t>
  </si>
  <si>
    <t>Temperate forest soils are often considered as an important sink for atmospheric carbon (C), thereby buffering anthropogenic CO2 emissions. However, the effect of tree species composition on the magnitude of this sink is unclear. We resampled a tree species common garden experiment (six sites) a decade after initial sampling to evaluate whether forest floor (FF) and topsoil organic carbon (Corg) and total nitrogen (Nt) stocks changed in dependence of tree species (Norway spruce—Picea abies L., European beech—Fagus sylvatica L., pedunculate oak—Quercus robur L., sycamore maple—Acer pseudoplatanus L., European ash—Fraxinus excelsior L. and small-leaved lime—Tilia cordata L.). Two groups of species were identified in terms of Corg and Nt distribution: (1) Spruce with high Corg and Nt stocks in the FF developed as a mor humus layer which tended to have smaller Corg and Nt stocks and a wider Corg:Nt ratio in the mineral topsoil, and (2) the broadleaved species, of which ash and maple distinguished most clearly from spruce by very low Corg and Nt stocks in the FF developed as mull humus layer, had greater Corg and Nt stocks, and narrow Corg:Nt ratios in the mineral topsoil. Over 11 years, FF Corg and Nt stocks increased most under spruce, while small decreases in bulk mineral soil (esp. in 0–15 cm and 0–30 cm depth) Corg and Nt stocks dominated irrespective of species. Observed decadal changes were associated with site-related and tree species-mediated soil properties in a way that hinted towards short-term accumulation and mineralisation dynamics of easily available organic substances. We found no indication for Corg stabilisation. However, results indicated increasing Nt stabilisation with increasing biomass of burrowing earthworms, which were highest under ash, lime and maple and lowest under spruce. Highlights: We studied if tree species differences in topsoil Corg and Nt stocks substantiate after a decade. The study is unique in its repeated soil sampling in a multisite common garden experiment. Forest floors increased under spruce, but topsoil stocks decreased irrespective of species. Changes were of short-term nature. Nitrogen was most stable under arbuscular mycorrhizal species. © 2021 The Authors. European Journal of Soil Science published by John Wiley &amp; Sons Ltd on behalf of British Society of Soil Science.</t>
  </si>
  <si>
    <t>accumulation; carbon sequestration; clay; dynamics; earthworms; forest floor; forest topsoil; soil nitrogen; soil organic carbon; temperate tree species</t>
  </si>
  <si>
    <t>Singh A.K., Zhu X., Chen C., Wu J., Yang B., Zakari S., Jiang X.J., Singh N., Liu W.</t>
  </si>
  <si>
    <t>The role of glomalin in mitigation of multiple soil degradation problems</t>
  </si>
  <si>
    <t>Critical Reviews in Environmental Science and Technology</t>
  </si>
  <si>
    <t>10.1080/10643389.2020.1862561</t>
  </si>
  <si>
    <t>https://www.scopus.com/inward/record.uri?eid=2-s2.0-85098552265&amp;doi=10.1080%2f10643389.2020.1862561&amp;partnerID=40&amp;md5=41dc65ea044d5a25f4af7214d9af2055</t>
  </si>
  <si>
    <t>There is a direct link between the increasing human population and soil degradation that raises current and future food security concerns. Soil amelioration using beneficial microorganisms, particularly arbuscular mycorrhizal fungi (AMF), is essential and pragmatic. AMF produces glomalin that also contributes to the mitigation of soil degradation. However, studies on the ecological role of glomalin are scattered and patchy, and no evident overview exists. We fill this knowledge gap by a systematic and comprehensive literature review of the glomalin’s role in the context of soil degradation problems, including soil desertification, fertility loss, and pollution. Glomalin improves soil physical properties, carbon sequestration, nutrient contents, microbial activities, stabilizes pollutants, and eventually assists ecological restoration. Such a positive impact of glomalin is thought to be through its prevailing impact on soil; by acting as a substrate for microbes, a gluing agent for aggregate formation, chelation of heavy metals and toxic pollutants, and improving carbon sequestration through long-term persistence (≥42 years) in soil. Given the production of glomalin as a result of an interplay between plant, soil, and AMF, hence, we provide specific strategies at the plant, soil, and microbial level to improve glomalin concentration. Specifically, we can develop genetically modified or hybrid plants for higher rhizodeposition and promotes soil microbial diversity through the inoculation of AMF and beneficial bacteria. We highlight the research gaps and discuss prospects. This knowledge will improve our understanding of glomalin, stimulate future research, and be useful for the sustainable restoration of degraded lands. © 2020 Taylor &amp; Francis Group, LLC.</t>
  </si>
  <si>
    <t>Biostabilization; carbon sequestration; ecological restoration; glomalin ecological function; metal chelation; soil aggregation</t>
  </si>
  <si>
    <t>Martignoni M.M., Garnier J., Zhang X., Rosa D., Kokkoris V., Tyson R.C., Hart M.M.</t>
  </si>
  <si>
    <t>Co-inoculation with arbuscular mycorrhizal fungi differing in carbon sink strength induces a synergistic effect in plant growth</t>
  </si>
  <si>
    <t>Journal of Theoretical Biology</t>
  </si>
  <si>
    <t>10.1016/j.jtbi.2021.110859</t>
  </si>
  <si>
    <t>https://www.scopus.com/inward/record.uri?eid=2-s2.0-85115359220&amp;doi=10.1016%2fj.jtbi.2021.110859&amp;partnerID=40&amp;md5=2474a0a7996fcc8d23c0fdd59a7ae53f</t>
  </si>
  <si>
    <t>Arbuscular mycorrhizal (AM) fungi play a key role in determining ecosystem functionality. Understanding how diversity in the fungal community affects plant productivity is therefore an important question in ecology. Current research has focused on understanding the role of functional complementarity in the fungal community when the host plant faces multiple stress factors. Fewer studies, however, have investigated how variation in traits affecting nutrient exchange can impact the plant growth dynamics, even in the absence of environmental stressors. Combining experimental data and a mathematical model based on ordinary differential equations, we investigate the role played by carbon sink strength on plant productivity. We simulate and measure plant growth over time when the plant is associated with two fungal isolates with different carbon sink strength, and when the plant is in pairwise association with each of the isolates alone. Overall, our theoretical as well as our experimental results show that co-inoculation with fungi with different carbon sink strength can induce positive non-additive effects (or synergistic effects) in plant productivity. Fungi with high carbon sink strength are able to quickly establish a fungal community and increase the nutrient supply to the plant, with a consequent positive impact on plant growth rate. On the other side, fungi with low carbon sink strength inflict lower carbon costs to the host plant, and support maximal plant productivity once plant biomass is large. As AM fungi are widely used as organic fertilizers worldwide, our findings have important implications for restoration ecology and agricultural management. © 2021 Elsevier Ltd</t>
  </si>
  <si>
    <t>Agriculture; Arbuscular mycorrhizal fungi (AMF); Carbon sink strength; Inoculum; Multiple mutualist effects (MMEs); Mutualism; Nutrient exchange; Productivity; Synergy</t>
  </si>
  <si>
    <t>Anthony M.A., Knorr M., Moore J.A.M., Simpson M., Frey S.D.</t>
  </si>
  <si>
    <t>Fungal community and functional responses to soil warming are greater than for soil nitrogen enrichment</t>
  </si>
  <si>
    <t>Elementa</t>
  </si>
  <si>
    <t>10.1525/elementa.2021.000059</t>
  </si>
  <si>
    <t>https://www.scopus.com/inward/record.uri?eid=2-s2.0-85121140465&amp;doi=10.1525%2felementa.2021.000059&amp;partnerID=40&amp;md5=0b6755263decfdecbb7fd974c029f7b7</t>
  </si>
  <si>
    <t>Soil fungi are key regulators of forest carbon cycling and their responses to global change have effects that ripple throughout ecosystems. Global changes are expected to push many fungi beyond their environmental niches, but there are relatively few studies involving multiple, simultaneous global change factors. Here, we studied soil fungal diversity, community composition, co-occurrence patterns, and decomposition gene responses to 10 years of soil warming and nitrogen addition, alone and in combination. We specifically examined whether there were fungal community characteristics that could explain changes in soil carbon storage and organic matter chemistry in chronically warmed and fertilized soil. We found that fungal communities in warmed soils are less diverse and shift in composition. Warming also favored hyperdominance by a few mycorrhizal fungal species and lowered manganese peroxidase but increased hydrolytic enzyme encoding gene potentials. Nitrogen addition did not significantly affect fungal community composition but, like warming, did reduce fungal diversity and favored overdominance by a unique set of mycorrhizal taxa. Warming alone and in combination with nitrogen addition also reduced negative but increased positive fungal co-occurrence probabilities, promoting species coexistence. Negative fungal co-occurrence was positively correlated to soil carbon content, while the proportion of fungal hydrolytic enzyme encoding genes was negatively correlated with soil carbon content. This may reflect fungal life history trade-offs between competition (e.g., reduced negative co-occurrence) and resource acquisition (e.g., higher abundance of hydrolytic enzyme encoding genes) with implications for carbon storage. © 2021 The Author(s).</t>
  </si>
  <si>
    <t>Arbuscular mycorrhizae; Climate change; Ectomycorrhizae; Fungi; Global change; Nitrogen deposition; Soil carbon storage; Soil warming</t>
  </si>
  <si>
    <t>Singh A.K., Jiang X.J., Yang B., Li H., Liu W., Singh N.</t>
  </si>
  <si>
    <t>Effect of root-glomalin on soil carbon storage in trees' rhizosphere and interspace of a tropical dry forest</t>
  </si>
  <si>
    <t>10.1002/ldr.4108</t>
  </si>
  <si>
    <t>https://www.scopus.com/inward/record.uri?eid=2-s2.0-85116758789&amp;doi=10.1002%2fldr.4108&amp;partnerID=40&amp;md5=b1ec4a777ca9bf7e0683355dc16305b9</t>
  </si>
  <si>
    <t>Increasing soil organic carbon (SOC) concentration is a desirable aspect of afforestation. Glomalin-related soil protein (GRSP) is a ubiquitous component of SOC, preferentially produced by arbuscular mycorrhizal fungi (AMF) during symbiotic association with the plant roots. Although the role of AMF in GRSP production is well established, the role of root in GRSP production is not yet clear. Hence, we aimed to assess the glomalin in different tree roots (i.e., glomalin-related root protein; GRRP) and its influence on GRSP and SOC storage in trees’ rhizosphere and interspace. The experiment was conducted in a tropical dry forest (India) with six native trees (Hardwickia binata, Lagerstroemia parviflora, Diospyros melanoxylon, Terminalia tomentosa, Shorea robusta, and Anogeissus latifolia) and a planted Teak (Tectona grandis). The fine roots (from the rhizosphere) and topsoils (0–15 cm) were collected from the rhizosphere and interspace of each tree. We found GRRP concentration varying between trees, with higher values observed in the roots of native trees than those of Teak. The AMF colonization was positively correlated with GRRP (r2 = 0.88), and GRRP positively correlated with GRSP and SOC. The higher correlation of GRRP was observed with GRSP (r2 = 0.70–0.79) compared with SOC (r2 = 0.56–0.58), while the correlation was much stronger between GRSP and SOC (r2 = 0.91). These results indicate that GRRP influences SOC storage via mediating GRSP concentration. We suggest that GRRP can be used as an indicator for species screening during afforestation with the aim to improve SOC storage on an afforested landscape. © 2021 John Wiley &amp; Sons, Ltd.</t>
  </si>
  <si>
    <t>afforestation; arbuscular mycorrhizal fungi; glomalin-related soil protein; revegetation; soil organic carbon</t>
  </si>
  <si>
    <t>Raczka N.C., Piñeiro J., Tfaily M.M., Chu R.K., Lipton M.S., Pasa-Tolic L., Morrissey E., Brzostek E.</t>
  </si>
  <si>
    <t>Interactions between microbial diversity and substrate chemistry determine the fate of carbon in soil</t>
  </si>
  <si>
    <t>Scientific Reports</t>
  </si>
  <si>
    <t>10.1038/s41598-021-97942-9</t>
  </si>
  <si>
    <t>https://www.scopus.com/inward/record.uri?eid=2-s2.0-85116383526&amp;doi=10.1038%2fs41598-021-97942-9&amp;partnerID=40&amp;md5=903822facfe3322f97ef9d69b635baaf</t>
  </si>
  <si>
    <t>Microbial decomposition drives the transformation of plant-derived substrates into microbial products that form stable soil organic matter (SOM). Recent theories have posited that decomposition depends on an interaction between SOM chemistry with microbial diversity and resulting function (e.g., enzymatic capabilities, growth rates). Here, we explicitly test these theories by coupling quantitative stable isotope probing and metabolomics to track the fate of 13C enriched substrates that vary in chemical composition as they are assimilated by microbes and transformed into new metabolic products in soil. We found that differences in forest nutrient economies (e.g., nutrient cycling, microbial competition) led to arbuscular mycorrhizal (AM) soils harboring greater diversity of fungi and bacteria than ectomycorrhizal (ECM) soils. When incubated with 13C enriched substrates, substrate type drove shifts in which species were active decomposers and the abundance of metabolic products that were reduced or saturated in the highly diverse AM soils. The decomposition pathways were more static in the less diverse, ECM soil. Importantly, the majority of these shifts were driven by taxa only present in the AM soil suggesting a strong link between microbial identity and their ability to decompose and assimilate substrates. Collectively, these results highlight an important interaction between ecosystem-level processes and microbial diversity; whereby the identity and function of active decomposers impacts the composition of decomposition products that can form stable SOM. © 2021, The Author(s).</t>
  </si>
  <si>
    <t>Wang Z., Wang C.</t>
  </si>
  <si>
    <t>Magnitude and mechanisms of nitrogen-mediated responses of tree biomass production to elevated CO2: A global synthesis</t>
  </si>
  <si>
    <t>Journal of Ecology</t>
  </si>
  <si>
    <t>10.1111/1365-2745.13774</t>
  </si>
  <si>
    <t>https://www.scopus.com/inward/record.uri?eid=2-s2.0-85116026042&amp;doi=10.1111%2f1365-2745.13774&amp;partnerID=40&amp;md5=b9d68de22420a177f5beb5fa2d9effb4</t>
  </si>
  <si>
    <t>Elevated atmospheric CO2 concentration (eCO2) typically stimulates tree growth, which is mediated by nitrogen (N) availability; but how N regulates tree biomass responses to eCO2 remains uncertain, which limits our prediction of forest carbon (C) cycling under future global change scenarios. A meta-analysis of a global dataset including 3,399 observations from 283 papers published from 1980s to February 2021 was conducted with the aim of elucidating N-mediated responses of tree biomass production to eCO2 and the underlying mechanisms. We found that eCO2 stimulated tree biomass production (+32.0%), while it induced accumulation of non-structural carbohydrates in leaves rather than in woods and roots, suggesting that the production may be C-limited but depend on the sink strength of organs. Biomass responses to eCO2 of N-fertilized trees (+39.6%) were 68.4% greater than those of non-fertilized trees (+23.5%), confirming that tree growth is also N-limited. Such N limitation was alleviated by the eCO2-induced increases in N uptake and N-use efficiency (NUE), with the former being more important. Increases in tree N pool arose from the enhanced production of fine roots with a lower specific root length, whereas increases in NUE resulted from the flexibility in tissue C:N ratios instead of N resorption efficiency. The positive responses of tree biomass production to eCO2 were greater for ectomycorrhizal trees and conifers than for arbuscular mycorrhizal trees and angiosperms, respectively. Synthesis. Our findings suggest that eCO2 stimulates tree biomass production by increasing C availability, and alleviating N limitation in a feedback way via enhancing N uptake and NUE, and they improve our mechanistic understanding of responses of forest productivity and C sequestration to eCO2 under global change. © 2021 British Ecological Society</t>
  </si>
  <si>
    <t>biomass; elevated CO2; global change ecology; mycorrhizal association; nitrogen; non-structural carbohydrates; tree growth</t>
  </si>
  <si>
    <t>Mayerhofer W., Schintlmeister A., Dietrich M., Gorka S., Wiesenbauer J., Martin V., Gabriel R., Reipert S., Weidinger M., Clode P., Wagner M., Woebken D., Richter A., Kaiser C.</t>
  </si>
  <si>
    <t>Recently photoassimilated carbon and fungus-delivered nitrogen are spatially correlated in the ectomycorrhizal tissue of Fagus sylvatica</t>
  </si>
  <si>
    <t>10.1111/nph.17591</t>
  </si>
  <si>
    <t>https://www.scopus.com/inward/record.uri?eid=2-s2.0-85111806163&amp;doi=10.1111%2fnph.17591&amp;partnerID=40&amp;md5=26b7aba969b96e6de05eac0ee8619c7b</t>
  </si>
  <si>
    <t>Ectomycorrhizal plants trade plant-assimilated carbon for soil nutrients with their fungal partners. The underlying mechanisms, however, are not fully understood. Here we investigate the exchange of carbon for nitrogen in the ectomycorrhizal symbiosis of Fagus sylvatica across different spatial scales from the root system to the cellular level. We provided 15N-labelled nitrogen to mycorrhizal hyphae associated with one half of the root system of young beech trees, while exposing plants to a 13CO2 atmosphere. We analysed the short-term distribution of 13C and 15N in the root system with isotope-ratio mass spectrometry, and at the cellular scale within a mycorrhizal root tip with nanoscale secondary ion mass spectrometry (NanoSIMS). At the root system scale, plants did not allocate more 13C to root parts that received more 15N. Nanoscale secondary ion mass spectrometry imaging, however, revealed a highly heterogenous, and spatially significantly correlated distribution of 13C and 15N at the cellular scale. Our results indicate that, on a coarse scale, plants do not allocate a larger proportion of photoassimilated C to root parts associated with N-delivering ectomycorrhizal fungi. Within the ectomycorrhizal tissue, however, recently plant-assimilated C and fungus-delivered N were spatially strongly coupled. Here, NanoSIMS visualisation provides an initial insight into the regulation of ectomycorrhizal C and N exchange at the microscale. © 2021 The Authors. New Phytologist © 2021 New Phytologist Foundation</t>
  </si>
  <si>
    <t>carbon; ectomycorrhiza; Fagus sylvatica (beech); NanoSIMS; nitrogen (N); recent photosynthates; reciprocal rewards; resource exchange</t>
  </si>
  <si>
    <t>Hupe A., Naether F., Haase T., Bruns C., Heß J., Dyckmans J., Joergensen R.G., Wichern F.</t>
  </si>
  <si>
    <t>Evidence of considerable C and N transfer from peas to cereals via direct root contact but not via mycorrhiza</t>
  </si>
  <si>
    <t>10.1038/s41598-021-90436-8</t>
  </si>
  <si>
    <t>https://www.scopus.com/inward/record.uri?eid=2-s2.0-85107429405&amp;doi=10.1038%2fs41598-021-90436-8&amp;partnerID=40&amp;md5=65fc4db42956a21a10376199ecceccb6</t>
  </si>
  <si>
    <t>Intercropping of legumes and cereals is an important management method for improving yield stability, especially in organic farming systems. However, knowledge is restricted on the relevance of different nutrient transfer pathways. The objective of the study was to quantify nitrogen (N) and carbon (C) transfer from peas to triticale by (1) direct root contact (= R), (2) arbuscular mycorrhizal fungi (AMF; = A), and (3) diffusion (= D). Pea (Pisum sativum cv. Frisson and P2) and triticale (Triticum × Secale cv. Benetto) plants as intercrop were grown for 105 days. Treatment ADR enabled all transfer paths between the two crops. Treatment AD with root exclusion enabled AMF and diffusion transfer between peas and triticale. Treatment A with a diffusion gap barrier only allowed AMF transfer. Pea plants were labelled every 14 days with a 13C glucose and 15N urea solution, using the cotton wick technique. Direct root contact resulted in the highest pea rhizodeposition and thus the largest absolute amounts of N and C transfer to triticale. Root exclusion generally changed composition of rhizodeposits from fine root residues towards root exudates. Pea plant-N consisted of 17% N derived from rhizodeposition (NdfR) in treatment ADR but only 8% in the treatments AD and A, independently of pea variety, whereas pea plant-C consisted of 13% C derived from rhizodeposition (CdfR), without pea variety and transfer path treatment effects. Averaging all transfer path treatments, 6.7% of NdfR and 2.7% of CdfR was transferred from Frisson and P2 to triticale plants. Approximately 90% of this NdfR was transferred by direct root contact from Frisson to triticale and only 10% by AMF, whereas only 55% of CdfR was transferred to triticale by direct root contact, 40% by AMF and 5% by diffusion. Similar percentages were transferred from mutant P2 to triticale. Root exclusion generally changed RD composition from fine root residues towards root exudates. © 2021, The Author(s).</t>
  </si>
  <si>
    <t>Perreault L., Forrester J.A., Mladenoff D.J., Lewandowski T.E.</t>
  </si>
  <si>
    <t>Deadwood Reduces the Variation in Soil Microbial Communities Caused by Experimental Forest Gaps</t>
  </si>
  <si>
    <t>Ecosystems</t>
  </si>
  <si>
    <t>10.1007/s10021-021-00624-w</t>
  </si>
  <si>
    <t>https://www.scopus.com/inward/record.uri?eid=2-s2.0-85103167232&amp;doi=10.1007%2fs10021-021-00624-w&amp;partnerID=40&amp;md5=c5d687d66b0b79913b1596788cceb09c</t>
  </si>
  <si>
    <t>Downed woody debris (DWD) creates heterogeneous microsites that are beneficial to enhancing biodiversity and that represent persistent nutrient and carbon pools. Windthrow events characteristic of northern deciduous forests naturally produce abundant DWD and canopy openings that enhance structural complexity, but group selection harvesting reduces DWD biomass despite promoting vertical structural complexity. We implemented a field experiment to test the response of the soil microbial community (SMC) to DWD addition in created gap openings to compare experimental windfall to group selection harvest. Our objective was to assess the variability among microbial functional groups within canopy openings versus at the stand scale with DWD addition four- and five-year posttreatment. This study builds on previous studies at the Flambeau Experimental Research Site (Wisconsin, USA) that tested the effects of canopy openings alone on the SMC abundance and soil respiration along the gap gradient. Soils were sampled in four treatments (gaps, gaps + DWD addition, control + DWD addition and a control), and SMC abundance and composition were quantified using a modified phospholipid fatty acid (PLFA) and fatty acid methyl ester (FAME) method. Our analyses indicated a stronger response of the SMC to within-gap microenvironments than to the stand-level interaction of DWD addition and canopy openings. We found significant variation in the SMC along the north–south transect within the gaps, with higher abundance of arbuscular mycorrhizal fungi, soil temperature, unsaturation bacterial stress ratio and lower bacterial abundance in the northern portion of the canopy openings. DWD addition within gaps buffered the soil from extreme temperature changes while increasing gram-positive bacteria abundance that tend to rely on recalcitrant carbon sources and are more resistant to environmental stress. These patterns indicate that gap openings and DWD addition increased soil microenvironmental spatial heterogeneity and suggest that structural complexity may contribute to carbon storage by promoting sequestration in regenerating vegetation and by shaping the SMC to favor greater C use efficiency. © 2021, The Author(s), under exclusive licence to Springer Science+Business Media, LLC, part of Springer Nature.</t>
  </si>
  <si>
    <t>Canopy gaps; Deadwood; Northern hardwood; Soil microbial community; Spatial patterning; Structural complexity</t>
  </si>
  <si>
    <t>[No author name available]</t>
  </si>
  <si>
    <t>8th International Conference on Sustainable Agriculture and Environment</t>
  </si>
  <si>
    <t>IOP Conference Series: Earth and Environmental Science</t>
  </si>
  <si>
    <t>https://www.scopus.com/inward/record.uri?eid=2-s2.0-85120415632&amp;partnerID=40&amp;md5=3e570ad9c187b03a9bf082471a273b24</t>
  </si>
  <si>
    <t>The proceedings contain 148 papers. The topics discussed include: the use of N HNO3 to determine copper and zinc levels in heavy-metal polluted tropical soils; allometric equation of local bamboo for estimating carbon sequestration of bamboo riparian forest; comparative effects of the combination of biofertilizer, NPK, and mycorrhizal application on maize production system; the importance of politics on precautionary principles' implementation in the environmental sector: cases and examples of Indonesia and Australia; determinants of environmental performance: evidence from the agriculture industry in Indonesian Stock Exchange; growth, carbohydrate accumulation, and productivity of local glutinous corn Bimapulut (Zea mays var. ceratina Kuleshov) after seed priming and coconut coir ash fertilizer application; the role of foreign ownership in the CSR performance of agriculture listed firms in Indonesia; and Buto character developing with utilization of firewood waste to eco-friendly eco-artworks.</t>
  </si>
  <si>
    <t>Conference Review</t>
  </si>
  <si>
    <t>Reuter R., Ferlian O., Tarkka M., Eisenhauer N., Pritsch K., Simon J.</t>
  </si>
  <si>
    <t>Tree species rather than type of mycorrhizal association drive inorganic and organic nitrogen acquisition in tree-tree interactions</t>
  </si>
  <si>
    <t>Tree physiology</t>
  </si>
  <si>
    <t>10.1093/treephys/tpab059</t>
  </si>
  <si>
    <t>https://www.scopus.com/inward/record.uri?eid=2-s2.0-85121970710&amp;doi=10.1093%2ftreephys%2ftpab059&amp;partnerID=40&amp;md5=974490d231fa5f201713a29126517ae6</t>
  </si>
  <si>
    <t>Mycorrhizal fungi play an important role for the nitrogen (N) supply of trees. The influence of different mycorrhizal types on N acquisition in tree-tree interactions is, however, not well understood, particularly with regard to the competition for growth-limiting N. We studied the effect of competition between temperate forest tree species on their inorganic and organic N acquisition in relation to their mycorrhizal type (i.e., arbuscular mycorrhiza or ectomycorrhiza). In a field experiment, we quantified net N uptake capacity from inorganic and organic N sources using 15N/13C stable isotopes for arbuscular mycorrhizal tree species (i.e., Acer pseudoplatanus L., Fraxinus excelsior L., and Prunus avium L.) as well as ectomycorrhizal tree species (i.e., Carpinus betulus L., Fagus sylvatica L., and Tilia platyphyllos Scop.). All species were grown in intra- and interspecific competition (i.e., monoculture or mixture). Our results showed that N sources were not used complementarily depending on a species' mycorrhizal association, but their uptake rather depended on the competitor, indicating species-specific effects. Generally, ammonium was preferred over glutamine and glutamine over nitrate. In conclusion, our findings suggest that the inorganic and organic N acquisition of the studied temperate tree species is less regulated by mycorrhizal association but rather by the availability of specific N sources in the soil as well as the competitive environment of different tree species. © The Author(s) 2021. Published by Oxford University Press. All rights reserved. For permissions, please e-mail: journals.permission@oup.com.</t>
  </si>
  <si>
    <t>arbuscular mycorrhiza; competition; ectomycorrhiza; interspecific competition; intraspecific competition; nitrogen uptake</t>
  </si>
  <si>
    <t>Irving T.B., Alptekin B., Kleven B., Ané J.-M.</t>
  </si>
  <si>
    <t>A critical review of 25 years of glomalin research: a better mechanical understanding and robust quantification techniques are required</t>
  </si>
  <si>
    <t>10.1111/nph.17713</t>
  </si>
  <si>
    <t>https://www.scopus.com/inward/record.uri?eid=2-s2.0-85115407693&amp;doi=10.1111%2fnph.17713&amp;partnerID=40&amp;md5=3b28e4f622cc27de219e75f503fd661b</t>
  </si>
  <si>
    <t>Arbuscular mycorrhizal fungi (AMF) are important contributors to both plant and soil health. Twenty-five years ago, researchers discovered ‘glomalin’, a soil component potentially produced by AMF, which was unconventionally extracted from soil and bound by a monoclonal antibody raised against Rhizophagus irregularis spores. ‘Glomalin’ can resist boiling, strong acids and bases, and protease treatment. Researchers proposed that ‘glomalin’ is a 60 kDa heat shock protein produced by AMF, while others suggested that it is a mixture of soil organic materials that are not unique to AMF. Despite disagreements on the nature of ‘glomalin’, it has been consistently associated with a long list of plant and soil health benefits, including soil aggregation, soil carbon storage and enhancing growth under abiotic stress. The benefits attributed to ‘glomalin’ have caused much excitement in the plant and soil health community; however, the mechanism(s) for these benefits have yet to be established. This review provides insights into the current understanding of the identity of ‘glomalin’, ‘glomalin’ quantification, and the associated benefits of ‘glomalin’. We invite the community to think more critically about how glomalin-associated benefits are generated. We suggest a series of experiments to test hypotheses regarding the nature of ‘glomalin’ and associated health benefits. © 2021 The Authors. New Phytologist © 2021 New Phytologist Foundation.</t>
  </si>
  <si>
    <t>arbuscular mycorrhizal fungi (AMF); glomalin; HSP60; soil aggregation; soil carbon storage; soil health</t>
  </si>
  <si>
    <t>Cui N., Zhao Y., Sun F., Wang M., Guo J., Shi L., Sun W., Zhang T.</t>
  </si>
  <si>
    <t>Elevated temperature and nitrogen deposition did not affect the impacts of arbuscular mycorrhizal fungi on soil carbon or nitrogen stocks in atemperate meadow</t>
  </si>
  <si>
    <t>Ecological Indicators</t>
  </si>
  <si>
    <t>10.1016/j.ecolind.2021.108209</t>
  </si>
  <si>
    <t>https://www.scopus.com/inward/record.uri?eid=2-s2.0-85115019118&amp;doi=10.1016%2fj.ecolind.2021.108209&amp;partnerID=40&amp;md5=5191673717fd0555bedd46093488595b</t>
  </si>
  <si>
    <t>Arbuscular mycorrhizal (AM) fungi are key players in the soil carbon (C) and nitrogen (N) cycles; on the one hand, AM fungi have been influenced by global changes, while on the other hand, they are involved in shaping the future climate. However, few field studies have combined AM fungi with both elevated temperatures and N deposition to examine their potential combined effects on the stocks of soil C and N in temperate meadow ecosystems. A 5-year experiment was conducted to explore the effects of AM fungal reductions on soil C and N stocks under elevated temperatures and N deposition. The stock of soil C and N and the C:N ratio were measured. The results showed that AM fungi significantly reduced soil C stocks by 8.5% across all treatment combinations compared to the AM fungi suppression treatment, and slight soil C accumulation was detected across the five years. The response of the soil C stocks was not influenced by elevated temperatures and N deposition simultaneously. The soil N stocks in the treatments without AM fungal suppression were, on average, 9.7% lower across all treatments than those in the AM fungal suppression treatment. AM fungi, elevated temperatures, and N deposition did not affect the soil C:N ratio. The robust decreases in soil C and N stocks caused by AM fungi observed here, even when combined with other global changes, suggest that AM fungi might accelerate soil C losses in temperate meadow ecosystems; however, there is a strong potential for reduced soil N accumulations to mitigate the negative impact of increasing N deposition on the stability of grassland ecosystems under future global changes. Overall, our results highlight that the effect of AM fungi on soil C and N stocks has a high resistance to global warming and N deposition in temperate meadow ecosystems. © 2021 The Author(s)</t>
  </si>
  <si>
    <t>Carbon sequestration; Elevated temperature; Feedback; Global change; Mycorrhizal fungi; Nitrogen deposition</t>
  </si>
  <si>
    <t>Högberg M.N., Högberg P., Wallander H., Nilsson L.-O.</t>
  </si>
  <si>
    <t>Carbon–nitrogen relations of ectomycorrhizal mycelium across a natural nitrogen supply gradient in boreal forest</t>
  </si>
  <si>
    <t>10.1111/nph.17701</t>
  </si>
  <si>
    <t>https://www.scopus.com/inward/record.uri?eid=2-s2.0-85114739454&amp;doi=10.1111%2fnph.17701&amp;partnerID=40&amp;md5=d1ef5ce1755fa06d981e4346c2b129ae</t>
  </si>
  <si>
    <t>The supply of carbon (C) from tree photosynthesis to ectomycorrhizal (ECM) fungi is known to decrease with increasing plant nitrogen (N) supply, but how this affects fungal nutrition and growth remains to be clarified. We placed mesh-bags with quartz sand, with or without an organic N (15N-, 13C-labeled) source, in the soil along a natural N supply gradient in boreal forest, to measure growth and use of N and C by ECM extramatrical mycelia. Mycelial C : N declined with increasing N supply. Addition of N increased mycelial growth at the low-N end of the gradient. We found an inverse relationship between uptake of added N and C; the use of added N was high when ambient N was low, whereas use of added C was high when C from photosynthesis was low. We propose that growth of ECM fungi is N-limited when soil N is scarce and tree belowground C allocation to ECM fungi is high, but is C-limited when N supply is high and tree belowground C allocation is low. This suggests that ECM fungi have a major role in soil N retention in nutrient-poor, but less so in nutrient-rich boreal forests. © 2021 The Authors. New Phytologist © 2021 New Phytologist Foundation</t>
  </si>
  <si>
    <t>Betsele N supply gradient; boreal forest; carbon limitation; ectomycorrhizal fungi; extramatrical ectomycorrhizal mycelium; natural abundance of 13C and 15N; nitrogen limitation; stable isotope mixing model analysis</t>
  </si>
  <si>
    <t>Jeewani P.H., Luo Y., Yu G., Fu Y., He X., Van Zwieten L., Liang C., Kumar A., He Y., Kuzyakov Y., Qin H., Guggenberger G., Xu J.</t>
  </si>
  <si>
    <t>Arbuscular mycorrhizal fungi and goethite promote carbon sequestration via hyphal-aggregate mineral interactions</t>
  </si>
  <si>
    <t>10.1016/j.soilbio.2021.108417</t>
  </si>
  <si>
    <t>https://www.scopus.com/inward/record.uri?eid=2-s2.0-85114690915&amp;doi=10.1016%2fj.soilbio.2021.108417&amp;partnerID=40&amp;md5=075f2ae057ff21f70194a3e1010b3aff</t>
  </si>
  <si>
    <t>Goethite is known to contribute to the co-precipitation of rhizodeposits and thus benefit carbon (C) sequestration, while arbuscular mycorrhizal fungi (AMF) play significant role in soil organic C (SOC), however, the combined effect is less known. To address this paucity in knowledge, we compared the physicochemical stabilization and microbial mineralization of rhizodeposits from maize (Zea mays L.) and the rhizosphere priming effect (RPE) in soils with a combination of goethite addition and AMF inoculation. Here, we showed that compared to the control: i) Co-amendment of AMF and goethite resulted in a 0.6-fold decrease of rhizodeposit derived CO2, and a 2.8-fold larger allocation of rhizodeposits into macro-aggregates, most likely due to precipitation by goethite and macro-aggregate formation stimulated by AMF hyphae. Analyses using μ-FTIR confirmed the spatial distribution of polysaccharides overlapped with Fe–O minerals within macro-aggregates, supporting the concomitant processes of rhizodeposit stabilization and aggregate formation via hyphal-aggregate mineral interactions; ii) Inoculation with AMF accelerated SOC turnover by increasing the RPE (by 6.1 mg C kg−1 day−1, 74% increase) and rhizodeposit stabilization (by 6.2 mg C kg−1 soil day−1, 47% increase). The larger soil priming effect stimulated by AMF was associated with several genera including Solirubrobacter, Pseudomonas and Talaromyces, suggesting these hyper-symbionts were involved in nutrient acquisition (mining hypothesis). Our results enabled the comparison between rhizodeposit stabilization versus rhizodeposit and SOC mineralization, and highlighted the contributions of both goethite (abiotic contribution) and AMF (biotic contribution) to C accrual in a soil-plant system. © 2021</t>
  </si>
  <si>
    <t>13C natural abundance; AMF; Carbon sequestration; Rhizodeposition; Rhizosphere priming effects; Synchrotron-radiation-based spectro-microscopy</t>
  </si>
  <si>
    <t>Fukasawa Y.</t>
  </si>
  <si>
    <t>Ecological impacts of fungal wood decay types: A review of current knowledge and future research directions</t>
  </si>
  <si>
    <t>Ecological Research</t>
  </si>
  <si>
    <t>10.1111/1440-1703.12260</t>
  </si>
  <si>
    <t>https://www.scopus.com/inward/record.uri?eid=2-s2.0-85113320709&amp;doi=10.1111%2f1440-1703.12260&amp;partnerID=40&amp;md5=6452dec565d5fd22f2322d64bcd1d77e</t>
  </si>
  <si>
    <t>I summarize current knowledge about the ecosystem functions of wood decomposition in forests with a particular focus on the effects of fungal wood decay types (traditionally categorized into white-, brown-, and soft-rot) on the community composition of saproxylic organisms, forest tree regeneration, and carbon sequestration. Deadwoods of different decay types show markedly different physicochemical and biological properties. High carbohydrate availability in white-rotted wood promotes the activities of nitrogen-fixing bacteria; thus white-rotted wood is a good dietary source for many wood-eating invertebrates. In contrast, brown-rotted wood is unattractive to saproxylic communities due to the high recalcitrance of accumulated lignin, low nutrient content, and low pH. Nevertheless, some species have adapted to these conditions and form distinctive communities on brown-rotted wood. Tree seedlings that are associated with brown-rotted wood are symbiotic with arbuscular and ericoid mycorrhizal fungal species, but not ectomycorrhizal species. Thus, the diversity of fungal communities associated with a variety of wood decay types produces habitat diversity for saproxylic communities and promotes biodiversity in forest ecosystems. Wood decay type also affects carbon sequestration in forests as brown-rotted wood might be more instrumental in soil organic matter accumulation than white-rotted wood. An important aspect of wood decay type is that the wood decay activities of fungi can have indirect long-lasting cascading impacts on forest biodiversity by altering the physicochemical properties of deadwood. Including the effects of wood decay type in ecological models is thus important for predicting the long-term dynamics of biodiversity, vegetation, and carbon cycling in forest ecosystems. © 2021 The Authors. Ecological Research published by John Wiley &amp; Sons Australia, Ltd on behalf of The Ecological Society of Japan.</t>
  </si>
  <si>
    <t>carbon cycling; deadwood; ecological networks; forest biodiversity; wood decay fungi</t>
  </si>
  <si>
    <t>Yagame T., Lallemand F., Selosse M.-A., Funabiki E., Yukawa T.</t>
  </si>
  <si>
    <t>Mycobiont diversity and first evidence of mixotrophy associated with Psathyrellaceae fungi in the chlorophyllous orchid Cremastra variabilis</t>
  </si>
  <si>
    <t>Journal of Plant Research</t>
  </si>
  <si>
    <t>10.1007/s10265-021-01337-w</t>
  </si>
  <si>
    <t>https://www.scopus.com/inward/record.uri?eid=2-s2.0-85112758936&amp;doi=10.1007%2fs10265-021-01337-w&amp;partnerID=40&amp;md5=7e63b674558ed3a51d1dcfcfe9c0348b</t>
  </si>
  <si>
    <t>Mixotrophy (MX, also called partial mycoheterotrophy) in plants is characterized by isotopic abundances that differ from those of autotrophs. Previous studies have evaluated mycoheterotrophy in MX plants associated with fungi of similar ecological characteristics, but little is known about the differences in the relative abundances of 13C and 15N in an orchid species that associates with several different mycobionts species. Since the chlorophyllous orchid Cremastra variabilis Nakai associates with various fungi with different ecologies, we hypothesized that it may change its relative abundances of 13C and 15N depending on the associated mycobionts. We investigated mycobiont diversity in the chlorophyllous orchid C. variabilis together with the relative abundance of 13C and 15N and morphological underground differentiation (presence or absence of a mycorhizome with fungal colonization). Rhizoctonias (Tulasnellaceae, Ceratobasidiaceae, Sebacinales) were detected as the main mycobionts. High differences in δ13C values (– 34.7 to – 27.4 ‰) among individuals were found, in which the individuals associated with specific Psathyrellaceae showed significantly high relative abundance of 13C. In addition, Psathyrellaceae fungi were always detected on individuals with mycorhizomes. In the present study, MX orchid association with non-rhizoctonia saprobic fungi was confirmed, and the influence of mycobionts on morphological development and on relative abundance of 13C and 15N was discovered. Cremastra variabilis may increase opportunities to gain nutrients from diverse partners, in a bet-hedging plasticity that allows colonization of various environmental conditions. © 2021, The Botanical Society of Japan.</t>
  </si>
  <si>
    <t>Mycorhizomes; Mycorrhizae; Orchid morphology; Partial mycoheterotrophy; Psathyrellaceae; Rhizoctonias</t>
  </si>
  <si>
    <t>Blagodatskaya E., Tarkka M., Knief C., Koller R., Peth S., Schmidt V., Spielvogel S., Uteau D., Weber M., Razavi B.S.</t>
  </si>
  <si>
    <t>Bridging Microbial Functional Traits With Localized Process Rates at Soil Interfaces</t>
  </si>
  <si>
    <t>Frontiers in Microbiology</t>
  </si>
  <si>
    <t>10.3389/fmicb.2021.625697</t>
  </si>
  <si>
    <t>https://www.scopus.com/inward/record.uri?eid=2-s2.0-85119081108&amp;doi=10.3389%2ffmicb.2021.625697&amp;partnerID=40&amp;md5=81976782e1c859101d72a7c75ea582f8</t>
  </si>
  <si>
    <t>In this review, we introduce microbially-mediated soil processes, players, their functional traits, and their links to processes at biogeochemical interfaces [e.g., rhizosphere, detritusphere, (bio)-pores, and aggregate surfaces]. A conceptual view emphasizes the central role of the rhizosphere in interactions with other biogeochemical interfaces, considering biotic and abiotic dynamic drivers. We discuss the applicability of three groups of traits based on microbial physiology, activity state, and genomic functional traits to reflect microbial growth in soil. The sensitivity and credibility of modern molecular approaches to estimate microbial-specific growth rates require further development. A link between functional traits determined by physiological (e.g., respiration, biomarkers) and genomic (e.g., genome size, number of ribosomal gene copies per genome, expression of catabolic versus biosynthetic genes) approaches is strongly affected by environmental conditions such as carbon, nutrient availability, and ecosystem type. Therefore, we address the role of soil physico-chemical conditions and trophic interactions as drivers of microbially-mediated soil processes at relevant scales for process localization. The strengths and weaknesses of current approaches (destructive, non-destructive, and predictive) for assessing process localization and the corresponding estimates of process rates are linked to the challenges for modeling microbially-mediated processes in heterogeneous soil microhabitats. Finally, we introduce a conceptual self-regulatory mechanism based on the flexible structure of active microbial communities. Microbial taxa best suited to each successional stage of substrate decomposition become dominant and alter the community structure. The rates of decomposition of organic compounds, therefore, are dependent on the functional traits of dominant taxa and microbial strategies, which are selected and driven by the local environment. Copyright © 2021 Blagodatskaya, Tarkka, Knief, Koller, Peth, Schmidt, Spielvogel, Uteau, Weber and Razavi.</t>
  </si>
  <si>
    <t>(bio)-pores; detritusphere; mycorrhizosphere; rhizosphere; soil aggregates; soil priming; statistical analysis of process locations; trophic interactions</t>
  </si>
  <si>
    <t>Prescott C.E., Vesterdal L.</t>
  </si>
  <si>
    <t>Decomposition and transformations along the continuum from litter to soil organic matter in forest soils</t>
  </si>
  <si>
    <t>Forest Ecology and Management</t>
  </si>
  <si>
    <t>10.1016/j.foreco.2021.119522</t>
  </si>
  <si>
    <t>https://www.scopus.com/inward/record.uri?eid=2-s2.0-85111542244&amp;doi=10.1016%2fj.foreco.2021.119522&amp;partnerID=40&amp;md5=6eb3871563234f457e6f3df514cc528c</t>
  </si>
  <si>
    <t>Until recently, the processes of litter decomposition and soil organic matter formation in forests have been studied in isolation, which has hindered the development of a comprehensive understanding of the entire process. The last decade has brought considerable progress in this scientific endeavour in response to the challenge to sequester atmospheric C in forest soils. In this paper we review key recent developments in this field and describe our current collective understanding of litter decomposition and transformation processes and pathways in forest ecosystems. Compelling evidence that most slow-cycling SOM has been microbially transformed forces us to rethink the standard technique of measuring mass remaining in litterbags during incubation to indicate litter decomposition rates. Rather than indicating the mass of litter that remains undecomposed, these measurements reflect the net outcome of two simultaneous processes: decomposition of plant material and accumulation of microbial and faunal transformation products. Measurement of both of these pools, rather than just the total mass of material in litterbags is necessary to understand decomposition processes. For example, the apparent retarding effect of available N on mass loss during late-stage decomposition may actually result from N promoting the production of microbial biomass and necromass, thereby increasing the accumulation of transformation products during late-stage decay. We recommend referring to the mass of material in litterbags as ‘net mass remaining’ or ‘residue mass’ rather than ‘litter mass’, to acknowledge its changing composition as decomposition proceeds. Decomposition pathways in forests with abundant detritivorous meso- and macrofauna remain poorly understood as a consequence of the inability of the litterbag technique to capture their influences (even with differing mesh sizes). Long-term studies monitoring the transformation of litter to faunal faecal material and subsequent transformations of this material are urgently needed. Roots and mycorrhizal fungal hyphae are important sources of SOM, including stable SOM. Fine roots (orders 1 and 2) decompose particularly slowly, as do some mycorrhizal hyphae, which has been attributed to cell-wall constituents such as lignins, melanin and glycoproteins. Convergence of mass loss curves of litters that initially decompose quickly and slowly indicates that leaf litter, root litter, and fungal residues with large labile contents can generate as much SOM as recalcitrant litters. Transformation of litter into SOM can follow many pathways, depending on characteristics of the site. Key site and soil properties influence the biotic community present and together determine the pathway that decomposition follows on that site. As such, litter transformations occur along a continuum between situations in which aboveground litter is mainly transformed into humus that accumulates on the soil surface, and situations in which partially decomposed litter is transferred to the mineral soil via bioturbation. Predicting the most likely decomposition pathway should inform decisions on how to measure and interpret the transformations that occur on a particular site. © 2021 The Authors</t>
  </si>
  <si>
    <t>Carbon sequestration; Dissolved organic carbon; Fungal hyphae; Microbial necromass; Root decomposition; Soil fauna</t>
  </si>
  <si>
    <t>Braghiere R.K., Fisher J.B., Fisher R.A., Shi M., Steidinger B.S., Sulman B.N., Soudzilovskaia N.A., Yang X., Liang J., Peay K.G., Crowther T.W., Phillips R.P.</t>
  </si>
  <si>
    <t>Mycorrhizal Distributions Impact Global Patterns of Carbon and Nutrient Cycling</t>
  </si>
  <si>
    <t>Geophysical Research Letters</t>
  </si>
  <si>
    <t>e2021GL094514</t>
  </si>
  <si>
    <t>10.1029/2021GL094514</t>
  </si>
  <si>
    <t>https://www.scopus.com/inward/record.uri?eid=2-s2.0-85116829059&amp;doi=10.1029%2f2021GL094514&amp;partnerID=40&amp;md5=1a65347e431525d145ee14d31ced7575</t>
  </si>
  <si>
    <t>Most tree species predominantly associate with a single type of mycorrhizal fungi, which can differentially affect plant nutrient acquisition and biogeochemical cycling. Uncertainties in mycorrhizal distributions are non-trivial, and current estimates disagree in up to 50% over 40% of the land area, including tropical forests. Remote sensing capabilities for mycorrhizal detection show promise for refining these estimates further. Here, we address for the first time the impact of mycorrhizal distributions on global carbon and nutrient cycling. Using the state-of-the-art carbon-nitrogen economics within the Community Land Model version 5, we found Net Primary Productivity (NPP) increased throughout the 21st century by 20%; however, as soil nitrogen has progressively become limiting, the costs to NPP for nitrogen acquisition—that is, to mycorrhizae—have increased at a faster rate by 60%. This suggests that nutrient acquisition will increasingly demand a higher portion of assimilated carbon to support the same productivity. © 2021. The Authors.</t>
  </si>
  <si>
    <t>biogeochemistry; carbon cycling; climate change; Earth system modeling; mycorrhizae; nitrogen cycling</t>
  </si>
  <si>
    <t>Salomon M.J., Watts-Williams S.J., McLaughlin M.J., Brien C.J., Jewell N., Berger B., Cavagnaro T.R.</t>
  </si>
  <si>
    <t>Evaluation of commercial composts and potting mixes and their ability to support arbuscular mycorrhizal fungi with maize (Zea mays) as host plant</t>
  </si>
  <si>
    <t>Waste Management</t>
  </si>
  <si>
    <t>10.1016/j.wasman.2021.08.018</t>
  </si>
  <si>
    <t>https://www.scopus.com/inward/record.uri?eid=2-s2.0-85113295358&amp;doi=10.1016%2fj.wasman.2021.08.018&amp;partnerID=40&amp;md5=a323f5398e9a81bd14ec5afc9784adda</t>
  </si>
  <si>
    <t>The use of composts and potting mixes in food production systems is a promising way to counteract the effects of soil degradation and allows crop growth in soilless culture systems. Arbuscular mycorrhizal fungi (AMF) are a well-studied group of beneficial plant symbionts that have been shown to provide important ecosystem services. This study analysed the properties of nine commercial Australian potting mixes and composts and investigated whether they support colonization of maize plants with AMF in a plant growth bioassay. Physicochemical analyses showed highly variable properties between the substrates, with some extreme values that limited plant growth. DNA-based analysis revealed the presence of various plant pathogens, which was linked to inhibited plant growth in one substrate. Some substrates did not meet national quality standards, due to the concentrations of plant nutrients, heavy metals, or substrate maturity. Plant growth was mostly limited due to nitrogen immobilization, which required weekly fertilizer applications. Solid state 13C nuclear magnetic resonance spectroscopy gave insight into the decomposition state of the substrates. Plant roots in most substrates were well colonized with AMF (&amp;gt;60% root length), regardless of most substrate properties. Root colonization was negatively affected in only one substrate, likely due to ammonium toxicity. Results of this study show that not all commercial substrates adhered to national quality standards. Potting mixes and composts can support high mycorrhizal root colonization when plant growth is otherwise not limited. © 2021 Elsevier Ltd</t>
  </si>
  <si>
    <t>AMF; Compost; Evaluation; Mycorrhiza; Potting mix; Potting soil</t>
  </si>
  <si>
    <t>Liu H., Wu Y., Xu H., Ai Z., Zhang J., Liu G., Xue S.</t>
  </si>
  <si>
    <t>Mechanistic understanding of interspecific interaction between a C4 grass and a C3 legume via arbuscular mycorrhizal fungi, as influenced by soil phosphorus availability using a 13C and 15N dual-labelled organic patch</t>
  </si>
  <si>
    <t>Plant Journal</t>
  </si>
  <si>
    <t>10.1111/tpj.15434</t>
  </si>
  <si>
    <t>https://www.scopus.com/inward/record.uri?eid=2-s2.0-85112389127&amp;doi=10.1111%2ftpj.15434&amp;partnerID=40&amp;md5=1df7e5dcade180b260768234dab4ca6a</t>
  </si>
  <si>
    <t>Arbuscular mycorrhizal fungi (AMF) can improve plant nutrient acquisition, either by directly supplying nutrients to plants or by promoting soil organic matter mineralization, thereby affecting interspecific plant relationships in natural communities. We examined the mechanism by which the addition of P affects interspecific interactions between a C4 grass (Bothriochloa ischaemum, a dominant species in natural grasslands) and a C3 legume (Lespedeza davurica, a subordinate species in natural grasslands) via AMF and plant growth, by continuous 13C and 15N labelling, combined with soil enzyme analyses. The results of 15N labelling revealed that P addition affected the shoot uptake of N via AMF by B. ischaemum and L. davurica differently. Specifically, the addition of P significantly increased the shoot uptake of N via AMF by B. ischaemum but significantly decreased that by L. davurica. Interspecific plant interactions via AMF significantly facilitated the plant N uptake via AMF by B. ischaemum but significantly inhibited that by L. davurica under P-limited soil conditions, whereas the opposite effect was observed in the case of excess P. This was consistent with the impact of interspecific plant interaction via AMF on arbuscular mycorrhizal (AM) benefit for plant growth. Our data indicate that the capability of plant N uptake via AMF is an important mechanism that influences interspecific relationships between C4 grasses and C3 legumes. Moreover, the effect of AMF on the activities of the soil enzymes responsible for N and P mineralization substantially contributed to the consequence of interspecific plant interaction via AMF for plant growth. © 2021 Society for Experimental Biology and John Wiley &amp; Sons Ltd.</t>
  </si>
  <si>
    <t>15N; arbuscular mycorrhizal fungi (AMF); interspecific plant interaction; mycorrhizal growth response; P addition; plant nitrogen acquisition via AMF</t>
  </si>
  <si>
    <t>Dantas de Paula M., Forrest M., Langan L., Bendix J., Homeier J., Velescu A., Wilcke W., Hickler T.</t>
  </si>
  <si>
    <t>Nutrient cycling drives plant community trait assembly and ecosystem functioning in a tropical mountain biodiversity hotspot</t>
  </si>
  <si>
    <t>10.1111/nph.17600</t>
  </si>
  <si>
    <t>https://www.scopus.com/inward/record.uri?eid=2-s2.0-85111587913&amp;doi=10.1111%2fnph.17600&amp;partnerID=40&amp;md5=84e3985b580cb7f7366f5b1016a3da2e</t>
  </si>
  <si>
    <t>Community trait assembly in highly diverse tropical rainforests is still poorly understood. Based on more than a decade of field measurements in a biodiversity hotspot of southern Ecuador, we implemented plant trait variation and improved soil organic matter dynamics in a widely used dynamic vegetation model (the Lund-Potsdam-Jena General Ecosystem Simulator, LPJ-GUESS) to explore the main drivers of community assembly along an elevational gradient. In the model used here (LPJ-GUESS-NTD, where NTD stands for nutrient-trait dynamics), each plant individual can possess different trait combinations, and the community trait composition emerges via ecological sorting. Further model developments include plant growth limitation by phosphorous (P) and mycorrhizal nutrient uptake. The new model version reproduced the main observed community trait shift and related vegetation processes along the elevational gradient, but only if nutrient limitations to plant growth were activated. In turn, when traits were fixed, low productivity communities emerged due to reduced nutrient-use efficiency. Mycorrhizal nutrient uptake, when deactivated, reduced net primary production (NPP) by 61–72% along the gradient. Our results strongly suggest that the elevational temperature gradient drives community assembly and ecosystem functioning indirectly through its effect on soil nutrient dynamics and vegetation traits. This illustrates the importance of considering these processes to yield realistic model predictions. © 2021 The Authors. New Phytologist © 2021 New Phytologist Foundation</t>
  </si>
  <si>
    <t>dynamic vegetation model; mycorrhiza; nutrient cycling; plant community assembly; plant functional traits; tropical montane forests (TMF)</t>
  </si>
  <si>
    <t>Wang R., Cavagnaro T.R., Jiang Y., Keitel C., Dijkstra F.A.</t>
  </si>
  <si>
    <t>Carbon allocation to the rhizosphere is affected by drought and nitrogen addition</t>
  </si>
  <si>
    <t>10.1111/1365-2745.13746</t>
  </si>
  <si>
    <t>https://www.scopus.com/inward/record.uri?eid=2-s2.0-85111310544&amp;doi=10.1111%2f1365-2745.13746&amp;partnerID=40&amp;md5=01975f8b3376aeca3be44b0930efc5f6</t>
  </si>
  <si>
    <t>Photosynthetic carbon (C) allocated below-ground can be shared with mycorrhizal fungi in exchange for nutrients, but also added into soil as rhizodeposits that potentially increases plant nutrient supply by supporting microbial nutrient mineralization from organic matter. How water and nitrogen (N) availability affects plant C allocation to the rhizosphere, including both arbuscular mycorrhizal fungi (AMF) symbionts and rhizodeposits, remains largely unknown. We used a 13CO2 pulse labelling experiment to assess the effects of drought and N addition on below-ground allocation of C to soils and roots (quantified as excess 13C) and tested their relationships with AMF colonization in an Australian grassland. We also examined relationships between AMF and previously reported root respiration and decomposition of rhizodeposits in this study. We found that drought decreased the absolute amount of excess 13C allocated to both soils and roots, likely due to less photosynthetic C fixation. In contrast, proportionally more excess 13C was allocated to soils but less to root biomass with drought, suggesting that relatively more C was allocated to rhizodeposits and to AMF hyphal growth and extension. However, N addition reversed drought effects on below-ground C allocation by retaining proportionally more excess 13C in roots and less in soils, congruent with higher soil N and phosphorus availability, root biomass and number of root tips compared to drought without N addition. This suggests that the alleviation of nutrient limitation promoted plants to expend relatively more C on root growth and root trait adjustment, but less C on rhizodeposition and mycorrhizal symbiosis. Synthesis. Mycorrhizal colonization related negatively to rhizodeposit decomposition rate but positively to both excess 13C in root biomass and root respiration, suggesting a possible trade-off in C allocation between mycorrhizal symbiosis and rhizodeposition. We conclude that below-ground C allocation in this grassland can be mediated by mycorrhizal colonization and is strongly affected by water and nutrient availability. © 2021 British Ecological Society</t>
  </si>
  <si>
    <t>carbon and nutrient exchange; mycorrhizal symbiosis; nitrogen enrichment; photosynthetic carbon; plant–soil (below-ground) interactions; root exudates; water stress</t>
  </si>
  <si>
    <t>Suetsugu K., Matsubayashi J.</t>
  </si>
  <si>
    <t>Subterranean morphology modulates the degree of mycoheterotrophy in a green orchid Calypso bulbosa exploiting wood-decaying fungi</t>
  </si>
  <si>
    <t>Functional Ecology</t>
  </si>
  <si>
    <t>10.1111/1365-2435.13864</t>
  </si>
  <si>
    <t>https://www.scopus.com/inward/record.uri?eid=2-s2.0-85109354684&amp;doi=10.1111%2f1365-2435.13864&amp;partnerID=40&amp;md5=3553c2975935a5c61731d5335c3a82a3</t>
  </si>
  <si>
    <t>Many vascular plants and aquatic organisms are not strictly autotrophic or heterotrophic but rather mixotrophic. Mixotrophy is a widespread nutritional strategy, merging autotrophy and heterotrophy to acquire organic carbon (C). Because all orchids are mycoheterotrophic during the early stages, many species are also predisposed to mycoheterotrophic nutrition during the mature stage. Consequently, many green orchids adopt partially mycoheterotrophy, a kind of mixotrophic strategy, obtaining carbon through autotrophy and mycoheterotrophy. However, the proportions of fungal-derived carbon reported for these mixotrophic orchids show considerable variation, even within species under similar light conditions and at similar growth stages. The factors promoting such variation remain to be fully elucidated. We investigated the nutritional mode of a green orchid Calypso bulbosa to determine whether coralloid rhizomes, which are often found in fully mycoheterotrophic orchids, affect the degree of mycoheterotrophy. To this end, we performed molecular barcoding and 13C and 15N analyses to identify the mycorrhizal partners and fungal dependency of C. bulbosa specimens with and without coralloid rhizomes. We found that C. bulbosa individuals were consistently colonized by an OTU of the wood-decaying fungal genus Protomerulius (Auriculariales), regardless of the presence of rhizomes. Furthermore, although both types of C. bulbosa specimens are partially mycoheterotrophic, as indicated by their higher 13C and 15N abundances, those with coralloid rhizomes exhibited a higher degree of mycoheterotrophy. Our results indicate that partial mycoheterotrophy in C. bulbosa is a flexible mechanism driven by subterranean morphology. Although mixotrophy has evolved repeatedly in vascular plants and aquatic organisms, their trophic plasticity remains largely unexplored. Here we propose a novel mechanism modulating the degree of mycoheterotrophy in green orchids, providing a new perspective on the ecological plasticity of nutritional mode in mixotrophic organisms. A free Plain Language Summary can be found within the Supporting Information of this article. © 2021 British Ecological Society</t>
  </si>
  <si>
    <t>Auriculariales; mixotrophy; mycorrhizas; partial mycoheterotrophy; phenotypic plasticity; Protomerulius; saprotrophic fungi; stable isotopes</t>
  </si>
  <si>
    <t>Scott D.A., Bach E.M., Du Preez C.C., Six J., Baer S.G.</t>
  </si>
  <si>
    <t>Mechanisms influencing physically sequestered soil carbon in temperate restored grasslands in South Africa and North America</t>
  </si>
  <si>
    <t>Biogeochemistry</t>
  </si>
  <si>
    <t>10.1007/s10533-021-00774-y</t>
  </si>
  <si>
    <t>https://www.scopus.com/inward/record.uri?eid=2-s2.0-85102601332&amp;doi=10.1007%2fs10533-021-00774-y&amp;partnerID=40&amp;md5=747ec28310567fef13dff31fb987c0ed</t>
  </si>
  <si>
    <t>Sequestering carbon (C) into stable soil pools has potential to mitigate increasing atmospheric carbon dioxide concentrations. Carbon accrues in grassland soil restored from cultivation, but the amount of physically protected C (here measured as microaggregate-within-macroaggregate C) and predominant mechanisms of accrual are not well understood. We modeled the rate of physically protected carbon accrued in three mesic temperate perennial restored grasslands from cross-continental regions using datasets with a wide range of restoration ages from northeast Kansas, USA; southeast Nebraska, USA; and northeast Free State, South Africa. Further, we investigated major controls on the amount of physically protected C in each site using structural equation modeling. Variables in the structural equation model were root biomass, root C:N ratio, soil structure (indicated by bulk density, percent of macroaggregates on a per whole soil mass basis, and percent of microaggregate-within-macroaggregates on a per macroaggregate mass basis), microbial composition (indicated by microbial biomass C, total phospholipid fatty acid [PLFA] biomass, and PLFA biomass of arbuscular mycorrhizae fungi [AMF] biomass), and microaggregate-within-macroaggregate C on a per whole soil mass basis. Across all sites, physically protected C accrued at a rate of 16 ± 5 g m−2 year−1. Data from South Africa fit an a priori metamodel developed for northeast KS that hypothesized physically protected C could be explained as a function of microbial composition, soil structure, root C:N ratio, and root biomass (listed in order of strength of direct effect on physically protected C). In contrast to the model-based hypothesis, root C:N ratio was the strongest influence (negative) on physically protected C in South Africa. The lesser effect of AMF on physically protected C in South Africa was consistent with lower AMF biomass in arid environments. The hypothesized model did not fit southeast Nebraska data possibly due to high (~ 30%) clay content. Overall, these results suggest that physically protected C in soil with moderate amounts of clay (more than 10% and less than 30%) can be predicted with knowledge of roots (biomass and C:N ratio), microbial biomass, and soil aggregation. © 2021, The Author(s), under exclusive licence to Springer Nature Switzerland AG.</t>
  </si>
  <si>
    <t>Arbuscular mycorrhizal fungi; Conservation Reserve Program; Microaggregate‐within‐macroaggregate; Microbial biomass; Roots; Soil organic matter; Soil structure</t>
  </si>
  <si>
    <t>Zhou J., Wen Y., Marshall M.R., Zhao J., Gui H., Yang Y., Zeng Z., Jones D.L., Zang H.</t>
  </si>
  <si>
    <t>Microplastics as an emerging threat to plant and soil health in agroecosystems</t>
  </si>
  <si>
    <t>10.1016/j.scitotenv.2021.147444</t>
  </si>
  <si>
    <t>https://www.scopus.com/inward/record.uri?eid=2-s2.0-85106305013&amp;doi=10.1016%2fj.scitotenv.2021.147444&amp;partnerID=40&amp;md5=1daab4a2c240e48db12ebb78886d7339</t>
  </si>
  <si>
    <t>Microplastics (MPs, &lt;5 mm in diameter) have been widely recognized as a critical environmental issue due to their extensive use and low degradation rate. Based on current evidence, our aim is to evaluate whether MPs represent an emerging threat to plant-soil health in agroecosystems. We assess the ecological risks to plant-microbe-soil interactions associated with MPs and discuss the consequences of MPs on soil carbon (C), nutrient cycling, as well as greenhouse gas emissions in agroecosystems. We also identify knowledge gaps and give suggestions for future research. We conclude that MPs can alter a range of key soil biogeochemical processes by changing its properties, forming specific microbial hotspots, resulting in multiple effects on microbial activities and functions. Mixed effects of MPs on plant growth and performance can be explained by the direct toxicity of MPs or the indirect alteration in soil physical structures and microbial communities (i.e. symbiotic arbuscular mycorrhizal fungi). Because of the diverse nature of MPs found in soils, in terms of polymer type, shape and size, we also see differing effects on soil organic matter (SOM) decomposition, nutrient cycling, and greenhouse gases production. Importantly, increased bioavailable C from the decomposition of biodegradable MPs, which enhances microbial and enzymatic activities, potentially accelerates SOM mineralization and increases nutrient competition between plant and microbes. Thus, biodegradable MPs appear to pose a greater risk to plant growth compared to petroleum-based MPs. Although MPs may confer some benefits in agroecosystems (e.g. enhanced soil structure, aeration), it is thought that these will be far outweighed by the potential disbenefits. © 2021 Elsevier B.V.</t>
  </si>
  <si>
    <t>Agroecosystem; Biodegradable plastics; Greenhouse gas emissions; Microplastics; Nutrient cycling; Plant growth; Soil carbon storage</t>
  </si>
  <si>
    <t>Wang H., Weil M., Dumack K., Zak D., Münch D., Günther A., Jurasinski G., Blume-Werry G., Kreyling J., Urich T.</t>
  </si>
  <si>
    <t>Eukaryotic rather than prokaryotic microbiomes change over seasons in rewetted fen peatlands</t>
  </si>
  <si>
    <t>FEMS Microbiology Ecology</t>
  </si>
  <si>
    <t>fiab121</t>
  </si>
  <si>
    <t>10.1093/femsec/fiab121</t>
  </si>
  <si>
    <t>https://www.scopus.com/inward/record.uri?eid=2-s2.0-85116171467&amp;doi=10.1093%2ffemsec%2ffiab121&amp;partnerID=40&amp;md5=aa30b1a45c3a7fed4207739a84e18b7e</t>
  </si>
  <si>
    <t>In the last decades, rewetting of drained peatlands is on the rise worldwide, to restore their significant carbon sink function. Despite the increasing understanding of peat microbiomes, little is known about the seasonal dynamics and network interactions of the microbial communities in these ecosystems, especially in rewetted fens (groundwater-fed peatlands). Here, we investigated the seasonal dynamics in both prokaryotic and eukaryotic microbiomes in three common fen types in Northern Germany. The eukaryotic microbiomes, including fungi, protists and microbial metazoa, showed significant changes in their community structures across the seasons in contrast to largely unaffected prokaryotic microbiomes. Furthermore, our results proved that the dynamics in eukaryotic microbiomes in the rewetted sites differed between fen types, specifically in terms of saprotrophs, arbuscular mycorrhiza and grazers of bacteria. The co-occurrence networks also exhibited strong seasonal dynamics that differed between rewetted and drained sites, and the correlations involving protists and prokaryotes were the major contributors to these dynamics. Our study provides the insight that microbial eukaryotes mainly define the seasonal dynamics of microbiomes in rewetted fen peatlands. Accordingly, future research should unravel the importance of eukaryotes for biogeochemical processes, especially the under-characterized protists and metazoa, in these poorly understood ecosystems. © 2021 The Author(s) 2021.</t>
  </si>
  <si>
    <t>Fungi; Microbial metazoa; Network interactions; Peat soil; Protists; Seasonal dynamics</t>
  </si>
  <si>
    <t>Verbruggen E., Struyf E., Vicca S.</t>
  </si>
  <si>
    <t>Can arbuscular mycorrhizal fungi speed up carbon sequestration by enhanced weathering?</t>
  </si>
  <si>
    <t>Plants People Planet</t>
  </si>
  <si>
    <t>10.1002/ppp3.10179</t>
  </si>
  <si>
    <t>https://www.scopus.com/inward/record.uri?eid=2-s2.0-85113526765&amp;doi=10.1002%2fppp3.10179&amp;partnerID=40&amp;md5=9604799ce57b013aba41d6a432a385b0</t>
  </si>
  <si>
    <t>Societal Impact Statement: Mitigating climate change and increasing agricultural sustainability are twin challenges society faces in the upcoming decades. One measure that can contribute to reducing atmospheric CO2 is "enhanced weathering" through application of ground silicates. Here we propose that mycorrhizal fungi may critically contribute to the success of enhanced weathering in agricultural systems. Fundamental lab-based experiments now need to go hand in hand with real-world field trials, with the goal to optimize both decarbonization and environmental sustainability of agricultural ecosystems. Summary: Arbuscular mycorrhizal fungi have significantly contributed to weathering of the earth's surface since their evolutionary origin 400–500 million years ago. They have been a key player in the global carbon cycle over geological timescales. In order to reach the global warming targets as agreed at the Paris summit in 2015, implementation of negative emission technologies is necessary. Among the options, one of the simplest is "enhanced weathering", where silicate rock is ground into small particles to enhance weathering rate. Here we synthesize the ways by which mycorrhizal fungi interact with these particles when applied to agricultural fields, and suggest they may stimulate weathering by various direct and indirect mechanisms. We conclude that because the intensity with which mycorrhiza interact with soil is tightly related to plant provisioning of photosynthates in exchange for soil-derived nutrients, weathering rates and hence carbon sequestration are likely to increase with agricultural activities that stimulate plant reliance on and investment in arbuscular mycorrhizal fungi. © 2021 The Authors. Plants, People, Planet © New Phytologist Foundation</t>
  </si>
  <si>
    <t>climate change mitigation; enhanced weathering; geo-engineering; mycorrhizal fungi; sustainable agriculture</t>
  </si>
  <si>
    <t>Lynch J.P., Strock C.F., Schneider H.M., Sidhu J.S., Ajmera I., Galindo-Castañeda T., Klein S.P., Hanlon M.T.</t>
  </si>
  <si>
    <t>Root anatomy and soil resource capture</t>
  </si>
  <si>
    <t>10.1007/s11104-021-05010-y</t>
  </si>
  <si>
    <t>https://www.scopus.com/inward/record.uri?eid=2-s2.0-85109362566&amp;doi=10.1007%2fs11104-021-05010-y&amp;partnerID=40&amp;md5=516c934d3f821d1f0e7df0b5840c74c1</t>
  </si>
  <si>
    <t>Background: Suboptimal water and nutrient availability are primary constraints in global agriculture. Root anatomy plays key roles in soil resource acquisition. In this article we summarize evidence that root anatomical phenotypes present opportunities for crop breeding. Scope: Root anatomical phenotypes influence soil resource acquisition by regulating the metabolic cost of soil exploration, exploitation of the rhizosphere, the penetration of hard soil domains, the axial and radial transport of water, and interactions with soil biota including mycorrhizal fungi, pathogens, insects, and the rhizosphere microbiome. For each of these topics we provide examples of anatomical phenotypes which merit attention as selection targets for crop improvement. Several cross-cutting issues are addressed including the importance of phenotypic plasticity, integrated phenotypes, C sequestration, in silico modeling, and novel methods to phenotype root anatomy including image analysis tools. Conclusions: An array of anatomical phenes have substantial importance for the acquisition of water and nutrients. Substantial phenotypic variation exists in crop germplasm. New tools and methods are making it easier to phenotype root anatomy, determine its genetic control, and understand its utility for plant fitness. Root anatomical phenotypes are underutilized yet attractive breeding targets for the development of the efficient, resilient crops urgently needed in global agriculture. © 2021, The Author(s), under exclusive licence to Springer Nature Switzerland AG.</t>
  </si>
  <si>
    <t>Anatomy; Carbon sequestration; Image analysis; Insects; Modeling; Mycorrhiza; Nutrients; Pathogens; Plasticity; Root; Transport; Water</t>
  </si>
  <si>
    <t>Thirkell T.J., Campbell M., Driver J., Pastok D., Merry B., Field K.J.</t>
  </si>
  <si>
    <t>Cultivar-dependent increases in mycorrhizal nutrient acquisition by barley in response to elevated CO2</t>
  </si>
  <si>
    <t>10.1002/ppp3.10174</t>
  </si>
  <si>
    <t>https://www.scopus.com/inward/record.uri?eid=2-s2.0-85104701977&amp;doi=10.1002%2fppp3.10174&amp;partnerID=40&amp;md5=257ef565524940f1bbf4622e2d0c7241</t>
  </si>
  <si>
    <t>Modern agriculture is under pressure to meet yield targets while reducing reliance on finite resources to improve sustainability. Climate change represents an additional challenge—elevated atmospheric CO2 concentrations may increase plant growth and boost yield, but the nutritional value of crops grown at elevated CO2 is often reduced. Arbuscular mycorrhizal fungi (AMF) can improve plant nutrition, although how this symbiosis will be affected by climate change is unclear. Here, we demonstrate mycorrhizal contribution to nitrogen and phosphorus nutrition in barley under current and future CO2 concentrations. In one cultivar, AMF substantially increased phosphorus uptake at elevated CO2 and prevented phosphorus dilution, suggesting the symbiosis may become more important for crop nutrient uptake in the future. Summary Globally important cereals such as barley (Hordeum vulgare L.) often engage in symbiosis with arbuscular mycorrhizal fungi (AMF). The impact of elevated atmospheric CO2 on nutrient exchange between these symbionts remains unknown. In controlled environment experiments, we used isotope tracers (15N, 33P, 14C) to quantify nutrient fluxes between two barley cultivars (Moonshine and Riviera) and their associated AMF at ambient (440 ppm) and elevated (800 ppm) CO2. Elevated CO2 reduced shoot N concentration in Moonshine, and shoot N and P concentration in Riviera. Elevated CO2 substantially increased mycorrhizal 33P acquisition in Moonshine. Mycorrhizal contribution to P uptake in Moonshine may have prevented dilution of tissue P concentration at elevated CO2. In Riviera, AMF did not improve 33P acquisition. Both cultivars received 15N from their AMF symbionts, and this acquisition was not influenced by CO2 concentration, although Moonshine received more 15N than Riviera. Our results suggest that AMF may provide substantial contributions to barley nutrition at current and projected future CO2 concentrations. This is especially noteworthy for barley, which is generally considered to have low mycorrhizal receptivity. AMF may help alleviate or avoid nutrient dilution normally observed at elevated CO2. Variation between cultivars indicates that mycorrhizal contribution to cereal nutrition could be improved through selective breeding practices. © 2020 The Authors. Plants, People, Planet © New Phytologist Foundation</t>
  </si>
  <si>
    <t>arbuscular mycorrhiza; barley; carbon; carbon dioxide; climate change; mineral nutrients; sustainable agriculture</t>
  </si>
  <si>
    <t>Stock S.C., Koester M., Boy J., Godoy R., Nájera F., Matus F., Merino C., Abdallah K., Leuschner C., Spielvogel S., Gorbushina A.A., Kuzyakov Y., Dippold M.A.</t>
  </si>
  <si>
    <t>Plant carbon investment in fine roots and arbuscular mycorrhizal fungi: A cross-biome study on nutrient acquisition strategies</t>
  </si>
  <si>
    <t>10.1016/j.scitotenv.2021.146748</t>
  </si>
  <si>
    <t>https://www.scopus.com/inward/record.uri?eid=2-s2.0-85103694252&amp;doi=10.1016%2fj.scitotenv.2021.146748&amp;partnerID=40&amp;md5=81d70bc7f9b5fcb3f271c4ba4e3e6113</t>
  </si>
  <si>
    <t>Comparing the belowground allocation of assimilated carbon (C) to roots and mycorrhizal fungi across biomes can reveal specific plant nutrient acquisition strategies in ecosystems and allows to predict consequences of environmental changes. Three natural ecosystems (arid shrubland, coastal matorral, humid-temperate forest) distinct in annual precipitation and vegetation cover and compositions were selected to conduct a 13CO2 pulse labeling of natural woody vegetation to chase the allocation of assimilated C to arbuscular mycorrhizal (AM) fungi and fine roots. Further, nitrogen (N) and phosphorus (P) availability, root traits, root colonization, and the extraradical AM fungal mycelium (PLFA and NLFA 16:1ω5c) were analyzed to evaluate the efficiency of nutrient acquisition strategies. AM fungal colonization decreased with increasing aridity by up to 55% intraradical and by up to 90% extraradical. High root tissue densities – indicating longevity of roots – and low specific root lengths – indicating a low nutrient uptake capacity – pointed to a slow and resource conservative acquisition strategy of plants in the arid shrubland. Plants in the matorral, on the contrary, had lower root tissue densities but higher specific root lengths and higher root N contents, pointing to a fast nutrient acquisition strategy. The expression of abundant acquisitive fine roots of plants in the matorral, however, comes at the cost of larger C investment, shown by high 13C incorporation into root tissue. High root tissue densities and greater root diameter indicated that plants in the humid-temperate forest followed a resource-conservative strategy and outsource their nutrient acquisition to AM fungi. This outsourcing provides an efficient pathway to compensate a low uptake capacity of thick and dense roots. These ecosystem-specific acquisition strategies and distinct mutualism with AM fungi across the biomes will likely affect the sensitivity of plants to abiotic and biotic stressors and, thus, ecosystem responses to future climatic and environmental changes. © 2021 Elsevier B.V.</t>
  </si>
  <si>
    <t>13CO2 pulse labeling; Arbuscular mycorrhiza; Natural ecosystems; Plant economic spectrum; Root economics space; Temperate rain forest</t>
  </si>
  <si>
    <t>Lindahl B.D., Kyaschenko J., Varenius K., Clemmensen K.E., Dahlberg A., Karltun E., Stendahl J.</t>
  </si>
  <si>
    <t>A group of ectomycorrhizal fungi restricts organic matter accumulation in boreal forest</t>
  </si>
  <si>
    <t>Ecology Letters</t>
  </si>
  <si>
    <t>10.1111/ele.13746</t>
  </si>
  <si>
    <t>https://www.scopus.com/inward/record.uri?eid=2-s2.0-85102812695&amp;doi=10.1111%2fele.13746&amp;partnerID=40&amp;md5=bc45540dc5094d4cd606c2c8c99525ac</t>
  </si>
  <si>
    <t>Boreal forest soils are important global carbon sinks, with significant storage in the organic topsoil. Decomposition of these stocks requires oxidative enzymes, uniquely produced by fungi. Across Swedish boreal forests, we found that local carbon storage in the organic topsoil was 33% lower in the presence of a group of closely related species of ectomycorrhizal fungi – Cortinarius acutus s.l. This observation challenges the prevailing view that ectomycorrhizal fungi generally act to increase carbon storage in soils but supports the idea that certain ectomycorrhizal fungi can complement free-living decomposers, maintaining organic matter turnover, nutrient cycling and tree productivity under nutrient-poor conditions. The indication that a narrow group of fungi may exert a major influence on carbon cycling questions the prevailing dogma of functional redundancy among microbial decomposers. Cortinarius acutus s.l. responds negatively to stand-replacing disturbance, and associated population declines are likely to increase soil carbon sequestration while impeding long-term nutrient cycling. © 2021 The Authors. Ecology Letters published by John Wiley &amp; Sons Ltd.</t>
  </si>
  <si>
    <t>carbon sequestration; decomposition; functional guilds; functional redundancy; fungal communities; metabarcoding; mor layer; nitrogen; soil; statistical modelling</t>
  </si>
  <si>
    <t>Chen M., Liu S., Xu G.-X., Shi Z.-M.</t>
  </si>
  <si>
    <t>Vertical distribution of natural abundance of stable carbon and nitrogen isotopes along the soil profile and the underlying mechanisms [土壤剖面碳氮稳定同位素自然丰度的垂直分布模式及其影响机制]</t>
  </si>
  <si>
    <t>Chinese Journal of Applied Ecology</t>
  </si>
  <si>
    <t>10.13287/j.1001-9332.202106.028</t>
  </si>
  <si>
    <t>https://www.scopus.com/inward/record.uri?eid=2-s2.0-85108813386&amp;doi=10.13287%2fj.1001-9332.202106.028&amp;partnerID=40&amp;md5=4485327e78b528f681f5acaab04796f4</t>
  </si>
  <si>
    <t>Understanding the changes of natural abundance of stable carbon and nitrogen isotopes (δ13C and δ15N) along soil profile is of great importance in revealing the mechanisms of soil carbon and nitrogen cycling in terrestrial ecosystems. Based on a comprehensive review on the distribution of δ13C and δ15N along soil profile, the mechanisms underlying their vertical distribution were mainly introduced here. There were three mechanisms driving the δ13C vertical distribution in soil profile: 1) historical changes of vegetation δ13C value, 2) changes of C3-C4 species dominance in plant communities, 3) accumulation of 13C-enriched microbial-derived carbon during decomposition. The effects of 13C Suess effect on the vertical distribution of δ13C in soil profile were also discussed. There were four mechanisms underlying the vertical distribution of δ15N in soil profile: 1) 15N-depletion gas loss during denitrification, 2) accumulation of 15N-enriched microbial-derived nitrogen during decomposition, 3) accumulation of 15N-encriched mycorrhizal fungi residues in deep soil as a result of transferring 15N-depleted nitrogen compounds to plants by mycorrhizae, 4) interaction between soil organic matter and mineral substance. We proposed important concerning points for the future study on vertical distribution of natural abundance of stable carbon and nitrogen isotopes in soil profile. © 2021, Science Press. All right reserved.</t>
  </si>
  <si>
    <t>Carbon stable isotope; Isotopic fractionation; Nitrogen stable isotope; Soil profile; Vertical distribution</t>
  </si>
  <si>
    <t>Matus-Acuña V., Caballero-Flores G., Martínez-Romero E.</t>
  </si>
  <si>
    <t>The influence of maize genotype on the rhizosphere eukaryotic community</t>
  </si>
  <si>
    <t>10.1093/femsec/fiab066</t>
  </si>
  <si>
    <t>https://www.scopus.com/inward/record.uri?eid=2-s2.0-85107084961&amp;doi=10.1093%2ffemsec%2ffiab066&amp;partnerID=40&amp;md5=89f92509b3cacf13744f1b742e5a3cb0</t>
  </si>
  <si>
    <t>The microbiota colonizing the rhizosphere contributes to plant growth, productivity, carbon sequestration and phytoremediation. Several studies address plant-associated bacteria; however, few studies analyze the effect of plant genotype on the eukaryotic community. Here, we analyzed the eukaryotic composition of maize rhizosphere from three different plant landraces and one inbred line grown in the same soil (common garden approach). This experimental design, coupled with 18S rDNA gene amplicon sequencing, allowed us to test the influence of maize and its genotype on the rhizosphere’s eukaryotic community. We found that plant growth modified the eukaryotic community in soil, as diversity comparisons between maize rhizosphere and unplanted soil revealed significantly different eukaryotic composition. Various genera of nematodes and fungi, predominantly bacterial feeding nematodes and mycorrhizal fungi among other taxa, were increased in the rhizosphere samples. We also observed that maize genotype differentially shaped the relative abundance of the following fungal families in the rhizosphere: Acaulosporaceae, Aspergillaceae, Chaetomiaceae, Claroideoglomeraceae, Corticiaceae, Mortierellaceae, Trichocomaceae and Trichomeriaceae. Thus, plant genotype has a selective influence on establishing fungal communities in the rhizosphere. This study emphasizes the importance of an integrated consideration of plant genetics for future agricultural applications of microbes to crops. © The Author(s) 2021. Published by Oxford University Press on behalf of FEMS. All rights reserved.</t>
  </si>
  <si>
    <t>Eukaryotic community; Maize landrace; Mycorrhiza; Plant genotype; Rhizosphere</t>
  </si>
  <si>
    <t>Parker T.C., Thurston A.M., Raundrup K., Subke J.-A., Wookey P.A., Hartley I.P.</t>
  </si>
  <si>
    <t>Shrub expansion in the Arctic may induce large‐scale carbon losses due to changes in plant‐soil interactions</t>
  </si>
  <si>
    <t>10.1007/s11104-021-04919-8</t>
  </si>
  <si>
    <t>https://www.scopus.com/inward/record.uri?eid=2-s2.0-85103157786&amp;doi=10.1007%2fs11104-021-04919-8&amp;partnerID=40&amp;md5=59036cd92e2f91d8493cee1e0dbd50b7</t>
  </si>
  <si>
    <t>Background: Tall deciduous shrubs are increasing in range, size and cover across much of the Arctic, a process commonly assumed to increase carbon (C) storage. Major advances in remote sensing have increased our ability to monitor changes aboveground, improving quantification and understanding of arctic greening. However, the vast majority of C in the Arctic is stored in soils, where changes are more uncertain. Scope: We present pilot data to argue that shrub expansion will cause changes in rhizosphere processes, including the development of new mycorrhizal associations that have the potential to promote soil C losses that substantially exceed C gains in plant biomass. However, current observations are limited in their spatial extent, and mechanistic understanding is still developing. Extending measurements across different regions and tundra types would greatly increase our ability to predict the biogeochemical consequences of arctic vegetation change, and we present a simple method that would allow such data to be collected. Conclusions: Shrub expansion in the Arctic could promote substantial soil C losses that are unlikely to be offset by increases in plant biomass. However, confidence in this prediction is limited by a lack of information on how soil C stocks vary between contrasting Arctic vegetation communities; this needs to be addressed urgently. © 2021, The Author(s).</t>
  </si>
  <si>
    <t>Arctic; Carbon cycle; Climate change; Rhizosphere; Shrub expansion; Soil</t>
  </si>
  <si>
    <t>Clemmensen K.E., Durling M.B., Michelsen A., Hallin S., Finlay R.D., Lindahl B.D.</t>
  </si>
  <si>
    <t>A tipping point in carbon storage when forest expands into tundra is related to mycorrhizal recycling of nitrogen</t>
  </si>
  <si>
    <t>10.1111/ele.13735</t>
  </si>
  <si>
    <t>https://www.scopus.com/inward/record.uri?eid=2-s2.0-85102836561&amp;doi=10.1111%2fele.13735&amp;partnerID=40&amp;md5=a68eba2bab4a63fbd7cca740c5846dbe</t>
  </si>
  <si>
    <t>Tundra ecosystems are global belowground sinks for atmospheric CO2. Ongoing warming-induced encroachment by shrubs and trees risks turning this sink into a CO2 source, resulting in a positive feedback on climate warming. To advance mechanistic understanding of how shifts in mycorrhizal types affect long-term carbon (C) and nitrogen (N) stocks, we studied small-scale soil depth profiles of fungal communities and C–N dynamics across a subarctic-alpine forest-heath vegetation gradient. Belowground organic stocks decreased abruptly at the transition from heath to forest, linked to the presence of certain tree-associated ectomycorrhizal fungi that contribute to decomposition when mining N from organic matter. In contrast, ericoid mycorrhizal plants and fungi were associated with organic matter accumulation and slow decomposition. If climatic controls on arctic-alpine forest lines are relaxed, increased decomposition will likely outbalance increased plant productivity, decreasing the overall C sink capacity of displaced tundra. © 2021 The Authors. Ecology Letters published by John Wiley &amp; Sons Ltd.</t>
  </si>
  <si>
    <t>Arctic warming; carbon sequestration; decomposition; functional genes; meta-barcoding; mycorrhizal type; nitrogen cycling; soil fungal communities; stable isotopes; treeline ecotone</t>
  </si>
  <si>
    <t>Letter</t>
  </si>
  <si>
    <t>Sousa D., Fisher J.B., Galvan F.R., Pavlick R.P., Cordell S., Giambelluca T.W., Giardina C.P., Gilbert G.S., Imran-Narahari F., Litton C.M., Lutz J.A., North M.P., Orwig D.A., Ostertag R., Sack L., Phillips R.P.</t>
  </si>
  <si>
    <t>Tree Canopies Reflect Mycorrhizal Composition</t>
  </si>
  <si>
    <t>e2021GL092764</t>
  </si>
  <si>
    <t>10.1029/2021GL092764</t>
  </si>
  <si>
    <t>https://www.scopus.com/inward/record.uri?eid=2-s2.0-85106901419&amp;doi=10.1029%2f2021GL092764&amp;partnerID=40&amp;md5=a6b8bf40b35093d1bec8e9910e53e689</t>
  </si>
  <si>
    <t>Mycorrhizae alter global patterns of CO2 fertilization, carbon storage, and elemental cycling, yet knowledge of their global distributions is currently limited by the availability of forest inventory data. Here, we show that maps of tree-mycorrhizal associations (hereafter “mycorrhizal maps”) can be improved by the novel technology of imaging spectroscopy because mycorrhizal signatures propagate up from plant roots to impact forest canopy chemistry. We analyzed measurements from 143 airborne imaging spectroscopy surveys over 112,975 individual trees collected across 13 years. Results show remarkable accuracy in capturing ground truth observations of mycorrhizal associations from canopy signals across disparate landscapes (R2 = 0.92, p &amp;lt; 0.01). Upcoming imaging spectroscopy satellite missions can reveal new insights into landscape-scale variations in water, nitrogen, phosphorus, carotenoid/anthocyanin, and cellulose/lignin composition. Applied globally, this approach could improve the spatial precision of mycorrhizal distributions by a factor of roughly 104 and facilitate the incorporation of dynamic shifts in forest composition into Earth system models. © 2021. American Geophysical Union. All Rights Reserved.</t>
  </si>
  <si>
    <t>biogeochemistry; foliar traits; imaging spectroscopy; mycorrhizae; nutrient cycling; remote sensing</t>
  </si>
  <si>
    <t>Tsachidou B., Hissler C., Noo A.Ï., Lemaigre S., Daigneux B., Gennen J., Pacaud S., George I.F., Delfosse P.</t>
  </si>
  <si>
    <t>Biogas residues in the battle for terrestrial carbon sequestration: A comparative decomposition study in the grassland soils of the Greater Region</t>
  </si>
  <si>
    <t>Journal of Environmental Management</t>
  </si>
  <si>
    <t>10.1016/j.jenvman.2021.112272</t>
  </si>
  <si>
    <t>https://www.scopus.com/inward/record.uri?eid=2-s2.0-85101869869&amp;doi=10.1016%2fj.jenvman.2021.112272&amp;partnerID=40&amp;md5=fe47c04a19361a476ebf8e3a20c66f40</t>
  </si>
  <si>
    <t>The recycling of biogas residues resulting from the anaerobic digestion of organic waste on agricultural land is among the means to reduce chemical fertilizer use and combat climate change. This in sacco decomposition study investigates (1) the potential of the granulated biogas residue fraction to provide nutrients and enhance soil carbon sequestration when utilized as exogenous organic matter in grassland soils, and (2) the impact of different nitrogen fertilizers on the organic matter decomposition and nutrient release processes. The experiment was conducted in two permanent grasslands of the Greater Region over one management period using rooibos tea as a comparator material. The decomposition and chemical changes of the two materials after incubation in the soil were assessed by measuring the mass loss, total carbon and nitrogen status, and fibre composition in cellulose, hemicellulose and lignin. Overall, after the incubation period, granulated biogas residue maintained up to 68% of its total mass, organic matter and total carbon; increased its content in recalcitrant organic matter by up to 45% and released 45% of its total nitrogen. Granulated biogas residue demonstrated resilience and a higher response uniformity when exposed to different nitrogen fertilizers, as opposed to the comparator material of rooibos tea. However, the magnitude of fertilizer-type effect varied, with ammonium nitrate and the combinatorial treatment of raw biogas residue mixed with urea leading to the highest organic matter loss from the bags. Our findings suggest that granulated biogas residue is a biofertilizer with the potential to supply nutrients to soil biota over time, and promote carbon sequestration in grassland soils, and thereby advance agricultural sustainability while contributing to climate change mitigation. © 2021</t>
  </si>
  <si>
    <t>Anaerobic digestion; Arbuscular mycorrhizal fungi; Biofertilizers; Climate change; Nitrogen pollution; Sustainable agriculture</t>
  </si>
  <si>
    <t>Suetsugu K., Yamato M., Matsubayashi J., Tayasu I.</t>
  </si>
  <si>
    <t>Partial and full mycoheterotrophy in green and albino phenotypes of the slipper orchid Cypripedium debile</t>
  </si>
  <si>
    <t>Mycorrhiza</t>
  </si>
  <si>
    <t>10.1007/s00572-021-01032-7</t>
  </si>
  <si>
    <t>https://www.scopus.com/inward/record.uri?eid=2-s2.0-85104294798&amp;doi=10.1007%2fs00572-021-01032-7&amp;partnerID=40&amp;md5=ee6183d724e2a43f672e9c8d071ad9c6</t>
  </si>
  <si>
    <t>Most green orchids form mycorrhizal associations with rhizoctonia fungi, a polyphyletic group including Serendipitaceae, Ceratobasidiaceae, and Tulasnellaceae. Although accumulating evidence indicated that partial mycoheterotrophy occurs in such so-called rhizoctonia-associated orchids, it remains unclear how much nutrition rhizoctonia-associated orchids obtain via mycoheterotrophic relationships. We investigated the physiological ecology of green and albino individuals of a rhizoctonia-associated orchid Cypripedium debile, by using molecular barcoding of the mycobionts and stable isotope (13C and 15 N) analysis. Molecular barcoding of the mycobionts indicated that the green and albino individuals harbored Tulasnella spp., which formed a clade with the previously reported C. debile mycobionts. In addition, stable isotope analysis showed that both phenotypes were significantly enriched in 13C but not in 15 N. Therefore, green and albino individuals were recognized as partial and full mycoheterotrophs, respectively. The green variants were estimated to obtain 42.5 ± 8.2% of their C from fungal sources, using the 13C enrichment factor of albino individuals as a mycoheterotrophic endpoint. The proportion of fungal-derived C in green C. debile was higher than that reported in other rhizoctonia-associated orchids. The high fungal dependence may facilitate the emergence of albino mutants. Our study provides the first evidence of partial mycoheterotrophy in the subfamily Cypripedioideae. Partial mycoheterotrophy may be more general than previously recognized in the family Orchidaceae. © 2021, The Author(s), under exclusive licence to Springer-Verlag GmbH Germany, part of Springer Nature.</t>
  </si>
  <si>
    <t>13C natural abundance; 15N natural abundance; DNA barcoding; Mixotrophy; Mycoheterotrophy; Orchidaceae; Saprotrophic fungi; Tulasnella</t>
  </si>
  <si>
    <t>Birgander J., Olsson P.A.</t>
  </si>
  <si>
    <t>Temporal patterns of carbon flow from grassland vegetation to soil microorganisms measured using 13C-labelling and signature fatty acids</t>
  </si>
  <si>
    <t>10.1007/s11104-021-04854-8</t>
  </si>
  <si>
    <t>https://www.scopus.com/inward/record.uri?eid=2-s2.0-85100797734&amp;doi=10.1007%2fs11104-021-04854-8&amp;partnerID=40&amp;md5=1235903e18ec2256995a27a8fe73be62</t>
  </si>
  <si>
    <t>Purpose: We investigated how the C flow from plants to microorganisms varies throughout the year in a temperate grassland. Additionally, we investigated how the C flow relates to saprotrophic activity and vegetation changes. Methods: In situ stable isotope pulse labelling (13CO2) was employed to estimate the flow of recently plant-derived C to soil microorganisms by using signature fatty acids. Bacterial and fungal growth was estimated using radio-labelling in laboratory incubations. Results: The C flow from plants to arbuscular mycorrhizal (AM) fungi peaked during the warmer parts of the year, but saprotrophic microorganisms showed little temporal variation in C flow. Also saprotrophic fungi received considerable amounts of C from plants throughout the year. Bacterial and fungal growth showed temporal variation with a growth peak in August for both. This suggests a shift in the C source from mainly rhizosphere C in colder parts of the year, to older C-sources in warmer parts of the year (August). Conclusion: We conclude that AM fungi, saprotrophic fungi and bacteria differ in the amount of recently-fixed C they receive from plants throughout the year. Hence, temporal patterns need to be considered to understand ecosystem functioning. The studied plant community included winter annuals, which potentially maintain a high C flow to saprotrophic fungi during the cold season. © 2021, The Author(s).</t>
  </si>
  <si>
    <t>Arbuscular mycorrhiza (AM); Fatty acids; PLFA, 13C; Rhizosphere; Season; Temporal patterns</t>
  </si>
  <si>
    <t>Cissé G., van Oort F., Chenu C., Essi M., Staunton S.</t>
  </si>
  <si>
    <t>Is the operationally defined fraction of soil organic matter, “GRSP” (glomalin-related soil protein), stable in soils? Evidence from trends in long-term bare fallow soil</t>
  </si>
  <si>
    <t>10.1111/ejss.12974</t>
  </si>
  <si>
    <t>https://www.scopus.com/inward/record.uri?eid=2-s2.0-85087131398&amp;doi=10.1111%2fejss.12974&amp;partnerID=40&amp;md5=f5a25a5fdb1d991c41838fa0219d4fb6</t>
  </si>
  <si>
    <t>The operationally defined fraction of soil organic matter (SOM), glomalin-related soil protein (GRSP), has been reported to be particularly stable. This is the first study to test this hypothesis. Archived soil has been used from the long-term bare fallow trial, known as the 42-Plots, in Versailles, France. With no input from plants for 80 years, changes in GRSP must result from either turnover of SOM or net mineralization. Intrinsically, stability of protein would lead to progressive enrichment in GRSP. Soils from treatments that influenced pH, soil C:N ratio and physical stability were studied. Soil having received manure amendment was also studied to give contrasting microbial activity. Both GRSP and soil organic carbon (SOC) contents declined over the 80-year period, with the exception of the manure treatment. GRSP and SOC contents were positively correlated. SOC was continuously enriched in GRSP in the control treatment, suggesting greater stability of GRSP. The SOC in manure-amended soil was also progressively enriched in GRSP, but this can be attributed to the GRSP content of added manure. For the other treatments, the ratio GRSP:SOC fell continuously (CaCO3 amendment) or fell to a minimum value after 45 years (KCl amendment) or levelled off after a progressive increase ((NH4)2SO4 amendment). Trends are compared with measured soil properties and changes in microbial activity inferred from soil pH. No reliable independent assessment of microbial composition of these archived soils is possible. The results cannot be explained by inherent chemical or physicochemical stability of GRSP. We conclude that recycling of SOM continually produces soil protein. The net change in GRSP content is a complex function of SOM cycling and protein mineralization. These findings add to the increasing body of evidence that the operationally defined fraction of SOM known as GRSP does not predominantly originate from arbuscular mycorrhizal fungal activity. Highlights: Processes determining SOM enrichment in GRSP in C-depleted soils are not understood. GRSP decreased along with SOC, but relative rates of decline varied with amendments. Levels of GRSP appear to be due to organic matter turnover as well as mineralization. GRSP does not appear to originate from arbuscular mycorrhizal fungal activity. © 2020 British Society of Soil Science</t>
  </si>
  <si>
    <t>arbuscular mycorrhizal fungi; autoclaved-citrate extractable protein (ACE); bare fallow soils; carbon mineralization; carbon sequestration; long-term trial; pH; soil nitrogen; soil organic matter; soil protein</t>
  </si>
  <si>
    <t>Giesemann P., Rasmussen H.N., Gebauer G.</t>
  </si>
  <si>
    <t>Partial mycoheterotrophy is common among chlorophyllous plants with Paris-Type arbuscular mycorrhiza</t>
  </si>
  <si>
    <t>Annals of Botany</t>
  </si>
  <si>
    <t>10.1093/aob/mcab003</t>
  </si>
  <si>
    <t>https://www.scopus.com/inward/record.uri?eid=2-s2.0-85105689532&amp;doi=10.1093%2faob%2fmcab003&amp;partnerID=40&amp;md5=724b18510ab10447b03e0497cc97ab94</t>
  </si>
  <si>
    <t>Background and Aims: An arbuscular mycorrhiza is a mutualistic symbiosis with plants as carbon providers for fungi. However, achlorophyllous arbuscular mycorrhizal species are known to obtain carbon from fungi, i.e.They are mycoheterotrophic. These species all have the Paris type of arbuscular mycorrhiza. Recently, two chlorophyllous Paris-Type species proved to be partially mycoheterotrophic. In this study, we explore the frequency of this condition and its association with Paris-Type arbuscular mycorrhiza. Methods: We searched for evidence of mycoheterotrophy in all currently published 13C, 2H and 15N stable isotope abundance patterns suited for calculations of enrichment factors, i.e. isotopic differences between neighbouring Paris-and Arum-Type species. We found suitable data for 135 plant species classified into the two arbuscular mycorrhizal morphotypes. Key Results: About half of the chlorophyllous Paris-Type species tested were significantly enriched in 13C and often also enriched in 2H and 15N, compared with co-occurring Arum-Type species. Based on a two-source linear mixing model, the carbon gain from the fungal source ranged between 7 and 93 % with ferns &gt; horsetails &gt; seed plants. The seed plants represented 13 families, many without a previous record of mycoheterotrophy. The 13C-enriched chlorophyllous Paris-Type species were exclusively herbaceous perennials, with a majority of them thriving on shady forest ground. Conclusions: Significant carbon acquisition from fungi appears quite common and widespread among Paris-Type species, this arbuscular mycorrhizal morphotype probably being a pre-condition for developing varying degrees of mycoheterotrophy. © 2021</t>
  </si>
  <si>
    <t>13C; 2H; Arbuscular mycorrhiza; Arum-Type; Ellenberg values; ferns; horsetails; mycoheterotrophy; mycorrhizal networks; Paris-Type; seed plants; stable isotopes</t>
  </si>
  <si>
    <t>Fleri J.R., Arcese P.</t>
  </si>
  <si>
    <t>Predictive mapping to identify refuges for plant communities threatened by earthworm invasion</t>
  </si>
  <si>
    <t>Ecological Solutions and Evidence</t>
  </si>
  <si>
    <t>e12064</t>
  </si>
  <si>
    <t>10.1002/2688-8319.12064</t>
  </si>
  <si>
    <t>https://www.scopus.com/inward/record.uri?eid=2-s2.0-85129798623&amp;doi=10.1002%2f2688-8319.12064&amp;partnerID=40&amp;md5=0d4aea17365202775581888a9165a449</t>
  </si>
  <si>
    <t>Biological invasions by cryptic ecosystem engineers can alter the ecological and socio-economic values of ecosystems in ways that may take decades to detect. The invasion of North American glacial refuges by non-native earthworms offers a prominent but understudied example of a cryptic invasion. Non-native earthworms are known to alter carbon sequestration, disrupt mycorrhizal networks and homogenize plant communities, but natural resource managers still lack robust protocols to identify and safeguard high conservation value communities (HCVCs) from such invasions. In the absence of such protocols, or reliable methods to eradicate non-native earthworm populations once established, there is an urgent need for methods to identify HCVCs at risk of or potentially shielded from earthworm invasion by the existence of abiotic barriers to their dispersal or persistence in such sites. We developed species distribution models (SDMs) using in situ field surveys and remotely sensed data to (1) identify factors limiting the occurrence of non-native Lumbricus earthworms in imperilled coastal Douglas-fir (Pseudotsuga menziesii) forest and Garry oak (Quercus garryana) and maritime meadow ecosystems endemic to glacial refugia of the Pacific Northwest of North America and to (2) evaluate their influence on plant species diversity and identify abiotic factors capable of preventing their dispersal or persistence at a site. As predicted, shallow, drier soils and steeper terrain limited earthworm occurrence and abundance in our highly heterogeneous study area, and earthworm presence appeared to reduce plant species richness. Our results indicated that HCVCs endemic to shallow-soil (&lt; 12 ± 3 cm) sites that experience regular summer drought appear to act as refuges from invasion by non-native earthworms. Our results also elevate concerns for the conservation of deep-soil habitats not isolated from earthworm invasions by shallow soil, saltwater or other barriers to earthworm dispersal. The SDMs developed here offer guidance to the identification of potential refuges for the conservation of imperilled native species and communities from the detrimental effects non-native earthworms in glacial refugia of western North America and should thereby facilitate proactive planning by conservation practitioners. © 2021 The Authors. Ecological Solutions and Evidence published by John Wiley &amp; Sons Ltd on behalf of British Ecological Society.</t>
  </si>
  <si>
    <t>Garry oak; invasive species; Lumbricus terrestris; non-native earthworms; Quercus garryana; species distribution model</t>
  </si>
  <si>
    <t>Yates C.F., Guo J., Bell T.H., Fleishman S.M., Bock H.W., Trexler R.V., Eissenstat D.M., Centinari M.</t>
  </si>
  <si>
    <t>Tree‐induced alterations to soil properties and rhizoplane‐associated bacteria following 23 years in a common garden</t>
  </si>
  <si>
    <t>10.1007/s11104-021-04846-8</t>
  </si>
  <si>
    <t>https://www.scopus.com/inward/record.uri?eid=2-s2.0-85100007504&amp;doi=10.1007%2fs11104-021-04846-8&amp;partnerID=40&amp;md5=9abefebd9612af474d4aa71fafbdeae0</t>
  </si>
  <si>
    <t>Aims: Key functional root traits, including mycorrhizal association and root diameter, can help project ecosystem processes like root turnover and soil carbon sequestration. It is less clear, however, how such traits relate to variations in soil biology and chemistry. Here, we examined the impact of tree species with varied root traits on soil properties and rhizoplane bacterial composition, focusing specifically on mycorrhizal association type and root diameter. Methods: Within a long-term common garden in central Pennsylvania, USA, we selected three arbuscular mycorrhizal (AM) and three ectomycorrhizal (EM) tree species and assessed changes in (1) soil and leaf chemistry and (2) bacterial composition along fine absorptive roots, through 16S rRNA gene sequencing. Results: AM trees increased soil pH and soil available nitrogen relative to EM trees, and mycorrhizal association type was significantly associated with rhizoplane-associated bacterial composition. Absorptive root diameter did not clearly explain soil variability but was associated with changes in the composition of rhizoplane-associated bacteria. Conclusions: Tree-mediated shifts to soil properties were linked to mycorrhizal association type, whereas rhizoplane recruitment of bacteria was linked to both mycorrhizal type and root diameter. This has implications for predicting changes in biogeochemical processes following shifts in tree species composition. © 2021, The Author(s), under exclusive licence to Springer Nature Switzerland AG part of Springer Nature.</t>
  </si>
  <si>
    <t>Microbiome; Mycorrhizal associations; Plant soil feedback; Rhizoplane; Root traits</t>
  </si>
  <si>
    <t>Wang C., Xiao R., Guo Y., Wang Q., Cui Y., Xiu Y., Ma Z., Zhang M.</t>
  </si>
  <si>
    <t>Changes in soil microbial community composition during Phragmites australis straw decomposition in salt marshes with freshwater pumping</t>
  </si>
  <si>
    <t>10.1016/j.scitotenv.2020.143996</t>
  </si>
  <si>
    <t>https://www.scopus.com/inward/record.uri?eid=2-s2.0-85098453296&amp;doi=10.1016%2fj.scitotenv.2020.143996&amp;partnerID=40&amp;md5=a052139e0aa4f56a396a5daac3ec9049</t>
  </si>
  <si>
    <t>The dynamic changes of soil microorganisms after Phragmites australis straw addition in the incubation tubes were analyzed by phospholipid fatty acid stable isotope probing (PLFA-SIP). After comparing soils from different freshwater pumping areas in the Yellow River Estuary (10-year pumping area, 15-year pumping area and natural salt marsh without pumping), the results showed that the total PLFA contents significantly increased by 59.99%–146.93% after the addition of straw to surface soils (0–10 cm) in the pumping areas, whereas the changes in deeper soils (10–20 cm) were not significant. In particular, the PLFA results showed that bacteria and fungi were significantly increased after 10 days with straw addition. Straw treatment also improved the ratio of fungi to bacteria (F:B) in the surface soils of all sampling sites. The soil microorganisms directly absorbed straw-derived 13C, where Gram-negative bacteria (GN) were found to have the highest PLFA-13C values during the 40-day decomposition process. Soil characteristics can significantly affect microbial community composition. Accordingly, soil organic carbon (SOC) was found to be significantly positively related to bacterial, fungal and other microbial biomasses, while moisture, electric conductivity (EC) and soil aggregate composition were important factors of influence on the microbial community. The findings indicated that both fungi and bacteria were essential microbial communities in straw decomposition, the significant increase of fungi biomass and the absorption of straw-derived 13C by bacteria were the main changes of microbial community. Long-term freshwater pumping can promote straw decomposition by increasing microbial biomass and changing microbial community composition. © 2020 Elsevier B.V.</t>
  </si>
  <si>
    <t>Freshwater pumping; Microbial community; PLFA-SIP; Salt marsh; Straw decomposition</t>
  </si>
  <si>
    <t>Guo Z., Zhang X., Dungait J.A.J., Green S.M., Quine T.A.</t>
  </si>
  <si>
    <t>Contribution of soil microbial necromass to SOC stocks during vegetation recovery in a subtropical karst ecosystem</t>
  </si>
  <si>
    <t>10.1016/j.scitotenv.2020.143945</t>
  </si>
  <si>
    <t>https://www.scopus.com/inward/record.uri?eid=2-s2.0-85098168622&amp;doi=10.1016%2fj.scitotenv.2020.143945&amp;partnerID=40&amp;md5=87cc4e81aa90fd8d926e05d74ecdd7ae</t>
  </si>
  <si>
    <t>Carbon sequestration is a key soil function, and an increase in soil organic carbon (SOC) is an indicator of ecosystem recovery because it underpins other ecosystem services by acting as a substrate for the soil microbial community. The soil microbial community constitutes the active pool of SOC, and its necromass (microbial residue carbon, MRC) contributes strongly to the stable SOC pool. Therefore, we propose that the potential for restoration of degraded karst ecosystems lies in the abundance of soil microbial community and the persistence of its necromass, and may be measured by changes in its contribution to the active and stable SOC pools during recovery. We investigated changes in SOC stocks using an established space-for-time chronosequence along a perturbation gradient in the subtropical karst ecosystem: sloping cropland &amp;lt; abandoned cropland &amp;lt; shrubland &amp;lt; secondary forest &amp;lt; primary forest. Microbial biomarkers were extracted from soil profiles from surface to bedrock and used to measure the contributions of the soil microbial community composition (using phospholipid fatty acids, PLFAs) and MRC (using amino sugars) to SOC stocks at each recovery stage. The results showed that the SOC stocks ranged from 10.53 to 31.77 kg m−2 and increased with recovery stage, with total MRC accounting for 17–28% of SOC. Increasing PLFAs and MRC abundances were positively correlated with improved soil structure (decreased bulk density) and organic carbon, nitrogen and phosphorus nutrient. Bacterial MRC contributes more to SOC stocks than fungal residue carbon during vegetation recovery. The PLFA analysis indicated that Gram positive bacteria were the largest microbial group and were relatively more abundant in deeper soils, and biomarkers for saprophytic and ectomycorrhizal fungi were more abundant in soils under woody vegetation. In conclusion, this study suggests that the soil microbial community in karst soils have the potential to adapt to changing soil conditions and contribute substantially to building SOC stocks after abandonment of agriculture in degraded karst landscapes. © 2020 Elsevier B.V.</t>
  </si>
  <si>
    <t>Cropland; Forest; Karst Critical Zone; Microbial residue carbon; Phospholipid fatty acid; Shrubland; Soil degradation</t>
  </si>
  <si>
    <t>Wang L., Yuan J., Wang Y., Butterly C.R., Tong D., Zhou B., Li X., Zhang H.</t>
  </si>
  <si>
    <t>Effects of Exotic Spartina alterniflora Invasion on Soil Phosphorus and Carbon Pools and Associated Soil Microbial Community Composition in Coastal Wetlands</t>
  </si>
  <si>
    <t>ACS Omega</t>
  </si>
  <si>
    <t>10.1021/acsomega.0c06161</t>
  </si>
  <si>
    <t>https://www.scopus.com/inward/record.uri?eid=2-s2.0-85101663492&amp;doi=10.1021%2facsomega.0c06161&amp;partnerID=40&amp;md5=e8824e9e8a2b439cf3fc3ceb4c415675</t>
  </si>
  <si>
    <t>Soil microorganisms can be altered by plant invasion into wetland ecosystems and comprise an important linkage between phosphorus (P) availability and soil carbon (C) chemistry; however, the intrinsic mechanisms of P and C transformation associated with microbial community and function are poorly understood in coastal wetland. In this study, we used a sequential fractionation method and 13C nuclear magnetic resonance (NMR) spectroscopy to capture the changes in soil P pools and C chemical composition with bare flats (BF), native Phragmites australis(PA), and invasive Spartina alterniflora(SA), respectively. The responses of the soil microbial community using phospholipid fatty acid (PLFA) profiling and function indicated by nine enzyme activities associated with C, nitrogen (N), and P cycles were also investigated. Compared to PA and BF, SA invasion significantly (P &lt; 0.05) changed P pools and mainly increased the available P by 17.5 and 37.0%, respectively. The presence of the plants (SA and PA) significantly (P &lt; 0.05) altered the soil C chemical composition mainly by affecting the aliphatic functional groups, resulting in a lower alkyl C/O-alkyl C ratio value. Compared to BF and SA, PA significantly (P &lt; 0.05) increased arbuscular mycorrhizal fungi (AMF) abundance. Soil enzyme activity, especially for the P and C cycle enzymes, was also affected by plant species with the highest geometric mean enzyme and hydrolase activity for the PA zone. We also found that soil C compositions and P pools were associated with microbial community structure and enzyme activity, respectively. However, little interaction between C and P was found on either soil microbial composition or soil enzyme activity variation. Further, microbial community composition was tightly correlated with the soil P compared to soil C chemistry, while enzyme activity showed more response with soil C chemistry compared to soil P pool changes. © 2021 The Authors. Published by American Chemical Society.</t>
  </si>
  <si>
    <t>Pollierer M.M., Scheu S.</t>
  </si>
  <si>
    <t>Stable isotopes of amino acids indicate that soil decomposer microarthropods predominantly feed on saprotrophic fungi</t>
  </si>
  <si>
    <t>Ecosphere</t>
  </si>
  <si>
    <t>e03425</t>
  </si>
  <si>
    <t>10.1002/ecs2.3425</t>
  </si>
  <si>
    <t>https://www.scopus.com/inward/record.uri?eid=2-s2.0-85103420237&amp;doi=10.1002%2fecs2.3425&amp;partnerID=40&amp;md5=8e32ef0b244b0217839ee46a4d55a83d</t>
  </si>
  <si>
    <t>Soil microarthropods are essential for nutrient cycling in forest ecosystems as they are integral components of decomposer food webs. They channel carbon and nutrients from leaf litter and roots to higher trophic levels; however, knowledge on the relative importance of different channels and on their variation with forest type is lacking. Although the importance of root-derived inputs for sustaining soil food webs is increasingly recognized, the pathways by which they are channeled to higher trophic levels are little understood. For the channeling, ectomycorrhizal fungi may play a significant role, but until now methods allowing to separate the contribution of ectomycorrhizal and saprotrophic fungi to the nutrition of soil animal communities are lacking. Using dual analysis of 15N and 13C in amino acids (AAs), we investigated trophic positions and basal resources of two major groups of soil microarthropods, Collembola and Oribatida, in beech and spruce forests in Germany. By applying a 13C fingerprinting approach and Bayesian mixing models, we separated in a first step the relative contribution of bacteria, fungi, and plants to the nutrition of soil microarthropods. As fungi were identified as the major food source, in a second step we attempted to separate the contribution of ectomycorrhizal vs. saprotrophic fungi. For the first time, we provide direct evidence that soil microarthropods mainly rely on saprotrophic fungi, whereas ectomycorrhizal fungi are consumed by only few species. While trophic niches of Collembola and Oribatida species generally varied little between beech and spruce forests, plant detritus as basal resource of soil microarthropods was somewhat more important in beech forests, whereas in spruce forests microbial resources dominated. Overall, the dual analysis of carbon and nitrogen in AAs provided insight into food web structure of soil microarthropods in unprecedented detail, and for the first time allowed to estimate the relative importance of mycorrhizal and saprotrophic fungi for soil food web nutrition, a long-standing riddle in soil food web ecology. The technique provides the perspective for a comprehensive understanding of the trophic structure and energy channeling in soil food webs. © 2021 The Authors.</t>
  </si>
  <si>
    <t>amino acid 13C fingerprinting; amino acid CSIA; Collembola; ectomycorrhizal fungi; energy channels; forest type; fungal feeding; Oribatida; soil food web; soil fungi; soil mesofauna; trophic position</t>
  </si>
  <si>
    <t>Gomes V.M., Assis I.R., Hobbs R.J., Fernandes G.W.</t>
  </si>
  <si>
    <t>Glomalin-Related Soil Protein Reflects the Heterogeneity of Substrate and Vegetation in the campo rupestre Ecosystem</t>
  </si>
  <si>
    <t>Journal of Soil Science and Plant Nutrition</t>
  </si>
  <si>
    <t>10.1007/s42729-020-00396-7</t>
  </si>
  <si>
    <t>https://www.scopus.com/inward/record.uri?eid=2-s2.0-85102069360&amp;doi=10.1007%2fs42729-020-00396-7&amp;partnerID=40&amp;md5=b4c5255034becb2ae4471c182c7bf988</t>
  </si>
  <si>
    <t>We examined whether glomalin-related soil protein (GRSP), produced by arbuscular mycorrhizal fungi (AMF), and with role in soil quality, structuring, and carbon storage, varies in relation to substrate and plant community in the campo rupestre ecosystem. Soil samples were collected for physical-chemical and GRSP content analysis, in 40 plots, where the vegetation was also surveyed. GRSP content was compared between substrate types, and its relationship was assessed against soil attributes, vegetation dissimilarity, and abundance of non-mycorrhizal species and species with low AMF dependency. GRSP content varied greatly among the sites (total fraction ranging from 4.66 to 135.46 mg g−1), differed significantly between ferruginous and quartzitic substrates, and was correlated with soil organic carbon (SOC), soil nutrients, soil texture, and vegetation dissimilarity. Total glomalin contributed about 20% to the SOC. GRSP content declined with increasing cover of species that are both sand-binding and have AMF associations, and non-mycorrhizal species. The study shows how AMF, through GRSP, is associated to the ecosystem heterogeneity, suggesting the GRSP as an important soil factor to be considered in management and conservation issues in campo rupestre and similar ecosystems. GRSP content was shown to contribute to carbon storage and was linked to soil chemical and physical properties, and affected by variation in cover of non- or less-AMF-dependent plant species, perhaps providing a useful indicator in the heterogeneous campo rupestre system. © 2021, Sociedad Chilena de la Ciencia del Suelo.</t>
  </si>
  <si>
    <t>Arbuscular mycorrhiza; canga; GRSP; Mountaintop; Rupestrian grassland; Soil carbon</t>
  </si>
  <si>
    <t>Son Y., Stott K., Manning D.A.C., Cooper J.M.</t>
  </si>
  <si>
    <t>Carbon sequestration in artificial silicate soils facilitated by arbuscular mycorrhizal fungi and glomalin-related soil protein</t>
  </si>
  <si>
    <t>10.1111/ejss.13058</t>
  </si>
  <si>
    <t>https://www.scopus.com/inward/record.uri?eid=2-s2.0-85097291966&amp;doi=10.1111%2fejss.13058&amp;partnerID=40&amp;md5=5e05b9ce08830ac49e234f8592759351</t>
  </si>
  <si>
    <t>In urban areas, pre-existing concrete-based demolition wastes and purposely introduced crushed dolerite have been used to create artificial soils, which capture carbon (C) as carbonate minerals and offset greenhouse gas (GHG) emissions. Arbuscular mycorrhizal fungi (AMF) can enhance capture of C in artificial soils through production of glomalin-related soil protein (GRSP), which facilitates soil organic carbon (SOC) storage and aggregation, and may also enhance precipitation of soil inorganic carbon (SIC). In this paper, we show how different mixtures of dolerite and concrete affect AMF community structure and function, GRSP fractions, and soil organic and inorganic carbon contents. We used nine demonstration plots, 1 m deep, to simulate a constructed urban soil, consisting of different proportions (0, 30, 50, 70 and 100%) of either crushed concrete demolition waste or dolerite quarry fines and sown to a species-rich meadow mixture, to investigate AMF colonization and community structure (using DNA terminal restriction fragment length polymorphism), contents of easily-extractable and difficultly-extractable GRSP, and both organic and inorganic carbon contents. All artificial soils supported functioning AMF communities with different levels of GRSP, SIC and SOC. The 100% dolerite and 100% concrete soils had higher values of difficultly-to-extract GRSP andSOC than pure sand, whereas 100% concrete had higher AMF colonization and SOC than sand. AMF community analysis indicated that high GRSP producing species were abundant in 100% dolerite and 100% concrete. These findings demonstrate that there is potential to incorporate demolition waste or dolerite products into the land to support environmental sustainability and enhance soil C sequestration. Highlights: In constructed soils, crushed concrete and dolerite more effectively enhance GRSP and soil organic and inorganic carbon contents than sand. Use of crushed concrete and dolerite in plant-growing substrates is a novel way to combat climate change. © 2020 The Authors. European Journal of Soil Science published by John Wiley &amp; Sons Ltd on behalf of British Society of Soil Science.</t>
  </si>
  <si>
    <t>arbuscular mycorrhizal fungi; climate change; concrete; constructed soils; demolition; dolerite; global warming; soil carbon sequestration; soil microorganisms</t>
  </si>
  <si>
    <t>Gupta M.M., Abbott L.K.</t>
  </si>
  <si>
    <t>Exploring economic assessment of the arbuscular mycorrhizal symbiosis</t>
  </si>
  <si>
    <t>Symbiosis</t>
  </si>
  <si>
    <t>10.1007/s13199-020-00738-0</t>
  </si>
  <si>
    <t>https://www.scopus.com/inward/record.uri?eid=2-s2.0-85096011122&amp;doi=10.1007%2fs13199-020-00738-0&amp;partnerID=40&amp;md5=c2ca4dbb985d9b3a28f7158a01295903</t>
  </si>
  <si>
    <t>The arbuscular mycorrhizal (AM) symbiosis has long been projected as one of the sustainable saviors for achieving food security for mankind. However, there exist conflicting views regarding recommending AM fungi as inocula to farmers. Fungal, host, soil and climatic factors affect AM efficacy in the field. The process of identifying, calculating and comparing the costs and benefits of AM symbioses in economic terms is of international interest from both farmer and industry perspectives. It has not yet been possible to economically quantify the benefits of AM fungi in agroecosystems. Some potential benefits such as increased yield, lower fertilizer consumption and better disease tolerance can be measured quantitatively by cost-benefit analyses, but others such as reductions in soil erosion and nutrient leaching, soil carbon sequestration, phytoremediation, renaturation and landscaping are mainly qualitative and cannot be assessed by conventional cost-benefit methodologies. We identify and explore approaches to assessing economic benefits of inoculation with AM fungi and the risks and limitations involved. To ensure that all potential benefits of AM symbioses are given due cognizance, we propose any economic evaluation should also use contingent methods as applied to economic assessment of biodiversity and afforestation. Development of a framework involving systematic measurements of factors involved in establishment and function of AM symbioses should address risks in mismeasurement and resolve issues related to incomplete knowledge and potential conflicts. © 2020, Springer Nature B.V.</t>
  </si>
  <si>
    <t>Arbuscular; Contingent assessment; Cost-benefit; Mycorrhiza</t>
  </si>
  <si>
    <t>Suetsugu K., Haraguchi T.F., Tanabe A.S., Tayasu I.</t>
  </si>
  <si>
    <t>Specialized mycorrhizal association between a partially mycoheterotrophic orchid Oreorchis indica and a Tomentella taxon</t>
  </si>
  <si>
    <t>10.1007/s00572-020-00999-z</t>
  </si>
  <si>
    <t>https://www.scopus.com/inward/record.uri?eid=2-s2.0-85095410703&amp;doi=10.1007%2fs00572-020-00999-z&amp;partnerID=40&amp;md5=dcb82efbfa5803a427d3caa5da512bdd</t>
  </si>
  <si>
    <t>The evolution of full mycoheterotrophy in orchids likely occurs through intermediate stages (i.e., partial mycoheterotrophy or mixotrophy), in which adult plants obtain nutrition through both autotrophy and mycoheterotrophy. However, because of its cryptic manifestation, partial mycoheterotrophy has only been confirmed in slightly more than 20 orchid species. Here, we hypothesized that Oreorchis indica is partially mycoheterotrophic, since (i) Oreorchis is closely related to leafless Corallorhiza, and (ii) it possesses clustered, multi-branched rhizomes that are often found in fully mycoheterotrophic orchids. Accordingly, we investigated the nutritional modes of O. indica in a Japanese subboreal forest by measuring the 13C and 15N abundances and by community profiling of its mycorrhizal fungi. We found that O. indica mycorrhizal samples (all 12 samples from four individuals) were predominantly colonized by a single OTU of the obligate ectomycorrhizal Tomentella (Thelephoraceae). In addition, the leaves of O. indica were highly enriched in both 13C and 15N compared with those of co-occurring autotrophic plants. It was estimated that O. indica obtained 44.4 ± 6.2% of its carbon from fungal sources. These results strongly suggest that in the Oreorchis-Corallorhiza clade, full mycoheterotrophy evolved after the establishment of partial mycoheterotrophy, rather than through direct shifts from autotrophy. © 2020, Springer-Verlag GmbH Germany, part of Springer Nature.</t>
  </si>
  <si>
    <t>13C natural abundance; 15N natural abundance; Calypsoeae; Corallorhiza; Ectomycorrhizal fungi; Mycorrhiza; Orchidaceae; Partial mycoheterotrophy; Tomentella</t>
  </si>
  <si>
    <t>Mukhopadhyay R., Sarkar B., Jat H.S., Sharma P.C., Bolan N.S.</t>
  </si>
  <si>
    <t>Soil salinity under climate change: Challenges for sustainable agriculture and food security</t>
  </si>
  <si>
    <t>10.1016/j.jenvman.2020.111736</t>
  </si>
  <si>
    <t>https://www.scopus.com/inward/record.uri?eid=2-s2.0-85097467231&amp;doi=10.1016%2fj.jenvman.2020.111736&amp;partnerID=40&amp;md5=11b78229b15b95533b5c42ac91e241b7</t>
  </si>
  <si>
    <t>Soil salinity is one of the major and widespread challenges in the recent era that hinders global food security and environmental sustainability. Worsening the situation, the harmful impacts of climate change accelerate the development of soil salinity, potentially spreading the problem in the near future to currently unaffected regions. This paper aims to synthesise information from published literature about the extent, development mechanisms, and current mitigation strategies for tackling soil salinity, highlighting the opportunities and challenges under climate change situations. Mitigation approaches such as application of amendments, cultivation of tolerant genotypes, suitable irrigation, drainage and land use strategies, conservation agriculture, phytoremediation, and bioremediation techniques have successfully tackled the soil salinity issue, and offered associated benefits of soil carbon sequestration, and conservation and recycling of natural resources. These management practices further improve the socio-economic conditions of the rural farming community in salt-affected areas. We also discuss emerging reclamation strategies such as saline aquaculture integrated with sub surface drainage, tolerant microorganisms integrated with tolerant plant genotypes, integrated agro-farming systems that warrant future research attention to restore the agricultural sustainability and global food security under climate change scenarios. © 2020 Elsevier Ltd</t>
  </si>
  <si>
    <t>Climate change; Environmental quality; Farmers' livelihood; Salt-affected soil; Soil reclamation; Sustainability</t>
  </si>
  <si>
    <t>Ren A.-T., Mickan B.S., Li J.-Y., Zhou R., Zhang X.-C., Ma M.-S., Wesly K., Xiong Y.-C.</t>
  </si>
  <si>
    <t>Soil labile organic carbon sequestration is tightly correlated with the abundance and diversity of arbuscular mycorrhizal fungi in semiarid maize fields</t>
  </si>
  <si>
    <t>10.1002/ldr.3773</t>
  </si>
  <si>
    <t>https://www.scopus.com/inward/record.uri?eid=2-s2.0-85092617988&amp;doi=10.1002%2fldr.3773&amp;partnerID=40&amp;md5=8e517a2310083c43f3b3a162f113b608</t>
  </si>
  <si>
    <t>Plastic film mulching can affect soil organic carbon (C) lability in semiarid regions. Arbuscular mycorrhizal (AM) fungi represent an important route for plant-derived C into soil and can be influenced by agricultural practices. Whether the changes of AM fungal community affect soil organic C sequestration is a fundamental question in semiarid environments. To this end, we conducted two field experiments investigating the influence of a Funneliformis mosseae inoculation and mycorrhizal-suppression using benomyl application on maize growth, soil fractions of organic C, AM fungal parameters, including diversity profiling using the Illumina MiSeq. The results showed that AM fungal community composition was significantly altered by plastic film mulching and fungicide applications, soil organic C fractions and nitrogen were most important factors in influencing the AM fungal community. AM fungal inoculation significantly increased particulate organic C and light fraction organic C content, due to enhance dextramatrical hyphal length (EMH), glomalin content, and root biomass. Conversely, fungicide applications reduced labile organic C, possibly through decreasing EMH, glomalin content and soil AM fungal diversity. Increases in relative abundance of F. mosseae in rhizosphere soil, coupled with increases in AM fungal root colonization from F. mosseae inoculation indicates successfully established by outcompeting the existing natural AM fungal community. Plastic film mulching resulted in significant increases in maize yield and water use efficiency, and AM fungal inoculation was found to amplify the effects. Thus, AM fungal inoculation may act as an effective farming practice to improve soil organic C fractions, which can boost maize productivity. © 2020 John Wiley &amp; Sons, Ltd.</t>
  </si>
  <si>
    <t>community composition; diversity; dryland; plastic film mulch; soil labile organic carbon</t>
  </si>
  <si>
    <t>Dubey R.K., Dubey P.K., Chaurasia R., Rao ChS., Abhilash P.C.</t>
  </si>
  <si>
    <t>Impact of integrated agronomic practices on soil fertility and respiration on the indo-gangetic plain of North India</t>
  </si>
  <si>
    <t>Agronomy</t>
  </si>
  <si>
    <t>10.3390/agronomy11020402</t>
  </si>
  <si>
    <t>https://www.scopus.com/inward/record.uri?eid=2-s2.0-85104131721&amp;doi=10.3390%2fagronomy11020402&amp;partnerID=40&amp;md5=d5c0be1a6b54f696d21bd23af19f2bba</t>
  </si>
  <si>
    <t>Global agricultural production is accountable for the emission of ~30% of greenhouse gases. Therefore, the wide-scale adoptions of low-input, soil-friendly, and resource-conserving agronomic practices are imperative for the 'planet healthy food production' and also for reducing the carbon emissions from agricultural soil. In this context, the present study aimed to analyze the impacts of integrated agronomic interventions i.e., the application of arbuscular mycorrhizal fungi (AMF) + reduced tillage (RT), biochar + RT, and AMF + biochar + RT, on spatiotemporal variations in soil-quality and soil-sustainability indicators, including microbial and soil respiration, in the Indo-Gangetic Plain (IGP) of North India. For this, field experiments on the above-mentioned agronomic interventions were employed using three different staple crops (Zea mays, Vigna mungo, and Brassica juncea) growing in three different agro-climatic zones of IGP (Varanasi, Sultanpur, and Gorakhpur) in a randomized block design. Periodic data collection was done to analyze the changes in physiochemical, biological, and biochemical properties of the soil, and statistical analyses were done accordingly. Irrespective of the sites, the experimental results proved that the integrated application of AMF + biochar + RT in V. mungo resulted in the highest soil organic carbon (i.e., 135% increment over the control) and microbial biomass carbon (24%), whereas the same application (i.e., AMF + biochar + RT) in Z. mays had the maximum reduction in microbial (32%) and soil (44%) respiration. On the other hand, enhanced occurrence of glomalin activity (98%) was noted in Z. mays cropping for all the sites. Significant negative correlation between soil respiration and glomalin activity under AMF + biochar + RT (−0.85), AMF + RT (−0.82), and biochar + RT (−0.62) was an indication of glomalin's role in the reduced rate of soil respiration. The research results proved that the combined application of AMF + biochar + RT was the best practice for enhancing soil quality while reducing respiration. Therefore, the development of suitable packages of integrated agronomic practices is essential for agricultural sustainability. Copyright: © 2021 by the authors. Licensee MDPI, Basel, Switzerland. This article is an open access article distributed under the terms and conditions of the Creative Commons Attribution (CC BY) license (https://creativecommons.org/licenses/by/ 4.0/).</t>
  </si>
  <si>
    <t>Agricultural sustainability; Carbon sequestration; Farming practices; Integrated agronomic practices; Microbial respiration; Soil respiration; Soil sustainability indicators</t>
  </si>
  <si>
    <t>Leifheit E.F., Lehmann A., Rillig M.C.</t>
  </si>
  <si>
    <t>Potential Effects of Microplastic on Arbuscular Mycorrhizal Fungi</t>
  </si>
  <si>
    <t>Frontiers in Plant Science</t>
  </si>
  <si>
    <t>10.3389/fpls.2021.626709</t>
  </si>
  <si>
    <t>https://www.scopus.com/inward/record.uri?eid=2-s2.0-85100857734&amp;doi=10.3389%2ffpls.2021.626709&amp;partnerID=40&amp;md5=8e9b0df26be3fa8abed2f8b8619661e9</t>
  </si>
  <si>
    <t>Microplastics (MPs) are ubiquitously found in terrestrial ecosystems and are increasingly recognized as a factor of global change (GCF). Current research shows that MP can alter plant growth, soil inherent properties, and the composition and activity of microbial communities. However, knowledge about how microplastic affects arbuscular mycorrhizal fungi (AMF) is scarce. For plants it has been shown that microplastic can both increase and decrease the aboveground biomass and reduce the root diameter, which could indirectly cause a change in AMF abundance and activity. One of the main direct effects of microplastic is the reduction of the soil bulk density, which translates to an altered soil pore structure and water transport. Moreover, especially fibers can have considerable impacts on soil structure, namely the size distribution and stability of soil aggregates. Therefore, microplastic alters a number of soil parameters that determine habitat space and conditions for AMF. We expect that this will influence functions mediated by AMF, such as soil aggregation, water and nutrient transport. We discuss how the impacts of microplastic on AMF could alter how plants deal with other GCFs in the context of sustainable food production. The co-occurrence of several GCFs, e.g., elevated temperature, drought, pesticides, and microplastic could modify the impact of microplastic on AMF. Furthermore, the ubiquitous presence of microplastic also relates to earth system processes, e.g., net primary production (NPP), carbon and nitrogen cycling, which involve AMF as key soil organisms. For future research, we outline which experiments should be prioritized. © Copyright © 2021 Leifheit, Lehmann and Rillig.</t>
  </si>
  <si>
    <t>arbuscular mycorrhizal fungi; earth system processes; global change; microplastic; pollution</t>
  </si>
  <si>
    <t>Zeng X., Ni Z., Diao H., Jiang K., Hu C., Shao L., Huang W.</t>
  </si>
  <si>
    <t>Root endophytic fungal community and carbon and nitrogen stable isotope patterns differ among Bletilla species (orchidaceae)</t>
  </si>
  <si>
    <t>Journal of Fungi</t>
  </si>
  <si>
    <t>10.3390/jof7020069</t>
  </si>
  <si>
    <t>https://www.scopus.com/inward/record.uri?eid=2-s2.0-85100088890&amp;doi=10.3390%2fjof7020069&amp;partnerID=40&amp;md5=96865dda7f377f389d79e37da5378fef</t>
  </si>
  <si>
    <t>Orchids of the genus Bletilla are well-known ornamental plants and sources of traditional medicine in Asia that rely on the symbiotic relationship with root endophytic fungi throughout their whole life cycle. However, little is known about their fungal partners, infection pattern, and pathways of carbon gain. We investigated carbon and nitrogen stable isotope patterns in different organs of three Bletilla species, identified the root endophytic fungal community composition, and determined mycorrhizal colonization rates. The three Bletilla species were comprised by a polyphyletic group which belongs to different trophic modes, such as saprotroph, pathotroph, and symbiotroph; however, the dominant species and their abundances varied among Bletilla spp. Mycorrhizal infection rates also varied among Bletilla species, with B. striata (65% - 25%) being significantly higher than those of B. formosana (35% - 16%) and B. ochracea (22% - 13%). Compared with surrounding autotrophic plants, all Bletilla spp. were significantly enriched in 13C with B. striata to a significantly higher level than other two Bletilla species. Among different organs, stems had higher γ13C values, while leaves and flowers had higher γ15N and total N content values across all three species. Our results indicate that the symbiotic relationship of Bletilla and its root endophytic fungi is not strictly specific. Although mycorrhizal infection rates were highly variable, the three Bletilla species had the same infection pattern with hyphae penetrating the cortex cell by the pathway cell. Different Bletilla species have different strategies for C allocation among plant organs. These findings provide new insights into the ecological adaptation of orchids and will contribute to Bletilla germplasm conservation and sustainable utilization. © 2021 by the authors. Licensee MDPI, Basel, Switzerland.</t>
  </si>
  <si>
    <t>Bletilla; Fungal diversity; ITS amplicon sequencing; Mycorrhizal colonization; Stable isotope; Symbiotic relationship</t>
  </si>
  <si>
    <t>Evidence for mycorrhizal cheating in Apostasia nipponica, an early-diverging member of the Orchidaceae</t>
  </si>
  <si>
    <t>10.1111/nph.17049</t>
  </si>
  <si>
    <t>https://www.scopus.com/inward/record.uri?eid=2-s2.0-85097084034&amp;doi=10.1111%2fnph.17049&amp;partnerID=40&amp;md5=73d3d9aee3ec7d99a65fb3132b38aa4a</t>
  </si>
  <si>
    <t>Most land plants, from liverworts to angiosperms, form mutualistic mycorrhizal symbioses with fungal partners. However, several plants known as mycoheterotrophs exploit fungal partners by reversing the polarity of carbon movement, which usually moves from plant to fungus. We investigated the physiological ecology of a photosynthetic orchid, Apostasia nipponica, which belongs to the first branching group within the Orchidaceae, to improve our understanding of mycoheterotrophic evolution in orchids. The fungal symbionts and nutrition modes of A. nipponica were investigated using molecular barcoding and carbon-13 (13C) and nitrogen-15 (15N) measurements, respectively. Community profiling based on a metabarcoding technique revealed that A. nipponica associates with specific Ceratobasidium spp. within ectomycorrhizas-forming clades, whereas isotope analysis revealed that A. nipponica was similar to fully mycoheterotrophic orchids in its 13C signature and was even more enriched in 15N than most of the fully mycoheterotrophic orchids that exploit ectomycorrhizal fungi. Our molecular and mass-spectrometric approaches demonstrated, for the first time, that a member of the Apostasioideae, the earliest-diverging lineage of the Orchidaceae, gains carbon through both photosynthesis and fungal cheating (i.e. partial mycoheterotrophy) during the adult stage. © 2020 The Authors New Phytologist © 2020 New Phytologist Foundation</t>
  </si>
  <si>
    <t>Apostasioideae; mixotrophy; mycoheterotrophy; mycorrhiza; Orchidaceae; parasite; stable isotopes</t>
  </si>
  <si>
    <t>Kang H., Yu W., Dutta S., Gao H.</t>
  </si>
  <si>
    <t>Soil microbial community composition and function are closely associated with soil organic matter chemistry along a latitudinal gradient</t>
  </si>
  <si>
    <t>10.1016/j.geoderma.2020.114744</t>
  </si>
  <si>
    <t>https://www.scopus.com/inward/record.uri?eid=2-s2.0-85091656185&amp;doi=10.1016%2fj.geoderma.2020.114744&amp;partnerID=40&amp;md5=b23acf4ab67bef01f98bb36d9326bc5b</t>
  </si>
  <si>
    <t>Despite the important roles of microorganisms in soil organic matter (SOM) decomposition and nutrient cycling, how their biomass, community composition and function are driven by a joint effect of edaphic and environmental factors at a large spatial scale remains unclear. Moreover, a mechanistic understanding of the associations among microbial communities and SOM chemistry as a key indicator of substrate availability over large spatial scales has been lacking until now. To fill this knowledge gap, we examined how soil microbial community abundance and composition (via phospholipid fatty acid (PLFA) analysis) and function (via enzyme activities and net N mineralization) were associated with the edaphic and environmental factors from six oriental oak (Quercus variabilis) forest sites arranged across a 11° latitudinal gradient in East China. We found strong relationships between SOM chemistry as indicated by 13C nuclear magnetic resonance (NMR) spectroscopy and microbial community composition and function along this gradient. For example, the ratio of fungi to bacteria (F/B) decreased with increasing carboxyl C percentage; the lower abundance of arbuscular mycorrhizal fungi (AMF) and decreased invertase activity in the southern sites were possibly related to higher ratio of alkyl to O alkyl (A/O); urease activity increased with carboxyl C percentage. Microbial biomass (total PLFAs) had positive relationships with urease activity, net N mineralization rate, and soil pH. Mean annual precipitation (MAP) and pH were important for overall microbial community composition. Overall, our results indicate that SOM chemistry is closely related to microbial community composition and function along the latitudinal gradient and should be considered in future studies. Our study contributes to a better prediction of microbial responses to possible substrate changes brought by future environmental changes, which is urgently needed under the context of accelerating global change. © 2020 Elsevier B.V.</t>
  </si>
  <si>
    <t>13C NMR; Arbuscular mycorrhizal fungi; Extracellular enzymes; Latitudinal gradient; Net N mineralization; Soil microbial community structure</t>
  </si>
  <si>
    <t>Carteron A., Cichonski F., Laliberté E.</t>
  </si>
  <si>
    <t>Ectomycorrhizal Stands Accelerate Decomposition to a Greater Extent than Arbuscular Mycorrhizal Stands in a Northern Deciduous Forest</t>
  </si>
  <si>
    <t>10.1007/s10021-021-00712-x</t>
  </si>
  <si>
    <t>https://www.scopus.com/inward/record.uri?eid=2-s2.0-85118653046&amp;doi=10.1007%2fs10021-021-00712-x&amp;partnerID=40&amp;md5=594d648f64499218f5a468d21c712eb6</t>
  </si>
  <si>
    <t>It has been proposed that ectomycorrhizal (EcM) fungi slow down decomposition by competing with free-living saprotrophs for organic nutrients and other soil resources (known as the “Gadgil effect”), thereby increasing soil carbon sequestration. As such, this Gadgil effect should depend on soil organic matter age and quality, but this remains unstudied. In addition, the Gadgil effect is not expected to occur in arbuscular mycorrhizal (AM) forests since AM fungi cannot access directly nutrients from soil organic matter, yet few direct comparisons between EcM and AM forests have been made. We performed a two-year reciprocal decomposition experiment of soil organic horizons (litter—L, fragmented—F, humic—H) in adjacent temperate deciduous forests dominated by EcM or AM trees. Mesh bags were made of different mesh sizes allowing or excluding ingrowth of external fungal hyphae, which are primarily mycorrhizal in these forests other than for the most recent superficial litter horizon. As expected, EcM stands stored more soil carbon (up to 20 cm depth) than AM stands. Also, organic matter originating from deeper horizons and from EcM stands was of lower quality (for example, higher lignin to nitrogen ratios) and decomposed more slowly. However, contrary to the Gadgil effect, organic matter exposed to external fungal hyphae (that is, primarily mycorrhizal) actually decomposed faster in both forest types, and this effect was strongest in EcM forests, particularly in the F horizon. Unexpectedly, organic matter decomposition was faster in EcM than in AM forests, regardless of organic matter origin. Overall, our study reinforces the view that temperate EcM forests store greater amounts of soil organic carbon than AM forests, but suggests that this is due to factors other than the Gadgil effect. © 2021, The Author(s), under exclusive licence to Springer Science+Business Media, LLC, part of Springer Nature.</t>
  </si>
  <si>
    <t>Acer saccharum; Carbon cycle, nitrogen cycle, temperate forest, vertical segregation; Fagus grandifolia; Gadgil effect; Mycorrhizal fungi; Organic matter decomposition</t>
  </si>
  <si>
    <t>Roy T., Mandal D.</t>
  </si>
  <si>
    <t>Role of arbuscular mycorrhizal fungi in soil and water conservation: a potentially unexplored domain</t>
  </si>
  <si>
    <t>Current Science</t>
  </si>
  <si>
    <t>10.18520/cs/v120/i10/1573-1577</t>
  </si>
  <si>
    <t>https://www.scopus.com/inward/record.uri?eid=2-s2.0-85117396710&amp;doi=10.18520%2fcs%2fv120%2fi10%2f1573-1577&amp;partnerID=40&amp;md5=be7c8185fa430567b394324d209a0db2</t>
  </si>
  <si>
    <t>There is a general consensus that nature-based biological measures can be used as a valuable tool to improve land quality. Microbial technology, e.g. use of mycorrhizal fungi, has been considered a beneficial option in the rehabilitation of disturbed and degraded lands. Mycorrhizal fungi are extremely important to improve soil aggregation and in turn the porosity, erodibility and even soil fertility. This article provides an insight into how mycorrhizal fungi might play a role in reclamation and revegetation of degraded lands with special focus on soil and water conservation. External hyphae of arbuscular mycorrhizal fungi (AMF) can bind the small soil particles into micro aggregates by producing a glycoprotein (glomalin) which alone can account for 30-60% of carbon in undisturbed soils. Glomalin is derived specifically from the hyphae of AMF and has not been reported in any other fungal species. Besides agriculture, the presence of AMF in the grassland and forest ecosystems is also of great significance as it helps in establishment of native plant species, soil improvement and carbon storage. The increasing interest of soil conservationists in this glycoprotein is also highlighted in this article. © 2021. All Rights Reserved.</t>
  </si>
  <si>
    <t>Arbuscular mycorrhizal fungi; carbon storage; degraded lands; glycoprotein; soil and water conservation</t>
  </si>
  <si>
    <t>Suetsugu K., Haraguchi T.F., Tayasu I.</t>
  </si>
  <si>
    <t>Novel mycorrhizal cheating in a green orchid: Cremastra appendiculata depends on carbon from deadwood through fungal associations</t>
  </si>
  <si>
    <t>10.1111/nph.17313</t>
  </si>
  <si>
    <t>https://www.scopus.com/inward/record.uri?eid=2-s2.0-85103575434&amp;doi=10.1111%2fnph.17313&amp;partnerID=40&amp;md5=2e13a8a3bf55941d528409bec02b644b</t>
  </si>
  <si>
    <t>To date, there has been no robust evidence for the exploitation of saprotrophic non-rhizoctonia fungi by green plants, although some fully mycoheterotrophic orchids are known to exploit them, and mycoheterotrophic evolution has probably occurred through intermediate mixotrophic stages. We investigated the physiological ecology of a fully mycoheterotrophic species Cremastra aphylla and its photosynthetic sister species Cremastra appendiculata, which putatively exploit saprotrophic fungi. Their mycorrhizal partners and ultimate nutritional sources were determined using molecular, stable isotopic, and radiocarbon analysis. Both Cremastra aphylla and Cremastra appendiculata were consistently associated with wood-decaying Psathyrellaceae. In addition, both species were highly enriched in carbon-13 (13C) and, to a less degree, in nitrogen-15 (15N). The δ13C and δ15N values of Cremastra appendiculata were intermediate between those of Cremastra aphylla and those of autotrophic plants. All Cremastra appendiculata samples and two Cremastra aphylla samples exhibited elevated Δ14C values due to the acquisition of carbon fixed in wood during the past decades (14C-enriched bomb carbon). Our multifaceted evidence indicated that both species obtained carbon from deadwood via saprotrophic fungi. Our findings strongly suggest that mixotrophic relationships associated with wood-decaying fungi represent a novel evolutionary pathway for full mycoheterotrophy in orchids. © 2021 The Authors. New Phytologist © 2021 New Phytologist Foundation.</t>
  </si>
  <si>
    <t>carbon cycling; mixotrophy; mycorrhizas; partial mycoheterotrophy; radiocarbon dating; saprotrophic fungi; ∆14C</t>
  </si>
  <si>
    <t>Kemner J.E., Adams M.B., McDonald L.M., Peterjohn W.T., Kelly C.N.</t>
  </si>
  <si>
    <t>Fertilization and tree species influence on stable aggregates in forest soil</t>
  </si>
  <si>
    <t>Forests</t>
  </si>
  <si>
    <t>10.3390/f12010039</t>
  </si>
  <si>
    <t>https://www.scopus.com/inward/record.uri?eid=2-s2.0-85099467348&amp;doi=10.3390%2ff12010039&amp;partnerID=40&amp;md5=016bac7d037f69bf58fbbc1ecc285dd1</t>
  </si>
  <si>
    <t>Background and objectives: aggregation and structure play key roles in the water-holding capacity and stability of soils and are important for the physical protection and storage of soil carbon (C). Forest soils are an important sink of ecosystem C, though the capacity to store C may be disrupted by the elevated atmospheric deposition of nitrogen (N) and sulfur (S) compounds by dispersion of soil aggregates via acidification or altered microbial activity. Furthermore, dominant tree species and the lability of litter they produce can influence aggregation processes. Materials and methods: we measured water-stable aggregate size distribution and aggregate-associated organic matter (OM) content in soils from two watersheds and beneath four hardwood species at the USDA Forest Service Fernow Experimental Forest in West Virginia, USA, where one watershed has received (NH4)2SO4 fertilizer since 1989 and one is a reference/control of similar stand age. Bulk soil OM, pH, and permanganate oxidizable carbon (POXC) were also measured. Research highlights: fertilized soil exhibited decreased macro-aggregate formation and a greater proportion of smaller micro-aggregates or unassociated clay minerals, particularly in the B-horizon. This shift in aggregation to soil more dominated by the smallest (&amp;lt;53 µm) fraction is associated with both acidification (soil pH) and increased microbially processed C (POXC) in fertilized soil. Intra-aggregate OM was also depleted in the fertilized soil (52% less OM in the 53–2000 µm fractions), most strongly in subsurface B-horizon soil. We also document that tree species can influence soil aggregation, as soil beneath species with more labile litter contained more OM in the micro-aggregate size class (&amp;lt;250 µm), especially in the fertilized watershed, while species with more recalcitrant litter promoted more OM in the macroaggregate size classes (500–2000 µm) in the reference watershed. Conclusions: long-term fertilization, and likely historic atmospheric deposition, of forest soils has weakened macro-aggregation formation, with implications for soil stability, hydrology, and storage of belowground C. © 2020 by the authors. Licensee MDPI, Basel, Switzerland.</t>
  </si>
  <si>
    <t>Acidic deposition; Fernow Experimental Forest; Forest soils; Mycorrhizal fungi; Organic matter; Soil aggregation</t>
  </si>
  <si>
    <t>Yamato M., Kosaka R., Masui Y., Goda Y., Shirasaka S., Maruyama A., Yukawa T.</t>
  </si>
  <si>
    <t>Mycorrhizal associates of Cephalanthera falcata (Orchidaceae) in a habitat with giant individuals</t>
  </si>
  <si>
    <t>10.1111/1440-1703.12187</t>
  </si>
  <si>
    <t>https://www.scopus.com/inward/record.uri?eid=2-s2.0-85096781136&amp;doi=10.1111%2f1440-1703.12187&amp;partnerID=40&amp;md5=52a11b7d3002e532a2e6076238352a60</t>
  </si>
  <si>
    <t>We studied mycorrhizal symbioses of Cephalanthera falcata (Orchidaceae) in a population that included giant individuals, some of which were over 50 cm in height and had more than 10 shoots, as well as in two nearby habitats without giant individuals. For C. falcata adults in the habitat with giant individuals, a fungal lineage in the ectomycorrhiza-forming clade of Sebacinales was detected as the dominant mycobiont. Furthermore, higher 13C enrichment, which is an indicator of mycoheterotrophy, was found in these C. falcata individuals compared to those in the two nearby habitats. These results indicate that the growth of giant C. falcata individuals may be a result of the increased ability of Sebacinales fungi to transfer carbon to the orchids. Furthermore, we attempted to discern the effect of mycobiont taxa on seedling development in the three habitats. Contrary to our expectations, Sebacinales fungi were not found to significantly impact seedling growth as this orchid was predominantly colonized by Thelephoraceae fungi at the seedling stage. These results suggest that seedling growth is mostly enhanced by symbiosis with Thelephoraceae fungi in this orchid, and that the growth of giant individuals due to colonization by Sebacinales fungi may occur subsequently. © 2020 The Ecological Society of Japan</t>
  </si>
  <si>
    <t>ITS rDNA; orchid mycorrhizas; partial mycoheterotrophy; Sebacinales; Thelephoraceae</t>
  </si>
  <si>
    <t>Gujre N., Soni A., Rangan L., Tsang D.C.W., Mitra S.</t>
  </si>
  <si>
    <t>Sustainable improvement of soil health utilizing biochar and arbuscular mycorrhizal fungi: A review</t>
  </si>
  <si>
    <t>Environmental Pollution</t>
  </si>
  <si>
    <t>10.1016/j.envpol.2020.115549</t>
  </si>
  <si>
    <t>https://www.scopus.com/inward/record.uri?eid=2-s2.0-85096725348&amp;doi=10.1016%2fj.envpol.2020.115549&amp;partnerID=40&amp;md5=b43bab95e16a8b8f4e69b47189e7c360</t>
  </si>
  <si>
    <t>Conservation of soil health and crop productivity is the central theme for sustainable agriculture practices. It is unrealistic to expect that the burgeoning crop production demands will be met by a soil ecosystem that is increasingly unhealthy and constrained. Therefore, the present review is focused on soil amendment techniques, using biochar in combination with arbuscular mycorrhizal fungi (AMF), which is an indispensable biotic component that maintains plant-soil continuum. Globally significant progress has been made in elucidating the physical and chemical properties of biochar; along with its role in carbon sequestration. Similarly, research advances on AMF include its evolutionary background, functions, and vital roles in the soil ecosystem. The present review deliberates on the premise that biochar and AMF have the potential to become cardinal to management of agro-ecosystems. The wider perspectives of various agronomical and environmental backgrounds are discussed. The present state of knowledge, different aspects and limitations of combined biochar and AMF applications (BC + AMF), mechanisms of interaction between biochar and AMF, effects on plant growth, challenges and future opportunities of BC + AMF applications are critically reviewed. Given the severely constrained nature of soil health, the roles of BC + AMF in agriculture, bioremediation and ecology have also been examined. In spite of the potential benefits, the functionality and dynamics of BC + AMF in soil are far from being fully elucidated. Capsule: The present state of knowledge, different aspects and limitations of combined biochar and AMF applications (BC + AMF), mechanisms of interaction between biochar and AMF, effects on plant growth, challenges and future opportunities of BC + AMF applications. © 2020 Elsevier Ltd</t>
  </si>
  <si>
    <t>Arbuscular mycorrhizal fungi; Biochar; Soil amendment; Soil quality; Sustainable agriculture</t>
  </si>
  <si>
    <t>Paranavithana T.M., Marasinghe S., Perera G.A.D., Ratnayake R.R.</t>
  </si>
  <si>
    <t>Effects of crop rotation on enhanced occurrence of arbuscular mycorrhizal fungi and soil carbon stocks of lowland paddy fields in seasonaly dry tropics</t>
  </si>
  <si>
    <t>Paddy and Water Environment</t>
  </si>
  <si>
    <t>10.1007/s10333-020-00833-4</t>
  </si>
  <si>
    <t>https://www.scopus.com/inward/record.uri?eid=2-s2.0-85096587714&amp;doi=10.1007%2fs10333-020-00833-4&amp;partnerID=40&amp;md5=64ef059ae80de81b7a337457c9152d9d</t>
  </si>
  <si>
    <t>The impacts of crop rotation systems on the arbuscular mycorrhizal fungal (AMF) spore density, mycorrhizal colonization of rice roots, soil C fractions and C stocks in seasonally dry climatic zone of Sri Lanka were examined in Rice–Soybean (RS) and Rice–Onion (RO) crop rotation systems during the subsequent rice cultivation season and, compared these with a rice monoculture, i.e. Rice–Rice (RR). The study also examined the correlations between AMF occurrence and soil carbon stocks. Results revealed that RS crop rotation system significantly enhances the occurrence of AMF spores in soil with a higher fraction of large sized spores, the total organic C (TOC), microbial biomass C (MBC), water soluble C (WSC), labile C and a high AMF colonization in rice roots in the subsequent rice cultivation season. The diversity of AMF morphospecies were also the highest in RS. Reduction in AMF density in the soil in RR crop rotation system may be due to prolonged anaerobic conditions prevailed. The growth of onion has drastically reduced the AMF colonization in rice and soil C contents. Soil carbon stocks showed positive correlations with % root colonization and AMF spore number in soil. Thus, the study confirmed that C stocks in paddy soils can be improved by intercropping with AMF supporting plants like soya bean. This is the first report that shows positive correlations of AMF sporulation and % root colonization in lowland rice with soil carbon stocks. © 2020, The International Society of Paddy and Water Environment Engineering.</t>
  </si>
  <si>
    <t>Carbon sequestration; Mycorrhiza; Onion; Rice; Soybean; Sri lanka</t>
  </si>
  <si>
    <t>Zheng T., Miltner A., Liang C., Nowak K.M., Kästner M.</t>
  </si>
  <si>
    <t>Turnover of gram-negative bacterial biomass-derived carbon through the microbial food web of an agricultural soil</t>
  </si>
  <si>
    <t>10.1016/j.soilbio.2020.108070</t>
  </si>
  <si>
    <t>https://www.scopus.com/inward/record.uri?eid=2-s2.0-85096159638&amp;doi=10.1016%2fj.soilbio.2020.108070&amp;partnerID=40&amp;md5=453814c778e694b5eb92c6183e6d690b</t>
  </si>
  <si>
    <t>Soil organic matter (SOM) represents an important terrestrial carbon reservoir in the biosphere, and microorganisms have been recognized as significant material contributors to the formation of SOM. However, the turnover of microbial biomass residues with respect to their detailed microbial food web remains elusive. To elucidate this turnover process, we traced the fate of Gram-negative (Gram−) microbial biomass carbon through the microbial food web over time, using the concentrations and isotopic compositions of biomarker phospholipid fatty acids (PLFA) in a soil incubation with isotopically (13C) labelled model bacterial cells (Escherichia coli). We found that after 120 days 46.5% of the recovered E. coli derived 13C remained in the soil, whereas 53.5% was emitted as 13CO2 (recovery 77.0% of the initially added 13C). The 13C in microbial biomass decreased to 5.3% of the initial value. This indicates that about 41% of the E. coli biomass in our experiment was transformed to SOM. The PLFA patterns over time demonstrate the pathway of 13C transformation associated with different groups of microorganisms along the incubation. The E. coli-derived 13C was utilized by fungi first, then the label was shifted from fungi to Gram-positive (Gram+) bacteria, arbuscular mycorrhizal fungi (AMF), actinomycetes, and to Gram− bacteria other than E. coli. Finally the carbon was transferred from all consumers to the next consumer level; this is reflected in ongoing loss of 13C-PLFA without a shift in the 13C-PLFA pattern. In summary, our study details the turnover process of microbial biomass residues via the microbial food web to necromass and finally to SOM. This supports the soil microbial carbon pump concept, i.e. carbon channelling and the assimilation of easily degradable carbon into microbial biomass and a significant contribution of these residues in SOM. © 2020</t>
  </si>
  <si>
    <t>13C mass balance; Fatty acids; Microbial carbon pump; Microbial necromass; Soil organic matter</t>
  </si>
  <si>
    <t>Zhou J., Chai X., Zhang L., George T.S., Wang F., Feng G.</t>
  </si>
  <si>
    <t>Different arbuscular mycorrhizal fungi cocolonizing on a single plant root system recruit distinct microbiomes</t>
  </si>
  <si>
    <t>mSystems</t>
  </si>
  <si>
    <t>e00929-20</t>
  </si>
  <si>
    <t>10.1128/mSystems.00929-20</t>
  </si>
  <si>
    <t>https://www.scopus.com/inward/record.uri?eid=2-s2.0-85098008825&amp;doi=10.1128%2fmSystems.00929-20&amp;partnerID=40&amp;md5=1238ccb4b6f64f8a441a46fc9ad4938c</t>
  </si>
  <si>
    <t>Plant roots are usually colonized by various arbuscular mycorrhizal (AM) fungal species, which vary in morphological, physiological, and genetic traits. This colonization constitutes the mycorrhizal nutrient uptake pathway (MP) and supplements the pathway through roots. Simultaneously, the extraradical hyphae of each AM fungus is associated with a community of bacteria. However, whether the community structure and function of the microbiome on the extraradical hyphae differ between AM fungal species remains unknown. In order to understand the community structure and the predicted functions of the microbiome associated with different AM fungal species, a splitroot compartmented rhizobox cultivation system, which allowed us to inoculate two AM fungal species separately in two root compartments, was used. We inoculated two separate AM fungal species combinations, (i) Funneliformis mosseae and Gigaspora margarita and (ii) Rhizophagus intraradices and G. margarita, on a single root system of cotton. The hyphal exudate-fed, active microbiome was measured by combining 13C-DNA stable isotope probing with MiSeq sequencing. We found that different AM fungal species, which were simultaneously colonizing a single root system, hosted active microbiomes that were distinct from one another. Moreover, the predicted potential functions of the different microbiomes were distinct. We conclude that the arbuscular mycorrhizal fungal component of the system is responsible for the recruitment of distinct microbiomes in the hyphosphere. The potential significance of the predicted functions of the microbial ecosystem services is discussed. IMPORTANCE Arbuscular mycorrhizal (AM) fungi form tight symbiotic relationships with the majority of terrestrial plants and play critical roles in plant P acquisition, adding a further dimension of complexity. The plant-AM fungus-bacterium system is considered a continuum, with the bacteria colonizing not only the plant roots, but also the associated mycorrhizal hyphal network, known as the hyphosphere microbiome. Plant roots are usually colonized by different AM fungal species which form an independent phosphorus uptake pathway from the root pathway, i.e., the mycorrhizal pathway. The community structure and function of the hyphosphere microbiome of different AM species are completely unknown. In this novel study, we found that arbuscular mycorrhizal fungi cocolonizing on single plant roots recruit their own specific microbiomes, which should be considered in evaluating plant microbiome form and function. Our findings demonstrate the importance of understanding trophic interactions in order to gain insight into the plant-AM fungus-bacterium symbiosis. Copyright © 2020 Zhou et al.</t>
  </si>
  <si>
    <t>13C-DNA-SIP; Arbuscular mycorrhizae; COG; Hyphal exudates; Hyphosphere; Microbiome; Mycorrhizal pathway</t>
  </si>
  <si>
    <t>Peng Y., Schmidt I.K., Zheng H., Heděnec P., Bachega L.R., Yue K., Wu F., Vesterdal L.</t>
  </si>
  <si>
    <t>Tree species effects on topsoil carbon stock and concentration are mediated by tree species type, mycorrhizal association, and N-fixing ability at the global scale</t>
  </si>
  <si>
    <t>10.1016/j.foreco.2020.118510</t>
  </si>
  <si>
    <t>https://www.scopus.com/inward/record.uri?eid=2-s2.0-85090006374&amp;doi=10.1016%2fj.foreco.2020.118510&amp;partnerID=40&amp;md5=1473009f91a63f53dee68ad4ea512c6f</t>
  </si>
  <si>
    <t>Selection of appropriate tree species is an important forest management decision that may affect sequestration of carbon (C) in soil. However, information about tree species effects on soil C stocks at the global scale remains unclear. Here, we quantitatively synthesized 850 observations from field studies that were conducted in a common garden or monoculture plantations to assess how tree species type (broadleaf vs. conifer), mycorrhizal association (arbuscular mycorrhizal (AM) vs. ectomycorrhizal (ECM)), and N-fixing ability (N-fixing vs. non-N-fixing), directly and indirectly, affect topsoil (with a median depth of 10 cm) C concentration and stock, and how such effects were influenced by environmental factors such as geographical location and climate. We found that (1) tree species type, mycorrhizal association, and N-fixing ability were all important factors affecting soil C, with lower forest floor C stocks under broadleaved (44%), AM (39%), or N-fixing (28%) trees respectively, but higher mineral soil C concentration (11%, 22%, and 156%) and stock (9%, 10%, and 6%) under broadleaved, AM, and N-fixing trees respectively; (2) tree species type, mycorrhizal association, and N-fixing ability affected forest floor C stock and mineral soil C concentration and stock directly or indirectly through impacting soil properties such as microbial biomass C and nitrogen; (3) tree species effects on mineral soil C concentration and stock were mediated by latitude, MAT, MAP, and forest stand age. These results reveal how tree species and their specific traits influence forest floor C stock and mineral soil C concentration and stock at a global scale. Insights into the underlying mechanisms of tree species effects found in our study would be useful to inform tree species selection in forest management or afforestation aiming to sequester more atmospheric C in soil for mitigation of climate change. © 2020 Elsevier B.V.</t>
  </si>
  <si>
    <t>Climate; Forest floor; Global; Linear mixed model; Meta-analysis; Mineral soil; Soil property</t>
  </si>
  <si>
    <t>Adl S., Liu M., Xu X.</t>
  </si>
  <si>
    <t>Mapping soil nitrogen fractionation</t>
  </si>
  <si>
    <t>Rhizosphere</t>
  </si>
  <si>
    <t>10.1016/j.rhisph.2020.100279</t>
  </si>
  <si>
    <t>https://www.scopus.com/inward/record.uri?eid=2-s2.0-85097061897&amp;doi=10.1016%2fj.rhisph.2020.100279&amp;partnerID=40&amp;md5=9ef8e9c4235300ecb022c1bf08fb42fe</t>
  </si>
  <si>
    <t>In most terrestrial ecosystems, nitrogen (N) is an essential and often limiting element for living organisms. There is competition for the available N between roots, rhizosphere organisms and the overall soil food web. N derived from biological fixation in the soil reaches the above ground terrestrial food web through two pathways: from root uptake, and by successive predation on soil organisms. Considering the importance of N in terrestrial ecosystems, investigations of food web interactions for N through the food web in time and space are a prerequisite for better understanding of primary production and nutrient cycling. Here we reviewed N partitioning in the soil based on stable isotope (15N and 13C) ratio mass spectrometry studies of the food webs. Bacteria stratification in peds and down the soil profile, as represented by Pourbaix diagrams, delineate metabolic functions and N fixation parameters. We proposed a model for the path of N through the soil to the above ground sub-system. There are two main paths: one from root nutrient uptake to the aerial parts of the plant, and the other through the soil food web from successive consumption by predation of soil organisms, to the above-ground terrestrial food web. There are insufficient data available on the bacteria-bacterivore feeding pathway, but it would appear that besides specialized bacterivorous protists, other protists and nematodes tend to be more generalized microbivores. Understanding the pathway of N transfer better, and its regulating parameters for functional guilds within trophic levels, has implications for the sustainable management of our environment, agriculture sustainability, forest soil management, and remediation of disturbed environments. © 2020 Elsevier B.V.</t>
  </si>
  <si>
    <t>Microarthropod; Microbial ecology; Mycorrhizae; Nematode; Rhizosphere</t>
  </si>
  <si>
    <t>Giesemann P., Eichenberg D., Stöckel M., Seifert L.F., Gomes S.I.F., Merckx V.S.F.T., Gebauer G.</t>
  </si>
  <si>
    <t>Dark septate endophytes and arbuscular mycorrhizal fungi (Paris-morphotype) affect the stable isotope composition of ‘classically’ non-mycorrhizal plants</t>
  </si>
  <si>
    <t>10.1111/1365-2435.13673</t>
  </si>
  <si>
    <t>https://www.scopus.com/inward/record.uri?eid=2-s2.0-85092197773&amp;doi=10.1111%2f1365-2435.13673&amp;partnerID=40&amp;md5=1c467e18247592151e632626f741b196</t>
  </si>
  <si>
    <t>The vast majority of terrestrial plants exchange nutrients with fungal partners forming different mycorrhizal types. The minority of plants considered as non-mycorrhizal, however, are not necessarily free of any fungi, but are frequently colonized by elusive fungal endophytes, such as dark septate endophytes (DSE) or fine root endophytes (FRE). While a functional role of FRE in the improvement of nutrient gain was recently elucidated, the function of DSE is still in discussion and was here addressed for 36 plant species belonging to the families Equisetaceae, Cypereaceae and Caryophyllaceae. Molecular and microscopic staining approaches were conducted to verify the presence of DSE in the investigated species. Stable isotope natural abundances of the elements carbon, nitrogen, hydrogen and oxygen and total nitrogen concentrations were analysed for the respective species of the target plant families and accompanying mycorrhizal and non-mycorrhizal (Brassicaceae) plant species. Staining approaches confirmed the presence of DSE in all investigated species within the families Equisetaceae, Cyperaceae and Caryophyllaceae. A co-colonization with Paris-type arbuscular mycorrhiza (AM) was occasionally found by staining and molecular approaches in species of the Equisetaceae. Species of the Equisetaceae, Cyperaceae and Caryophyllaceae were significantly 15N-enriched in comparison to accompanying plants. In addition, a significant 13C and 2H enrichment and increased total nitrogen concentrations were found for representatives of the Equisetaceae. The 15N enrichment found here for representatives of Equisetaceae, Cyperaceae and Caryophyllaceae provides evidence for a functional role of the ubiquitous DSE fungi. DSE fungi obviously provide access to 15N-enriched soil organic compounds probably in exchange for organic carbon compounds from plant photosynthesis. As indicated by additional 13C and 2H enrichments, representatives of the Equisetaceae apparently gain simultaneously organic carbon compounds from their AM fungi of the Paris-morphotype. Thus, species of the Equisetaceae have to be considered as partially, or in case of the achlorophyllous fertile Equisetum arvense, as fully mycoheterotrophic at least in some stages of their life cycle. So far, mostly underappreciated fungi classified as DSE are suggested to occupy an ecologically relevant role similar to mycorrhizae and the occurrence of simultaneous functions of DSE and AM fungi in Equisetaceae is proposed. A free Plain Language Summary can be found within the Supporting Information of this article. © 2020 The Authors. Functional Ecology published by John Wiley &amp; Sons Ltd on behalf of British Ecological Society</t>
  </si>
  <si>
    <t>Caryophyllaceae; Cyperaceae; dark septate endophytes; Equisetaceae; mycoheterotrophy; mycorrhiza; stable isotope natural abundance</t>
  </si>
  <si>
    <t>Suseela V., Tharayil N., Orr G., Hu D.</t>
  </si>
  <si>
    <t>Chemical plasticity in the fine root construct of Quercus spp. varies with root order and drought</t>
  </si>
  <si>
    <t>10.1111/nph.16841</t>
  </si>
  <si>
    <t>https://www.scopus.com/inward/record.uri?eid=2-s2.0-85090783125&amp;doi=10.1111%2fnph.16841&amp;partnerID=40&amp;md5=d95eb3e9402cf89b8f2e29692ff72eb9</t>
  </si>
  <si>
    <t>Fine roots of trees exhibit varying degree of plasticity to adapt to environmental stress. Although the morphological and physiological plasticity of roots has been well studied, less known are the accompanying changes in the chemical composite (chemical plasticity) of fine roots, which regulates both root function and soil carbon sequestration. We investigated the changes in quantity, composition and localization of phenolic compounds in fine root orders of Quercus alba and Quercus rubra subjected to drought stress. In both species the total quantity of lignins varied only by root orders, where the distal (first and second) root orders had lower lignin compared to higher orders. Despite a lower lignin content, the distal root orders had higher content of guaiacyl lignin and bound phenolics that would provide a greater meshing of lignocellulosic matrix, and thus a higher tissue integrity. Unlike lignins, drought altered the quantity and composition of tannins. In Q. alba, the ellagitannins decreased in the distal root orders exposed to drought, while the fiber-bound condensed tannnins increased. The lower content of ellagitannins with antimicrobial properties under drought reveals an adaptive response by fine roots to promote symbiotic association, as evidenced by the higher colonization of ectomycorrhizal fungi. Our study revealed that, when exposed to drought, the composition of heteropolymers are strategically varied across fine root orders, so as to provide a greater root function without compromising the tissue protection. © 2020 The Authors New Phytologist © 2020 New Phytologist Trust</t>
  </si>
  <si>
    <t>drought; ectomycorrhizal fungi; ellagitannins; fine roots; lignin; Quercus alba; Quercus rubra; tannins</t>
  </si>
  <si>
    <t>Haider G., Joseph S., Steffens D., Müller C., Taherymoosavi S., Mitchell D., Kammann C.I.</t>
  </si>
  <si>
    <t>Mineral nitrogen captured in field-aged biochar is plant-available</t>
  </si>
  <si>
    <t>10.1038/s41598-020-70586-x</t>
  </si>
  <si>
    <t>https://www.scopus.com/inward/record.uri?eid=2-s2.0-85089412481&amp;doi=10.1038%2fs41598-020-70586-x&amp;partnerID=40&amp;md5=1c474ed30d00b294407822c41f52dc52</t>
  </si>
  <si>
    <t>Biochar may serve as a tool to sustainably mitigate climate change via carbon sequestration and by improving soil fertility. Biochar has shown to retain nitrate in its pores, which increases with an organic coating of the inner surfaces and residence time in soil (“aging”). Here we investigated the plant accessibility of the captured nitrate in field-aged biochar, as a pre-requisite for developing carbon-based N fertilization techniques with environmental benefits. Based on previous results, we hypothesized that part of the biochar-captured nitrate would remain unavailable for plants. A two-factorial greenhouse experiment was designed, where the N was applied either as Ca(NO3)2 or as N captured in field-aged biochar at five increasing N doses to quinoa and perennial ryegrass in pots. Interestingly, the biochar-captured N was as plant available as the mineral nitrate, except for the highest dosage. Refuting our hypothesis, no significant amounts of N were extractable at the end of the study from the biochar–soil mixtures with repeated-extraction protocols. Thus, N captured by biochar may improve the N use efficiency in agriculture. Further research should evaluate the role of biochar particle size, root morphology, mycorrhization, and soil moisture (variations) for nitrate retrieval from biochar particles by plants because the captured biochar N was less available in the field as under present controlled conditions. © 2020, The Author(s).</t>
  </si>
  <si>
    <t>Zhang H.-S., Zhou M.-X., Zai X.-M., Zhao F.-G., Qin P.</t>
  </si>
  <si>
    <t>Spatio-temporal dynamics of arbuscular mycorrhizal fungi and soil organic carbon in coastal saline soil of China</t>
  </si>
  <si>
    <t>10.1038/s41598-020-66976-w</t>
  </si>
  <si>
    <t>https://www.scopus.com/inward/record.uri?eid=2-s2.0-85086570132&amp;doi=10.1038%2fs41598-020-66976-w&amp;partnerID=40&amp;md5=68dd7708307515b224839b45568ea364</t>
  </si>
  <si>
    <t>A comprehensive understanding of the relationship between arbuscular mycorrhizal (AM) fungi and coastal saline soil organic carbon (SOC) is crucial for analysis of the function of coastal wetlands in soil carbon sequestration. In a field experiment, the temporal and spatial dynamics of AM fungi, glomalin-related soil protein (GRSP) – which is described as a N-linked glycoprotein and the putative gene product of AM fungi, SOC, and soil aggregates were investigated in halophyte Kosteletzkya virginica rhizosphere soil of coastal saline areas of North Jiangsu, China. Soil samples were collected from a depth of up to 30 cm in two plantation regions from August 2012 to May 2013. Results showed K. virginica formed a strong symbiotic relationship to AM fungi. AM colonization and spore density were the highest in the 10–20 cm soil layer of Jinhai farm in August 2012, because of the presence of numerous fibrous roots in this soil layer. The total GRSP and SOC were the highest in the 0–10 cm soil layer in May 2013 and November 2012, respectively. Correlation coefficient analysis revealed that AM colonization and spore density were positively correlated with total GRSP. Meanwhile, total GRSP was significantly positively correlated with large macroaggregates (&gt;3 mm), SOC, total P, Olsen P, and soil microbial biomass carbon (SMBC), but negatively correlated with microaggregates (&lt;0.25 mm), soil EC, total N, and pH. SOC was positively correlated with spore density, large macroaggregates, small macroaggregates (2–0.25 mm), alkaline N, and SMBC and negatively correlated with microaggregates, EC, pH, and total K. Although it may be a statistical artifact, we found an interesting phenomenon that there was no significant correlation between soil aggregates and AM colonization or spore density. Hence, total GRSP is a vital source of saline soil C pool and an important biological indicator for evaluating coastal saline SOC pool and soil fertility, while AM colonization or spore density may not be. © 2020, The Author(s).</t>
  </si>
  <si>
    <t>Silva C.A.D., Londe V., Andrade S.A.L., Joly C.A., Vieira S.A.</t>
  </si>
  <si>
    <t>Fine root-arbuscular mycorrhizal fungi interaction in Tropical Montane Forests: Effects of cover modifications and season</t>
  </si>
  <si>
    <t>10.1016/j.foreco.2020.118478</t>
  </si>
  <si>
    <t>https://www.scopus.com/inward/record.uri?eid=2-s2.0-85089246821&amp;doi=10.1016%2fj.foreco.2020.118478&amp;partnerID=40&amp;md5=ede66f1790e6768affc94d3ced6a038e</t>
  </si>
  <si>
    <t>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 © 2020 Elsevier B.V.</t>
  </si>
  <si>
    <t>Atlantic Forest; Belowground functioning; Biomass; Seasonality</t>
  </si>
  <si>
    <t>Li M., Jiang X., Jin H.</t>
  </si>
  <si>
    <t>Modes of uptake and translocation of NO3- affecting growth of host plants in arbuscular mycorrhizal symbiosis [AM 真菌共生系统中硝态氮吸收转运途径及对寄主生长的作用]</t>
  </si>
  <si>
    <t>Acta Pedologica Sinica</t>
  </si>
  <si>
    <t>10.11766/trxb201909090476</t>
  </si>
  <si>
    <t>https://www.scopus.com/inward/record.uri?eid=2-s2.0-85093087527&amp;doi=10.11766%2ftrxb201909090476&amp;partnerID=40&amp;md5=af12fb60313d4b9b3a1cd926eb1b98e2</t>
  </si>
  <si>
    <t>Objective Effects of uptake and translocation of NO3- in arbuscular mycorrhizal symbiosis and formation of arginine (Arg) in extraradical mycelium (ERM) and mycorrhizal root when ERM was exposed to NO3- or NH4+, affecting growth of their host plants were studied. Method In this study a dual split culture system was established with Ri T- DNA transformed carrot root and Glomus intraradices (Rhizophagus intraradices) and the 15N/13C isotope tracing technique was used to explore pathways of the uptake and transport of NO3-, and determine how much arginine accumulated in ERM and mycorrhizal root after NO3- or NH4+ was absorbed and translocated in the fungal compartment, and a field experiment was conducted too to address how uptake and translocatiton of NO3- or NH4+ affect growth of the host plants. Result Results show that AM hypha preferred to uptake NH4+ over NO3- when they both were available in the soil. When AM extraradical hypha were exposed to NH415NO3 for 1 week, though the free amino acids, include Arg, in the extraradical mycelium (ERM) were not labelled by 15N, those in the mycorrhizal tissues were, indicating that 15NO3 in the fungal compartment were transported directly via mycelium into mycorrhizal tissues rather than any new translocation mode; on the contrary, when extraradical hypha were cultured with 15NH4NO3, only Arg was 15N-labelled therein, while the form of nitrogen composed of other amino acids in the ERM was 14NO3 translocated mainly from the hypha compartment and hence not labelled. While exposed to 13C6-Glucose for 6 weeks, the ERM was found to have no 13C-labelled Arg or protein, which indicates that ERM is unable to utilize glucose. When exposed to 13C1, 2-acatate, the ERM was found to have Arg and protein 13C labelled up to 8.5%±2.3% and 7.6%±0.7%, respectively; when exposed to 13C1, 2-acatate plus 15NO3-, the ERM increased the concentration of free Arg with increasing N input, up to 54.2%±19.3% and 13C labelled Arg and protein up to 57.4%±4.8% and 50.3%±2.8%, respectively, which indicates that increased C and N inputs in the hypha compartment may promote formation of Arg. In the field experiment, in the field low in P level, addition of KNO3 increased significantly weight of the AM-inoculated sweet corm plants by 12.28%, as compared to the control, but addition of NH4SO4 did not have such an effect and instead decreased biomass of the plants by 8.19%, and addition of urea did by 13.02%; however amendment of organic manure to urea application mitigated the adverse effect. Conclusion There are two different modes of AM fungi absorbing and transporting ammonium and nitrate. AM fungi absorb and transport ammonium nitrogen (NH4+ and urea), via GS-GOGAT in ERM, and most of the absorbed nitrogen is integrated into Arg molecules, and the synthesized arginine is intactly transported to the intraradical mycelium by ERM. Meanwhile, NO3- in the AM fungi symbiosis, as revealed by the isotope tracing technique, is adsorbed by ERM and transported via ERM to intraradical mycelium. Application of NO3 may promote growth of the AM fungi-hosted sweet corn, while application of NH4+ may affect the crop reversely. © 2020 Science Press. All rights reserved.</t>
  </si>
  <si>
    <t>13C labelling; 15N labelling; Arbuscular mycorrhizal fungi; Arginine; Carbon source; Nitrogen source</t>
  </si>
  <si>
    <t>Matsuda Y., Yamaguchi Y., Matsuo N., Uesugi T., Ito J., Yagame T., Figura T., Selosse M.-A., Hashimoto Y.</t>
  </si>
  <si>
    <t>Communities of mycorrhizal fungi in different trophic types of Asiatic Pyrola japonica sensu lato (Ericaceae)</t>
  </si>
  <si>
    <t>10.1007/s10265-020-01233-9</t>
  </si>
  <si>
    <t>https://www.scopus.com/inward/record.uri?eid=2-s2.0-85093976127&amp;doi=10.1007%2fs10265-020-01233-9&amp;partnerID=40&amp;md5=f695bbc9fac63facbad5d745b1159237</t>
  </si>
  <si>
    <t>Mixotrophic plants obtain carbon by their own photosynthetic activity and from their root-associated mycorrhizal fungi. Mixotrophy is deemed a pre-adaptation for evolution of mycoheterotrophic nutrition, where plants fully depend on fungi and lose their photosynthetic activity. The aim of this study was to clarify mycorrhizal dependency and heterotrophy level in various phenotypes of mixotrophic Pyrola japonica (Ericaceae), encompassing green individuals, rare achlorophyllous variants (albinos) and a form with minute leaves, P. japonica f. subaphylla. These three phenotypes were collected in two Japanese forests. Phylogenetic analysis of both plants and mycorrhizal fungi was conducted based on DNA barcoding. Enrichment in 13C among organs (leaves, stems and roots) of the phenotypes with reference plants and fungal fruitbodies were compared by measuring stable carbon isotopic ratio. All plants were placed in the same clade, with f. subaphylla as a separate subclade. Leaf 13C abundances of albinos were congruent with a fully mycoheterotrophic nutrition, suggesting that green P. japonica leaves are 36.8% heterotrophic, while rhizomes are 74.0% heterotrophic. There were no significant differences in δ13C values among organs in both albino P. japonica and P. japonica f. subaphylla, suggesting full and high mycoheterotrophic nutrition, respectively. Among 55 molecular operational taxonomic units (OTUs) detected as symbionts, the genus Russula was the most abundant in each phenotype and its dominance was significantly higher in albino P. japonica and P. japonica f. subaphylla. Russula spp. detected in P. japonica f. subaphylla showed higher dissimilarity with other phenotypes. These results suggest that P. japonica sensu lato is prone to evolve mycoheterotrophic variants, in a process that changes its mycorrhizal preferences, especially towards the genus Russula for which this species has a marked preference. © 2020, The Botanical Society of Japan.</t>
  </si>
  <si>
    <t>Albino; DNA barcoding; Evolution; Mixotrophy; Russula; Stable isotope</t>
  </si>
  <si>
    <t>Belay Z., Negash M., Kaseva J., Vestberg M., Kahiluoto H.</t>
  </si>
  <si>
    <t>Native forests but not agroforestry systems preserve arbuscular mycorrhizal fungal species richness in southern Ethiopia</t>
  </si>
  <si>
    <t>10.1007/s00572-020-00984-6</t>
  </si>
  <si>
    <t>https://www.scopus.com/inward/record.uri?eid=2-s2.0-85090950329&amp;doi=10.1007%2fs00572-020-00984-6&amp;partnerID=40&amp;md5=777d9505638552d4fea5ae25c40f8e07</t>
  </si>
  <si>
    <t>The rapid conversion of native forests to farmland in Ethiopia, the cradle of biodiversity, threatens the diversity of the arbuscular mycorrhizal fungi (AMF) pivotal to plant nutrition and carbon sequestration. This study aimed to investigate the impact of this land-use change on the AMF species composition and diversity in southern Ethiopia. Soil samples were collected from nine plots in each of three land-use types: native forest, agroforestry, and khat monocropping. The plots of the three land-use types were located adjacent to each other for each of the nine replicates. Three 10 × 10m subplots per plot were sampled. AMF spores were extracted from the soil samples, spore densities were determined, and species composition and diversity were evaluated through morphological analysis. Both spore density and species richness were statistically significantly higher in the native forest than in the agroforestry plots with no clear difference to khat, whereas the true diversity (exponential of Shannon–Wiener diversity index) did not differ among the three land-use types due to high evenness among the species in agroforestry. In total, 37 AMF morphotypes belonging to 12 genera in Glomeromycota were found, dominated by members of the genera Acaulospora and Glomus. The highest isolation frequency index (78%) was recorded for Acaulospora koskei from native forest. Consequently, the agroforestry system did not appear to aid in preserving the AMF species richness of native forests relative to perennial monocropping, such as khat cultivation. In contrast, the native forest areas can serve as in situ genetic reserves of mycorrhizal symbionts adapted to the local vegetative, edaphic, and microbial conditions. © 2020, The Author(s).</t>
  </si>
  <si>
    <t>Agroforestry; Cordia africana; Khat; Land-use type; Native forest; Species diversity</t>
  </si>
  <si>
    <t>Klink S., Giesemann P., Hubmann T., Pausch J.</t>
  </si>
  <si>
    <t>Stable C and N isotope natural abundances of intraradical hyphae of arbuscular mycorrhizal fungi</t>
  </si>
  <si>
    <t>10.1007/s00572-020-00981-9</t>
  </si>
  <si>
    <t>https://www.scopus.com/inward/record.uri?eid=2-s2.0-85089826721&amp;doi=10.1007%2fs00572-020-00981-9&amp;partnerID=40&amp;md5=bce95f940f92a947054ce35164ac7461</t>
  </si>
  <si>
    <t>Data for stable C and N isotope natural abundances of arbuscular mycorrhizal (AM) fungi are currently sparse, as fungal material is difficult to access for analysis. So far, isotope analyses have been limited to lipid compounds associated with fungal membranes or storage structures (biomarkers), fungal spores and soil hyphae. However, it remains unclear whether any of these components are an ideal substitute for intraradical AM hyphae as the functional nutrient trading organ. Thus, we isolated intraradical hyphae of the AM fungus Rhizophagus irregularis from roots of the grass Festuca ovina and the legume Medicago sativa via an enzymatic and a mechanical approach. In addition, extraradical hyphae were isolated from a sand-soil mix associated with each plant. All three approaches revealed comparable isotope signatures of R. irregularis hyphae. The hyphae were 13C- and 15N-enriched relative to leaves and roots irrespective of the plant partner, while they were enriched only in 15N compared with soil. The 13C enrichment of AM hyphae implies a plant carbohydrate source, whereby the enrichment was likely reduced by an additional plant lipid source. The 15N enrichment indicates the potential of AM fungi to gain nitrogen from an organic source. Our isotope signatures of the investigated AM fungus support recent findings for mycoheterotrophic plants which are suggested to mirror the associated AM fungi isotope composition. Stable isotope natural abundances of intraradical AM hyphae as the functional trading organ for bi-directional carbon-for-mineral nutrient exchanges complement data on spores and membrane biomarkers. © 2020, The Author(s).</t>
  </si>
  <si>
    <t>Hyphae; Mycorrhiza; Nitrogen acquisition; Plant carbon; δ13C; δ15N</t>
  </si>
  <si>
    <t>Eskov A.K., Voronina E.Y., Tedersoo L., Tiunov A.V., Manh V., Prilepsky N.G., Antipina V.A., Elumeeva T.G., Abakumov E.V., Onipchenko V.G.</t>
  </si>
  <si>
    <t>Orchid epiphytes do not receive organic substances from living trees through fungi</t>
  </si>
  <si>
    <t>10.1007/s00572-020-00980-w</t>
  </si>
  <si>
    <t>https://www.scopus.com/inward/record.uri?eid=2-s2.0-85089458229&amp;doi=10.1007%2fs00572-020-00980-w&amp;partnerID=40&amp;md5=0916025d973b30208e5fff0bcea2eb3e</t>
  </si>
  <si>
    <t>Numerous studies of terrestrial orchids have demonstrated widespread partial mycoheterotrophy, particularly the possibility of obtaining organic matter from surrounding trees through a common fungal network. Fungi are also widespread in epiphytic orchid roots, but there have been no attempts to determine if epiphytes accept organic matter from the living stems of their phorophytes. We hypothesise that such transfer does not exist because epiphytes and phorophytes harbour different fungal communities. To test this hypothesis, we tagged three short Randia sp. trees with 13C-enriched CO2 and examined 13C transfer from the phorophyte into the epiphytic orchids Grosourdya appendiculata, Dendrobium oligophyllum and Gastrochilus sp. in Cat Tien National Park, (South Vietnam, Cat Tien National Park, plot size approx. 1 ha). The coincidence of fungal sequences in the orchid roots and in the branches on which they grew was also examined. We did not detect 13C label moving from phorophytes to epiphytes. Using Illumina sequencing, 162 fungal operational taxonomic units (OTUs) were detected. The fungal communities were significantly different between the roots of epiphytes and branches of phorophytes, although no strict fungal specificity at the species level was found in either epiphytes or phorophytes. © 2020, Springer-Verlag GmbH Germany, part of Springer Nature.</t>
  </si>
  <si>
    <t>Isotope analysis; Metabarcoding analysis; Mycorrhizal fungi; Orchid epiphytes; Partial mycoheterotrophy</t>
  </si>
  <si>
    <t>Yang H., Li Y., Zhai S., Fang C., Liu J., Zhang Q.</t>
  </si>
  <si>
    <t>Long term ditch-buried straw return affects soil fungal community structure and carbon-degrading enzymatic activities in a rice-wheat rotation system</t>
  </si>
  <si>
    <t>Applied Soil Ecology</t>
  </si>
  <si>
    <t>10.1016/j.apsoil.2020.103660</t>
  </si>
  <si>
    <t>https://www.scopus.com/inward/record.uri?eid=2-s2.0-85086429902&amp;doi=10.1016%2fj.apsoil.2020.103660&amp;partnerID=40&amp;md5=d243c52513ff4913ae443b6f51c8397d</t>
  </si>
  <si>
    <t>As a novel soil tillage practice to build fertility, ditch-buried straw return (DBSR) can affect soil carbon sequestration, nitrogen availability and hydrothermal processes in rice-wheat rotation systems. However, it is still not well-known how DBSR influences soil fungal community. A 6.5-year's field experiment was conducted to test the effects of DBSR on soil fungal community via comparing with rotary tillage straw return (RTSR) and no tillage with no straw (NTNS). Our results showed that soil fungal species composition under DBSR was significantly different from NTNS and RTSR. Also, DBSR showed distinctive impacts on soil fungal composition at the order level. DBSR significantly increased Shannon diversity index and evenness, decreased dominance, but did not affect species richness. Moreover, DBSR significantly increased the abundance of symbiotrophic fungi, but reduced the abundance of pathotrophic fungi. Especially, DBSR largely increased the abundance ratio of arbuscular mycorrhizal fungi to plant fungal pathogens. DBSR significantly reduced β-D-glucosidase activity but increased peroxidase activity while RTSR increased both cellobiohydrolase and peroxidase activity. Our results suggest that long term ditch-buried straw return can structure a unique soil fungal community from that of RTSR and NTNS, increase soil fungal diversity and promote the dominance of beneficial fungi over soil-borne plant fungal pathogens. These findings can provide solid evidence for future large-scale extension of ditch-buried straw return in practical agriculture. © 2020 Elsevier B.V.</t>
  </si>
  <si>
    <t>Functional guilds; Fungal community; Rice-wheat double cropping; Straw incorporation</t>
  </si>
  <si>
    <t>Somenahally A., McLawrence J., DuPont J.I., Brady J., Sarkar R., Rouquette M., Jr.</t>
  </si>
  <si>
    <t>Root-mycorrhizae interactions contributed to organic carbon density in the sandy soil profiles of adapted grazing lands</t>
  </si>
  <si>
    <t>10.1016/j.apsoil.2020.103656</t>
  </si>
  <si>
    <t>https://www.scopus.com/inward/record.uri?eid=2-s2.0-85085314774&amp;doi=10.1016%2fj.apsoil.2020.103656&amp;partnerID=40&amp;md5=eeb52faf6438c942e994ec4c956d30ab</t>
  </si>
  <si>
    <t>Grazing lands occupy a substantial area around the world and could serve as carbon sink if soil organic carbon sequestration potential is increased. In subtropical climates, grazing lands are more commonly situated on low productive sandy soil profiles with poor soil attributes for carbon sequestration. Soil acidity limits root and beneficial microbial interactions, both critical for increasing soil organic carbon (SOC) sequestration. Adapted grazing and forage (vegetation) management could help to improve root-microbe interactions and SOC stocks in the soil profile. The objective of this study was to quantify SOC density in the soil profile along with aboveground and belowground biomass pools, as influenced by long-term cattle grazing of different forage systems managed with or without inorganic nitrogen (iN) fertilization. The following treatments were implemented continuously for the last 30 years. Warm season perennial grass (C4, Cynodon dactylon) pastures were either over-sown with C3 ryegrass (Lolium multiforum; C4-C3G) or clover (Trifolium sp.; C4-C3L), in order to extend the grazing season into cool season months. Grass-based pastures (C4-C3G) were fertilized, called inorganic treatment (iN), while clover systems (C4-C3L called organic N) did not receive iN fertilization (oN). The two forage systems were further split to compare high and low grazing pressure (HG and LG). Forage, root and microbial biomass and SOC density were estimated from soil cores sampled separately during C4 and C3 grazing seasons. Results indicated that SOC density (Mg ha−1) at soil profile level (0–60 cm) was higher under low grazing pressure compared to high, and in iN fertilized compared to oN treatments. However, subsoil (20–60 cm) SOC stocks were significantly higher under oN compared to iN treatments. Forage biomass and root biomass were higher under iN and HG treatments, but arbuscular mycorrhizae (AM) biomass was decreased. There were no consistent trends for other microbial biomass pools in response to GP or N treatments. It can be concluded that higher SOC density in the surface and subsoil in response to GP and N management were largely due to differences in microbial biomass, but not plant biomass productivity. Among the belowground biomass pools, AM was most responsive to experimental factors and their interaction effects, and thus could be a reliable metric to optimize grazing and achieve stewardship goals. © 2020 Elsevier B.V.</t>
  </si>
  <si>
    <t>Below ground biomass; Grazing pressure; Mycorrhizal biomass; Nitrogen management; Root biomass; Subsoil carbon</t>
  </si>
  <si>
    <t>Das S., Ganguly D., Chakraborty S., Mukherjee A., De T.K.</t>
  </si>
  <si>
    <t>The first report of Glomalin from the Sundarban Mangrove Biosphere Reserve, India, a long-term sediment Carbon storage</t>
  </si>
  <si>
    <t>Regional Studies in Marine Science</t>
  </si>
  <si>
    <t>10.1016/j.rsma.2020.101398</t>
  </si>
  <si>
    <t>https://www.scopus.com/inward/record.uri?eid=2-s2.0-85089735410&amp;doi=10.1016%2fj.rsma.2020.101398&amp;partnerID=40&amp;md5=db772348b315bcc80a30a28586aab2ec</t>
  </si>
  <si>
    <t>Seasonal and vertical profile of Glomalin Related Soil Protein (GRSP) from Arbuscular mycorrhizal fungi showed an explanatory outcome related to the carbon sequestration processes in the sediment of the Sundarban Mangrove biosphere reserve. A decreasing trend was found for total GRSP (T-GRSP) and easily extractable GRSP (EE-GRSP) with increase in depth whereas a reverse profile was found for difficulty extractable GRSP (DE-GRSP) in the deep forest region. Accumulation of Glomalin during post-monsoon found to be 1.43 times and 1.41 times higher than that of pre-monsoon and monsoon season, respectively. A significant impact of soil redox potential on the accumulation of difficulty extractable GRSP (DE-GRSP) indicated possible acceleration in Glomalin synthesis and subsequent carbon sequestration under enhanced sediment anoxicity in this biosphere reserve. Sediment salinity, temperature and pH did not show any significant cause on the occurrence of Glomalin related soil proteins, indicating its limited dependence on these environmental parameters. A direct correlation was perceptible between the number of arbuscular mycorrhizal fungal spores with T-GRSP, EE-GRSP and DE-GRSP in the sediment during the study period from 2012 to 2014. Organic carbon showed a strong positive correlation with Glomalin related soil protein T-GRSP (mg g−1 dry wt of sediment) = 3.06 Organic Carbon (%)+ 0.13; R2=0.95], indicating a significant fraction of organic carbon is converted to GRSP as long-term carbon storage by Arbuscular Mycorrhizal Fungi present in the sediment of this unique biosphere reserve. © 2020 Elsevier B.V.</t>
  </si>
  <si>
    <t>Anoxic sediment; Arbuscular mycorrhizal fungi; Carbon sequestration; Glomalin related soil protein (GRSP); Spores; Sundarban Mangrove biosphere reserve</t>
  </si>
  <si>
    <t>van Tuinen D., Tranchand E., Hirissou F., Wipf D., Courty P.-E.</t>
  </si>
  <si>
    <t>Carbon partitioning in a walnut-maize agroforestry system through arbuscular mycorrhizal fungi</t>
  </si>
  <si>
    <t>10.1016/j.rhisph.2020.100230</t>
  </si>
  <si>
    <t>https://www.scopus.com/inward/record.uri?eid=2-s2.0-85088043433&amp;doi=10.1016%2fj.rhisph.2020.100230&amp;partnerID=40&amp;md5=9b0266a65cc29fb38f96ee9a6551ed67</t>
  </si>
  <si>
    <t>In tree-based intercropping systems, roots of trees and crops are interacting and could influence ecosystem services provided by soil microorganisms. Here, the analysis of diversity of arbuscular mycorrhiza fungi (AMF) associated with roots of walnut and maize reveals differences. Of interest, Funneliformis genus is mainly associated with maize roots, and one OTU related to an uncultured Glomus, might form a common mycorrhizal network linking roots of both plants. In addition, the analysis of 13C of mycelium living in the surrounding environment of roots, suggest that part of the carbon derived from walnut trees could be transferred to maize plants. Our results suggest that in temperate agroforestry ecosystems, AMF could participle in the redistribution of nutrients between connected plants. © 2020</t>
  </si>
  <si>
    <t>Agroforestry; Carbon transfer; Common mycorrhizal network; Maize; Stable isotopes; Walnut</t>
  </si>
  <si>
    <t>Friggens N.L., Hester A.J., Mitchell R.J., Parker T.C., Subke J.-A., Wookey P.A.</t>
  </si>
  <si>
    <t>Tree planting in organic soils does not result in net carbon sequestration on decadal timescales</t>
  </si>
  <si>
    <t>Global Change Biology</t>
  </si>
  <si>
    <t>10.1111/gcb.15229</t>
  </si>
  <si>
    <t>https://www.scopus.com/inward/record.uri?eid=2-s2.0-85087828223&amp;doi=10.1111%2fgcb.15229&amp;partnerID=40&amp;md5=5aee5ff667192148b5c64c34672ddc14</t>
  </si>
  <si>
    <t>Tree planting is increasingly being proposed as a strategy to combat climate change through carbon (C) sequestration in tree biomass. However, total ecosystem C storage that includes soil organic C (SOC) must be considered to determine whether planting trees for climate change mitigation results in increased C storage. We show that planting two native tree species (Betula pubescens and Pinus sylvestris), of widespread Eurasian distribution, onto heather (Calluna vulgaris) moorland with podzolic and peaty podzolic soils in Scotland, did not lead to an increase in net ecosystem C stock 12 or 39 years after planting. Plots with trees had greater soil respiration and lower SOC in organic soil horizons than heather control plots. The decline in SOC cancelled out the increment in C stocks in tree biomass on decadal timescales. At all four experimental sites sampled, there was no net gain in ecosystem C stocks 12–39 years after afforestation—indeed we found a net ecosystem C loss in one of four sites with deciduous B. pubescens stands; no net gain in ecosystem C at three sites planted with B. pubescens; and no net gain at additional stands of P. sylvestris. We hypothesize that altered mycorrhizal communities and autotrophic C inputs have led to positive ‘priming’ of soil organic matter, resulting in SOC loss, constraining the benefits of tree planting for ecosystem C sequestration. The results are of direct relevance to current policies, which promote tree planting on the assumption that this will increase net ecosystem C storage and contribute to climate change mitigation. Ecosystem-level biogeochemistry and C fluxes must be better quantified and understood before we can be assured that large-scale tree planting in regions with considerable pre-existing SOC stocks will have the intended policy and climate change mitigation outcomes. © 2020 The Authors. Global Change Biology published by John Wiley &amp; Sons Ltd.</t>
  </si>
  <si>
    <t>afforestation; Betula pubescens; carbon stocks; climate change mitigation; mycorrhiza; Pinus sylvestris; soil carbon dynamics; tree planting</t>
  </si>
  <si>
    <t>Parihar M., Rakshit A., Meena V.S., Gupta V.K., Rana K., Choudhary M., Tiwari G., Mishra P.K., Pattanayak A., Bisht J.K., Jatav S.S., Khati P., Jatav H.S.</t>
  </si>
  <si>
    <t>The potential of arbuscular mycorrhizal fungi in C cycling: a review</t>
  </si>
  <si>
    <t>Archives of Microbiology</t>
  </si>
  <si>
    <t>10.1007/s00203-020-01915-x</t>
  </si>
  <si>
    <t>https://www.scopus.com/inward/record.uri?eid=2-s2.0-85085347388&amp;doi=10.1007%2fs00203-020-01915-x&amp;partnerID=40&amp;md5=0d3320f462777d81385658d243184092</t>
  </si>
  <si>
    <t>Arbuscular mycorrhizal fungi (AMF) contribute predominantly to soil organic matter by creating a sink demand for plant C and distributing to below-ground hyphal biomass. The extra-radical hyphae along with glomalin-related soil protein significantly influence the soil carbon dynamics through their larger extent and turnover period need to discuss. The role of AMF is largely overlooked in terrestrial C cycling and climate change models despite their greater involvement in net primary productivity augmentation and further accumulation of this additional photosynthetic fixed C in the soil. However, this buffering mechanism against elevated CO2 condition to sequester extra C by AMF can be described only after considering their potential interaction with other microbes and associated mineral nutrients such as nitrogen cycling. In this article, we try to review the potential of AMF in C sequestration paving the way towards a better understanding of possible AMF mechanism by which C balance between biosphere and atmosphere can be moved forward in more positive direction. © 2020, Springer-Verlag GmbH Germany, part of Springer Nature.</t>
  </si>
  <si>
    <t>Carbon sequestration; Glomalin; Net primary productivity; Nutrient exchange; Soil nitrifiers</t>
  </si>
  <si>
    <t>Parker T.C., Clemmensen K.E., Friggens N.L., Hartley I.P., Johnson D., Lindahl B.D., Olofsson J., Siewert M.B., Street L.E., Subke J.-A., Wookey P.A.</t>
  </si>
  <si>
    <t>Rhizosphere allocation by canopy-forming species dominates soil CO2 efflux in a subarctic landscape</t>
  </si>
  <si>
    <t>10.1111/nph.16573</t>
  </si>
  <si>
    <t>https://www.scopus.com/inward/record.uri?eid=2-s2.0-85084509889&amp;doi=10.1111%2fnph.16573&amp;partnerID=40&amp;md5=d6ae7b7a0b56f1d0a4dee83641fff9e1</t>
  </si>
  <si>
    <t>In arctic ecosystems, climate change has increased plant productivity. As arctic carbon (C) stocks predominantly are located belowground, the effects of greater plant productivity on soil C storage will significantly determine the net sink/source potential of these ecosystems, but vegetation controls on soil CO2 efflux remain poorly resolved. In order to identify the role of canopy-forming species in belowground C dynamics, we conducted a girdling experiment with plots distributed across 1 km2 of treeline birch (Betula pubescens) forest and willow (Salix lapponum) patches in northern Sweden and quantified the contribution of canopy vegetation to soil CO2 fluxes and belowground productivity. Girdling birches reduced total soil CO2 efflux in the peak growing season by 53%, which is double the expected amount, given that trees contribute only half of the total leaf area in the forest. Root and mycorrhizal mycelial production also decreased substantially. At peak season, willow shrubs contributed 38% to soil CO2 efflux in their patches. Our findings indicate that C, recently fixed by trees and tall shrubs, makes a substantial contribution to soil respiration. It is critically important that these processes are taken into consideration in the context of a greening arctic because productivity and ecosystem C sequestration are not synonymous. © 2020 The Authors. New Phytologist © 2020 New Phytologist Trust</t>
  </si>
  <si>
    <t>Arctic; ectomycorrhizal fungi; girdling; rhizosphere; shrub expansion; soil CO2 efflux; treeline</t>
  </si>
  <si>
    <t>Suetsugu K., Matsubayashi J., Tayasu I.</t>
  </si>
  <si>
    <t>Some mycoheterotrophic orchids depend on carbon from dead wood: novel evidence from a radiocarbon approach</t>
  </si>
  <si>
    <t>10.1111/nph.16409</t>
  </si>
  <si>
    <t>https://www.scopus.com/inward/record.uri?eid=2-s2.0-85078889024&amp;doi=10.1111%2fnph.16409&amp;partnerID=40&amp;md5=9f86fad0d38a9691f6c5437208bc3ec4</t>
  </si>
  <si>
    <t>Mycoheterotrophic plants depend entirely on fungal associations for organic nutrients. While most mycoheterotrophic plants are associated with the mycorrhizal partners of surrounding green plants, some mycoheterotrophs are believed to obtain carbon from decaying litter or dead wood by parasitising saprotrophic fungi, based on culture experiments and 13C and 15N isotopic signatures. The carbon age (the time since carbon was fixed from atmospheric CO2 by photosynthesis) can be estimated by measuring the concentration of 14C arising from the bomb tests of the 1950s and 1960s. Given that mycorrhizal fungi obtain photosynthate from their plant partners, and saprotrophic wood-decaying fungi obtain carbon from older sources, radiocarbon could represent a new and powerful tool to investigate carbon sources of mycoheterotrophic plants. We showed that the Δ14C values of mycoheterotrophs exploiting ectomycorrhizal fungi were close to 0‰, similar to those of autotrophic plants. By contrast, the Δ14C values of mycoheterotrophs exploiting saprotrophic fungi ranged from 110.7‰ to 324.8‰, due to the 14C-enriched bomb carbon from dead wood via saprotrophic fungi. Our study provides evidence supporting that some mycoheterotrophic orchids depend on forest woody debris. Our study also indicates that radiocarbon could be used to predict the trophic strategies of mycoheterotroph-associated fungal symbionts. © 2020 The Authors. New Phytologist © 2020 New Phytologist Trust</t>
  </si>
  <si>
    <t>carbon cycling; ectomycorrhizal fungi; mixotrophy; mycorrhizas; orchids; saprotrophic fungi; Δ14C</t>
  </si>
  <si>
    <t>Wu L., Li X., Zhao M., Bai Y.</t>
  </si>
  <si>
    <t>Grazing regulation of phosphorus cycling in grassland ecosystems: Advances and prospects [放牧对草地生态系统磷循环调控机制的研究进展与展望]</t>
  </si>
  <si>
    <t>Kexue Tongbao/Chinese Science Bulletin</t>
  </si>
  <si>
    <t>10.1360/TB-2020-0321</t>
  </si>
  <si>
    <t>https://www.scopus.com/inward/record.uri?eid=2-s2.0-85091011251&amp;doi=10.1360%2fTB-2020-0321&amp;partnerID=40&amp;md5=0018337b1dc5ed55869541fc1e802c6b</t>
  </si>
  <si>
    <t>Grassland ecosystems, which cover a total area of 52.5 million square kilometers and account for 40.5% of the global land surface, are the largest biomes in the world. Grazing is the most dominant and direct land use type in grasslands and a predominant driver regulating multiple ecosystem functions and services, such as primary production, nitrogen (N) and phosphorus (P) cycling, carbon sequestration, forage and food production, and water and soil erosion control etc. Many studies have demonstrated that primary production of grasslands is often limited by water, N and P availability, which interact with grazing to influence the maintenance of ecosystem functions and services. However, compared with numerous studies on the effects of grazing on N cycling and plant water use, fewer studies have explored how grazing influence P cycling of grasslands, particularly the internal cycling of P among main pools within ecosystems. Here we reviewed the advances in grazing effects on soil and plant P pools and biological processes of P cycling. Our review is mainly focused on: (1) Grazing effects on internal and external cycles of P in grassland ecosystems; (2) grazing effects on soil P vertical distribution, and P inputs and outputs mediated by soil erosion and spatial heterogeneity; and (3) mechanisms underlying grazing-induced changes in plant P content and P pools across different levels of organization (individual, species, functional group and community). Finally, we proposed a unified framework synthesizing the influence of grazing on P pools and key biological processes of P cycling in grassland ecosystems. We also proposed eight key questions that need to be addressed in future studies: (1) How do the dominant P forms (e.g., nucleic acids, phospholipids, cytoplasmic inorganic P, cytoplasmic organic P, and polyphosphate) and concentration within soil microbial biomass vary with grazing intensity? How does the role of microorganisms as sink and source of P change with increasing grazing intensity? (2) How does grazing affect enzyme activities, including phosphomonoesterases, phosphodiesterases, triphosphoric monoester hydrolases, and enzymes acting on phosphoryl-containing anhydrides and on P-N bonds, and thereby P mineralization in soil? (3) How does grazing regulate the biological processes of P transformation in plant-soil-microbial P cycle? (4) To what degree molecular approaches and omics analyses can improve our understanding of the important role of plants and rhizosphere microorganisms in P cycling? (5) How does grazing affect the relationship between plant diversity and arbuscular mycorrhizal fungi (AMF) diversity, and thereby plant P uptake and utilization? (6) How do grazing animals differ in their effects on the pools and pathways of P cycling due to the interspecific differences in diet and foraging preference? (7) How do other herbivores in terms of grasshoppers, rodents, earthworms, and plant feeding nematodes influence the biological processes of P cycling? (8) How does grazing affect the N:P stoichiometry of key ecosystem compartments, and hence the coupled N and P cycles. © 2020, Science Press. All right reserved.</t>
  </si>
  <si>
    <t>Grazing system; N:P ratio; P content; P limitation; P pool; Phosphorus (P) cycling</t>
  </si>
  <si>
    <t>Street L.E., Garnett M.H., Subke J.-A., Baxter R., Dean J.F., Wookey P.A.</t>
  </si>
  <si>
    <t>Plant carbon allocation drives turnover of old soil organic matter in permafrost tundra soils</t>
  </si>
  <si>
    <t>10.1111/gcb.15134</t>
  </si>
  <si>
    <t>https://www.scopus.com/inward/record.uri?eid=2-s2.0-85087843486&amp;doi=10.1111%2fgcb.15134&amp;partnerID=40&amp;md5=c2196e7dffc3ebb9c7654cba26127b96</t>
  </si>
  <si>
    <t>Carbon cycle feedbacks from permafrost ecosystems are expected to accelerate global climate change. Shifts in vegetation productivity and composition in permafrost regions could influence soil organic carbon (SOC) turnover rates via rhizosphere (root zone) priming effects (RPEs), but these processes are not currently accounted for in model predictions. We use a radiocarbon (bomb-14C) approach to test for RPEs in two Arctic tall shrubs, alder (Alnus viridis (Chaix) DC.) and birch (Betula glandulosa Michx.), and in ericaceous heath tundra vegetation. We compare surface CO2 efflux rates and 14C content between intact vegetation and plots in which below-ground allocation of recent photosynthate was prevented by trenching and removal of above-ground biomass. We show, for the first time, that recent photosynthate drives mineralization of older (&amp;gt;50 years old) SOC under birch shrubs and ericaceous heath tundra. By contrast, we find no evidence of RPEs in soils under alder. This is the first direct evidence from permafrost systems that vegetation influences SOC turnover through below-ground C allocation. The vulnerability of SOC to decomposition in permafrost systems may therefore be directly linked to vegetation change, such that expansion of birch shrubs across the Arctic could increase decomposition of older SOC. Our results suggest that carbon cycle models that do not include RPEs risk underestimating the carbon cycle feedbacks associated with changing conditions in tundra regions. © 2020 The Authors. Global Change Biology published by John Wiley &amp; Sons Ltd</t>
  </si>
  <si>
    <t>arctic; below-ground; isotopes; mycorrhiza; priming; radiocarbon; rhizosphere; root; shrub; vegetation change</t>
  </si>
  <si>
    <t>Zhang J., Ekblad A., Sigurdsson B.D., Wallander H.</t>
  </si>
  <si>
    <t>The influence of soil warming on organic carbon sequestration of arbuscular mycorrhizal fungi in a sub-arctic grassland</t>
  </si>
  <si>
    <t>10.1016/j.soilbio.2020.107826</t>
  </si>
  <si>
    <t>https://www.scopus.com/inward/record.uri?eid=2-s2.0-85085127501&amp;doi=10.1016%2fj.soilbio.2020.107826&amp;partnerID=40&amp;md5=61db6e6a12a5e9b554319ab4bdca67d7</t>
  </si>
  <si>
    <t>A substantial portion of grassland photosynthates is allocated belowground to arbuscular mycorrhizal fungi (AMF), but controversy remains about whether this carbon (C) contributes to soil organic carbon (SOC) under warming. The goal of this study was to investigate how AMF biomass and C sequestered by AMF (CNew) are influenced by soil warming. We estimated the AMF biomass and CNew, assumed to be mostly AMF necromass, in mycelial ingrowth bags buried for 1, 2, or 3 years in soil under warming (~+0.5–16.4 °C). The AMF biomass had a positive, curvilinear response to warming gradients after one year of burial. About 107 g C m−2 of CNew accumulated over the three years and ~12% of this C was from glomalin-related soil protein. Modelling suggested the production rate of AMF biomass was 153 g C m−2 yr−1 with a rapid (36–75 days) turnover while AMF necromass turnover was much slower (1.4 ± 0.2 yr−1). Warming duration (7–9 years vs. &amp;gt; 50 years) did not have significant influence on AMF biomass or CNew (P &amp;gt; 0.05). Our results suggest that AMF are more tolerant to increases in temperature than other microbes or fine roots. The dramatic loss of soil C and stable soil aggregates under warming found earlier at this site were not attributed to a decrease in AMF biomass or CNew. Despite a low AMF standing biomass, its contribution to SOC may be substantial. © 2020 Elsevier Ltd</t>
  </si>
  <si>
    <t>Arbuscular mycorrhizal fungi; Fungal biomass; Fungal necromass; Geothermal warming; Glomalin-related soil protein; Ingrowth mesh bags</t>
  </si>
  <si>
    <t>Thoen E., Harder C.B., Kauserud H., Botnen S.S., Vik U., Taylor A.F.S., Menkis A., Skrede I.</t>
  </si>
  <si>
    <t>In vitro evidence of root colonization suggests ecological versatility in the genus Mycena</t>
  </si>
  <si>
    <t>10.1111/nph.16545</t>
  </si>
  <si>
    <t>https://www.scopus.com/inward/record.uri?eid=2-s2.0-85083335204&amp;doi=10.1111%2fnph.16545&amp;partnerID=40&amp;md5=f82dce6010040dd282eadf072fd26450</t>
  </si>
  <si>
    <t>The root-associated habit has evolved on numerous occasions in different fungal lineages, suggesting a strong evolutionary pressure for saprotrophic fungi to switch to symbiotic associations with plants. Species within the ubiquitous, saprotrophic genus Mycena are frequently major components in molecular studies of root-associated fungal communities, suggesting that an evaluation of their trophic status is warranted. Here, we report on interactions between a range of Mycena species and the plant Betula pendula. In all, 17 Mycena species were inoculated onto B. pendula seedlings. Physical interactions between hyphae and fine roots were examined using differential staining and fluorescence microscopy. Physiological interactions were investigated using 14C and 32P to show potential transfer between symbionts. All Mycena species associated closely with fine roots, showing hyphal penetration into the roots, which in some cases were intracellular. Seven species formed mantle-like structures around root tips, but none formed a Hartig net. Mycena pura and Mycena galopus both enhanced seedling growth, with M. pura showing significant transfer of 32P to the seedlings. Our results support the view that several Mycena species can associate closely with plant roots and some may potentially occupy a transitional state between saprotrophy and biotrophy. © 2020 The Authors. New Phytologist © 2020 New Phytologist Trust</t>
  </si>
  <si>
    <t>biotrophy–saprotrophy continuum; ecological niches; functional diversity; Mycena; root-associations</t>
  </si>
  <si>
    <t>Gomes S.I.F., Merckx V.S.F.T., Kehl J., Gebauer G.</t>
  </si>
  <si>
    <t>Mycoheterotrophic plants living on arbuscular mycorrhizal fungi are generally enriched in 13C, 15N and 2H isotopes</t>
  </si>
  <si>
    <t>10.1111/1365-2745.13381</t>
  </si>
  <si>
    <t>https://www.scopus.com/inward/record.uri?eid=2-s2.0-85081729309&amp;doi=10.1111%2f1365-2745.13381&amp;partnerID=40&amp;md5=29f7368a19d2a238862e698e2a7ddf9f</t>
  </si>
  <si>
    <t>Fully mycoheterotrophic plants are thought to obtain carbon exclusively from their root-associated fungal partners. The general enrichment of these plants in the heavy isotopes 13C and 15N suggests that fungi are the main nutrient source for these plants. Yet, the majority of studies have targeted mycoheterotrophic plants associated with ectomycorrhizal, orchid mycorrhizal and saprotrophic fungi, while mycoheterotrophic plants living on arbuscular mycorrhizal fungi remain understudied. Here, we sampled 13 species of arbuscular mycorrhizal fully mycoheterotrophic plants from five families and co-occurring autotrophic reference plants growing in forests of tropical South America, tropical South East Asia and temperate Australasia. We measured stable isotope natural abundances (δ13C, δ15N, δ2H and δ18O), determined total nitrogen concentrations and used high-throughput DNA sequencing to characterize the arbuscular mycorrhizal fungal communities associated with the sampled mycoheterotrophic plants. We observed a general enrichment in 13C and 15N isotopes across mycoheterotrophic plant families and geographic regions. We confirm cases where no 15N enrichment is present, but we show that in general arbuscular mycoheterotrophic plants are enriched in 15N. Moreover, we demonstrate for the first time that these plants are significantly enriched in 2H but not in 18O in relation to their autotrophic references. The fungal communities targeted by the mycoheterotrophs mainly consist of Glomeraceae and show strong association with the isotopic signatures and geographic origin of the plants. Synthesis. Our findings enlarge the limited knowledge on the multi-element stable isotopic signatures of mycoheterotrophic plants living on arbuscular mycorrhizal fungi. We show that these plants are enriched in 13C and 2H as expected due to their mycoheterotrophic nutrition, and that in general they are also enriched in 15N, despite some exceptions. Variation in stable isotope signatures is likely influenced by plant taxonomy, geography and fungal community composition. © 2020 The Authors. Journal of Ecology published by John Wiley &amp; Sons Ltd on behalf of British Ecological Society</t>
  </si>
  <si>
    <t>arbuscular mycorrhizal fungi; carbon (C); hydrogen (H); mycoheterotrophy; mycorrhiza; nitrogen (N); oxygen (O); stable isotopes</t>
  </si>
  <si>
    <t>Rog I., Rosenstock N.P., Körner C., Klein T.</t>
  </si>
  <si>
    <t>Share the wealth: Trees with greater ectomycorrhizal species overlap share more carbon</t>
  </si>
  <si>
    <t>Molecular Ecology</t>
  </si>
  <si>
    <t>10.1111/mec.15351</t>
  </si>
  <si>
    <t>https://www.scopus.com/inward/record.uri?eid=2-s2.0-85078717734&amp;doi=10.1111%2fmec.15351&amp;partnerID=40&amp;md5=00280edbc6268f9581a6b6b557caf22f</t>
  </si>
  <si>
    <t>The mutualistic symbiosis between forest trees and ectomycorrhizal fungi (EMF) is among the most ubiquitous and successful interactions in terrestrial ecosystems. Specific species of EMF are known to colonize specific tree species, benefitting from their carbon source, and in turn, improving their access to soil water and nutrients. EMF also form extensive mycelial networks that can link multiple root-tips of different trees. Yet the number of tree species connected by such mycelial networks, and the traffic of material across them, are just now under study. Recently we reported substantial belowground carbon transfer between Picea, Pinus, Larix and Fagus trees in a mature forest. Here, we analyze the EMF community of these same individual trees and identify the most likely taxa responsible for the observed carbon transfer. Among the nearly 1,200 EMF root-tips examined, 50%–70% belong to operational taxonomic units (OTUs) that were associated with three or four tree host species, and 90% of all OTUs were associated with at least two tree species. Sporocarp 13C signals indicated that carbon originating from labelled Picea trees was transferred among trees through EMF networks. Interestingly, phylogenetically more closely related tree species exhibited more similar EMF communities and exchanged more carbon. Our results show that belowground carbon transfer is well orchestrated by the evolution of EMFs and tree symbiosis. © 2020 John Wiley &amp; Sons Ltd</t>
  </si>
  <si>
    <t>host genetics; mycorrhiza; Sebacina; stable isotopes; temperate forest</t>
  </si>
  <si>
    <t>Robinson S.J.B., Elias D., Johnson D., Both S., Riutta T., Goodall T., Majalap N., McNamara N.P., Griffiths R., Ostle N.</t>
  </si>
  <si>
    <t>Soil Fungal Community Characteristics and Mycelial Production Across a Disturbance Gradient in Lowland Dipterocarp Rainforest in Borneo</t>
  </si>
  <si>
    <t>Frontiers in Forests and Global Change</t>
  </si>
  <si>
    <t>10.3389/ffgc.2020.00064</t>
  </si>
  <si>
    <t>https://www.scopus.com/inward/record.uri?eid=2-s2.0-85100831667&amp;doi=10.3389%2fffgc.2020.00064&amp;partnerID=40&amp;md5=ce45ae17eb83136f0d9ef744b2f28264</t>
  </si>
  <si>
    <t>The rainforests of Southeast Asia are a global biodiversity hotspot under increasing pressure from human activity. Selective logging and forest conversion to oil palm plantation has major implications for biogeochemical cycling and carbon storage that are underpinned by plant-soil interactions. Soil fungi are key regulators of carbon and mineral nutrient flows between above- and below-ground organisms, yet understanding of fungal community-productivity relationships in hyper-diverse tropical forests is lacking. Recent studies suggest sensitivity of soil fungal communities to land-use change, although impacts on fungal productivity remain largely unresolved. To address this gap, we installed hyphal in-growth bags for 6 months in old-growth (OG) and selectively logged (SL) forest and oil palm plantation (OP) in Bornean lowland rainforest. Mycelial (actively foraging) fungal communities were characterized by ITS amplicon sequencing, and mycelial production estimated by measurement of fungal hyphae. Mycelial fungal community compositions were similar in OG and SL forest, whereas OP had significantly different communities of saprotrophic, mycorrhizal, and pathogenic fungi. In particular, total mycorrhizal and ectomycorrhizal fungal relative abundances, total mycorrhizal richness and mycelial production was reduced. However, due to restricted sampling replication in OP, effects associated with site could not be excluded. In forest plots (OG &amp; SL), we further explored the broader drivers of mycelial fungal communities using tree community, structure and productivity data, and soil and environmental properties. Forest mycelial community dissimilarities were related to soil and vegetation characteristics, while mycelial production was broadly independent of these as well as fungal community attributes. An increase in arbuscular mycorrhizal relative abundance was also found with selective logging, which may have implications for carbon storage capacity in these forests, while an apparent retention of mycorrhizal mycelium in SL forest may act as a reservoir of inoculum that could aid forest restoration. Our results show that conversion of rainforest to oil palm plantation has significant consequences for fungal diversity-productivity relationships with implications for nutrient and carbon dynamics and restoration over large spatial scales. © Copyright © 2020 Robinson, Elias, Johnson, Both, Riutta, Goodall, Majalap, McNamara, Griffiths and Ostle.</t>
  </si>
  <si>
    <t>arbuscular; ectomycorrhizal; hyphae; inorganic P; ITS; mycorrhiza; oil palm; selective logging</t>
  </si>
  <si>
    <t>Germon A., Laclau J.-P., Robin A., Jourdan C.</t>
  </si>
  <si>
    <t>Tamm Review: Deep fine roots in forest ecosystems: Why dig deeper?</t>
  </si>
  <si>
    <t>10.1016/j.foreco.2020.118135</t>
  </si>
  <si>
    <t>https://www.scopus.com/inward/record.uri?eid=2-s2.0-85083302814&amp;doi=10.1016%2fj.foreco.2020.118135&amp;partnerID=40&amp;md5=7da6e401278d139c03ae55b4e258d806</t>
  </si>
  <si>
    <t>While the number of studies dealing with fine root dynamics in deep soils layers (depth &gt; 1 m) has increased sharply recently, the phenology, the morphology, the anatomy and the role of deep fine roots are still poorly known in forest ecosystems. This review summarizes the current knowledge on fine root production, mortality and longevity in deep soil layers, mycorrhizal association with deep roots, and the role of deep fine roots on carbon, water and nutrient cycling in forest ecosystems. Plant species are known to be more deeply rooted in tropical ecosystems than in temperate and boreal ecosystems, but deep-rooted species are common in a wide range of climates. Deep fine roots are highly plastic in response to changes in environmental conditions and soil resources. Recent studies show that functional traits can be different for deep and shallow roots, with a possible functional specialization of deep fine roots to take up nutrients. With higher vessel diameter and larger tracheid, the anatomy of deep fine roots is also oriented toward water acquisition and transport by increasing the hydraulic conductivity. Deep fine roots can have a great impact on the biogeochemical cycles in many forests (in particular in tropical areas where highly weathered soils are commonly very deep), making it possible to take up water and nutrients over dry periods and contributing to store carbon in the soil. The biogeochemical models in forest ecosystems need to consider the specificity of deep root functioning to better predict carbon, water and nutrient cycling as well as net ecosystem productivity. © 2020 Elsevier B.V.</t>
  </si>
  <si>
    <t>Carbon sequestration; Deep mycorrhizas; Deep rooting; Nutrient uptake; Root growth; Root traits; Water uptake</t>
  </si>
  <si>
    <t>Liu M., Feng F., Cai T., Tang S.</t>
  </si>
  <si>
    <t>Soil Microbial Community Response Differently to the Frequency and Strength of Freeze–Thaw Events in a Larix gmelinii Forest in the Daxing’an Mountains, China</t>
  </si>
  <si>
    <t>10.3389/fmicb.2020.01164</t>
  </si>
  <si>
    <t>https://www.scopus.com/inward/record.uri?eid=2-s2.0-85086588127&amp;doi=10.3389%2ffmicb.2020.01164&amp;partnerID=40&amp;md5=6de618069e63a09d6933684772a72d5a</t>
  </si>
  <si>
    <t>Sustained climate warming increases the frequency and strength of soil freeze–thaw (FT) events, which strongly affect the properties of soil microbial communities. To explore the responses and mechanisms of the frequency and strength of freeze–thaw events on soil microbial communities, a lab-scale FT test was conducted on forest soil in permafrost region from the Daxing’an Mountains, China. The number of FT cycles (FTN) had a greater effect on microbial communities than FT temperature fluctuation (FTF). The FTN and FTF explained 20.9 and 10.8% of the variation in microbial community structure, respectively, and 22.9 and 11.6% of the variation in enzyme activities, respectively. The total and subgroup microbial biomass, the ratio of fungi to bacteria (F/B), and C- and N-hydrolyzing enzyme activities all decreased with an increase in FTN. Among microbial groups, arbuscular mycorrhizal fungi (AMF) were the most sensitive to FT events. Based on the changes of F/B and AMF, the reduction in soil carbon sequestration caused by frequent FT events can be explained from a perspective of microorganisms. Based on redundancy analysis and Mental Test, soil moisture, total organic carbon, and total nitrogen were the major factors affecting microorganisms in FT events. In the forest ecosystem, soil water and fertilizer were important factors to resist the damage of FT to microorganism, and sufficient water and fertilizer can lighten the damage of FT events to microorganisms. As a result of this study, the understanding of the responses of soil microorganisms to the variation in FT patterns caused by climate changes has increased, which will lead to better predictions of the effects of likely climate change on soil microorganisms. © Copyright © 2020 Liu, Feng, Cai and Tang.</t>
  </si>
  <si>
    <t>enzyme activity; freeze–thaw cycle frequency; freeze–thaw temperature fluctuation; microbial community structure; soil microbial biomass</t>
  </si>
  <si>
    <t>Feng J.-G., Zhu B.</t>
  </si>
  <si>
    <t>A review on the effects of nitrogen and phosphorus addition on tree growth and productivity in forest ecosystems [氮磷添加对树木生长和森林生产力影响的研究进展]</t>
  </si>
  <si>
    <t>Chinese Journal of Plant Ecology</t>
  </si>
  <si>
    <t>10.17521/CJPE.2019.0176</t>
  </si>
  <si>
    <t>https://www.scopus.com/inward/record.uri?eid=2-s2.0-85109050911&amp;doi=10.17521%2fCJPE.2019.0176&amp;partnerID=40&amp;md5=482516e81436643c623ae104ca1a64d5</t>
  </si>
  <si>
    <t>Nitrogen (N) and phosphorus (P) inputs induced by anthropogenic activities and atmospheric N and P deposition have largely increased the availability of soil N and P in terrestrial ecosystems, which have considerably affected terrestrial carbon cycling processes. Tree growth and productivity in forest ecosystems play an important role in global carbon cycling, and determine the magnitude and direction of terrestrial carbon sequestration. Currently, a large number of field manipulation experiments have been conducted to investigate the effects of N and/or P addition on tree growth and forest productivity, but the results from these studies were inconsistent. Such inconsistent results might be affected by multiple factors, including biological, environmental and experimental variables. Here, we reviewed the present research status of the effects of N and P addition on tree growth and forest productivity in forest ecosystems based on three aspects, including the number of publications and experiments with field N and P addition, and the global distributions of these experiments. Then, we summarized the methods for assessing tree growth and forest productivity at ecosystem level in forest ecosystems, including relative growth rate and absolute increment. According to the related results, we reviewed the regulating factors that affect tree growth and productivity, and the potential mechanisms for such factors, including climate, tree size and stand age, plant functional traits (including type of tree-associated mycorrhizal fungi, N-fixation property of trees, and conservative and acquisitive functional traits), plant-microbe interaction, ambient nutrient (i.e., N and P) deposition rate, and experimental variables. Finally, we summarized the current studies, and pointed out five aspects that are urgently needed to provide further insights in future studies, including the physiological mechanism of how tree growth responds to N and P addition, the tradeoff and allocation among growth of various parts of tree under N and P addition, the role of plant functional traits in regulating and predicting the responses of tree growth to N and P addition, how the competition among trees regulates the responses of tree growth to N and P addition, and conducting long-term and coordinated distributed field experiments investigating the effects of N and P addition on tree growth and forest productivity at the global scale. © 2020 Editorial Office of Chinese Journal of Plant Ecology. All rights reserved.</t>
  </si>
  <si>
    <t>Ecosystem productivity; Nitrogen deposition; Nutrient limitation; Phosphorus deposition; Plant functional traits; Plant-microbe interaction; Tree growth</t>
  </si>
  <si>
    <t>Mori N., Sado A., Xie X., Yoneyama K., Asami K., Seto Y., Nomura T., Yamaguchi S., Yoneyama K., Akiyama K.</t>
  </si>
  <si>
    <t>Chemical identification of 18-hydroxycarlactonoic acid as an LjMAX1 product and in planta conversion of its methyl ester to canonical and non-canonical strigolactones in Lotus japonicus</t>
  </si>
  <si>
    <t>Phytochemistry</t>
  </si>
  <si>
    <t>10.1016/j.phytochem.2020.112349</t>
  </si>
  <si>
    <t>https://www.scopus.com/inward/record.uri?eid=2-s2.0-85081949910&amp;doi=10.1016%2fj.phytochem.2020.112349&amp;partnerID=40&amp;md5=964c0b7fcef6fd84c6e3f5f12a36dd34</t>
  </si>
  <si>
    <t>Strigolactones (SLs) are a group of plant apocarotenoids that act as rhizosphere signaling molecules for both arbuscular mycorrhizal fungi and root parasitic plants. They also regulate plant architecture as phytohormones. The model legume Lotus japonicus (synonym of Lotus corniculatus) produces canonical 5-deoxystrigol (5DS) and non-canonical lotuslactone (LL). The biosynthesis pathways of the two SLs remain elusive. In this study, we characterized the L. japonicus MAX1 homolog, LjMAX1, found in the Lotus japonicus genome assembly build 2.5. The L. japonicus max1 LORE1 insertion mutant was deficient in 5DS and LL production. A recombinant LjMAX1 protein expressed in yeast microsomes converted carlactone (CL) to 18-hydroxycarlactonoic acid (18-OH-CLA) via carlactonoic acid (CLA). Identity of 18-OH-CLA was confirmed by comparison of the methyl ester derivative of the MAX1 product with chemically synthesized methyl 18-hydroycarlactonoate (18-OH-MeCLA) using LC-MS/MS. (11R)-CL was detected as an endogenous compound in the root of L. japonicus. 13C-labeled CL, CLA, and 18-OH-MeCLA were converted to [13C]-5DS and LL in plant feeding experiments using L. japonicus WT. These results showed that LjMAX1 is the crucial enzyme in the biosynthesis of Lotus SLs and that 18-hydroxylated carlactonoates are possible precursors for SL biosynthesis in L. japonicus. © 2020 Elsevier Ltd</t>
  </si>
  <si>
    <t>18-Hydroxylcarlactonoic acid; 5-Deoxystrigol; Biosynthesis; Cytochrome P450 (CYP); Leguminosae; Lotus japonicus; Lotus japonicus MORE AXILLARY GROWTH 1 (MAX1); Lotuslactone; Strigolactone</t>
  </si>
  <si>
    <t>Luo R., Kuzyakov Y., Liu D., Fan J., Luo J., Lindsey S., He J.-S., Ding W.</t>
  </si>
  <si>
    <t>Nutrient addition reduces carbon sequestration in a Tibetan grassland soil: Disentangling microbial and physical controls</t>
  </si>
  <si>
    <t>10.1016/j.soilbio.2020.107764</t>
  </si>
  <si>
    <t>https://www.scopus.com/inward/record.uri?eid=2-s2.0-85080040221&amp;doi=10.1016%2fj.soilbio.2020.107764&amp;partnerID=40&amp;md5=67383435a18772ea0a9992f359ef13be</t>
  </si>
  <si>
    <t>Nitrogen (N) and phosphorus (P) availability strongly affects carbon (C) cycling and storage in terrestrial ecosystems. Nutrient addition can increase C inputs into soil via increased above- and belowground plant productivity, but at the same time can accelerate organic matter decomposition in the soil. The mechanisms underlying these effects on soil organic C (SOC) dynamics remain unclear, especially in nutrient-limited alpine ecosystems that have been subjected to increasing N and P availability in recent decades. The aim of this study was to clarify the mechanisms underlying SOC decomposition and stabilization in an alpine grassland soil after four years of N and P additions. The soil aggregate size distribution, microbial community structure (lipid biomarkers), microbial C use efficiency (CUE) and microbial necromass composition (amino sugar biomarkers) were analyzed. Nutrient addition increased dominance of fast-growing bacteria (copiotrophs), while P addition alone intensified the competitive interactions between arbuscular mycorrhizal and saprotrophic fungi. These changes led to decreases in the microbial CUE of glucose by 1.6–3.5% and of vanillin by 8.5%, and therefore, reduced SOC content in the topsoil. The total microbial necromass remained unaffected by nutrient addition, but the contribution of fungal necromass to SOC increased. The increased abundance of arbuscular mycorrhizal fungi and fungal necromass under elevated N availability raised the mass proportion of soil macroaggregates (&gt;250 μm) by 16.5–20.3%. Therefore, fungi were highly involved in macroaggregation following N addition, and so, moderated the SOC losses through enhanced physical protection. Overall, the complex interactions between microbial physiology (CUE), necromass composition (amino sugars) and physical protection (macroaggregation) in mediating SOC dynamics in response to nutrient enrichment were disentangled to better predict the capability of alpine grassland soils to act as a C sink or source under global change. © 2020 Elsevier Ltd</t>
  </si>
  <si>
    <t>Aggregation; Microbial carbon use efficiency; Microbial community composition; Microbial necromass; Nitrogen and phosphorus fertilization; Soil organic carbon</t>
  </si>
  <si>
    <t>Pei L., Ye S., Yuan H., Pei S., Xie S., Wang J.</t>
  </si>
  <si>
    <t>Glomalin-related soil protein distributions in the wetlands of the Liaohe Delta, Northeast China: Implications for carbon sequestration and mineral weathering of coastal wetlands</t>
  </si>
  <si>
    <t>Limnology and Oceanography</t>
  </si>
  <si>
    <t>10.1002/lno.11364</t>
  </si>
  <si>
    <t>https://www.scopus.com/inward/record.uri?eid=2-s2.0-85075137755&amp;doi=10.1002%2flno.11364&amp;partnerID=40&amp;md5=ed6565dd014f7337d345cd9ef89108be</t>
  </si>
  <si>
    <t>Arbuscular mycorrhizal fungi (AMF) is presumably to be associated with carbon sequestration and nutrient acquisition through mineral weathering in wetland ecosystems. However, information on AMF-carbon-weathering interactions is limited. Grain size, concentrations of nutrients, and the major components of 304 surface sediment samples and glomalin-related soil protein (GRSP) in 133 surface sediment samples were analyzed in various environments, including the upper delta plain wetlands (UDPW) and its adjacent shallow sea wetlands (SSW), to evaluate the relationship among the GRSP, carbon content, nutrients, and chemical index of alteration (CIA) in the wetlands of the Liaohe Delta (LHD). The concentrations of GRSP in surface sediments ranged between ~ 0.11 and 11.31 mg g−1, with an average of 2.30 ± 0.17 mg g−1, and were significantly affected by the vegetation types. The ratios of organic carbon in GRSP (GRSP-C) to soil organic carbon (SOC) varied from 0.71% to 25.34%, with an average of 10.34% ± 0.52%, indicating that the GRSP was an important carbon pool in sediments, and the carbon dynamics in these wetlands were closely related to human activities. Moreover, the CIA values ranged from ~ 18.97 to 68.75, and were significantly higher in the UDPW than in the SSW (p &amp;lt; 0.05), and were significantly correlated with the concentrations of GRSP (r2 = 0.22 [r = 0.43], p &amp;lt; 0.01). Meanwhile, both the CIA and GRSP were significantly correlated with SOC, Total Nitrogen, and Fe (r2 &amp;gt; 0.17 [r &amp;gt; 0.41], p &amp;lt; 0.01). The results indicate that AMF excursions in wetland ecosystems enhance carbon sequestration and mineral weathering, and in turn they alter retention of at least some nutrients. © 2019 Association for the Sciences of Limnology and Oceanography</t>
  </si>
  <si>
    <t>Anthony M.A., Crowther T.W., Maynard D.S., van den Hoogen J., Averill C.</t>
  </si>
  <si>
    <t>Distinct Assembly Processes and Microbial Communities Constrain Soil Organic Carbon Formation</t>
  </si>
  <si>
    <t>One Earth</t>
  </si>
  <si>
    <t>10.1016/j.oneear.2020.03.006</t>
  </si>
  <si>
    <t>https://www.scopus.com/inward/record.uri?eid=2-s2.0-85086776074&amp;doi=10.1016%2fj.oneear.2020.03.006&amp;partnerID=40&amp;md5=a070ec20eb66b59e9b0617e02dcb6930</t>
  </si>
  <si>
    <t>Soil stores more carbon (C) than all vegetation and the atmosphere combined. Soil C stocks are broadly shaped by temperature, moisture, soil physical characteristics, vegetation, and microbial-mediated metabolic processes. The efficiency with which microorganisms use soil C regulates the balance between C storage in soil and the atmosphere. In this review, we discuss how microbial physiology and community assembly processes determine microbial growth rate and efficiency and, in turn, soil organic C cycling through the lens of community ecology. We introduce a conceptual framework cataloging life history (i.e., growth rate, resource acquisition, and stress tolerance) and assembly traits (i.e., competition, facilitation, and dispersal) that correspond with different growth efficiencies. We also compare how dominant mycorrhizal fungal type affects growth efficiency. We propose that further development and inclusion of specific community parameters in microbial-explicit Earth system models are needed for accurately predicting soil organic C responses to global change. © 2020 The Authors</t>
  </si>
  <si>
    <t>carbon sequestration; carbon use efficiency; growth efficiency; microbial physiology; soil organic matter</t>
  </si>
  <si>
    <t>Suetsugu K., Matsubayashi J., Ogawa N.O., Murata S., Sato R., Tomimatsu H.</t>
  </si>
  <si>
    <t>Isotopic evidence of arbuscular mycorrhizal cheating in a grassland gentian species</t>
  </si>
  <si>
    <t>Oecologia</t>
  </si>
  <si>
    <t>10.1007/s00442-020-04631-x</t>
  </si>
  <si>
    <t>https://www.scopus.com/inward/record.uri?eid=2-s2.0-85081716382&amp;doi=10.1007%2fs00442-020-04631-x&amp;partnerID=40&amp;md5=5d60cda3af2b5c4aa10fbd649e910138</t>
  </si>
  <si>
    <t>All orchids and pyroloids are mycoheterotrophic at least in the early stage. Many species are predisposed to mycoheterotrophic nutrition even in the adult stage, due to the initial mycoheterotrophy during germination. Although other green plants, such as gentian species, also produce numerous minute seeds, whose germination may depend on fungal associations to meet C demands, physiological evidence for partial mycoheterotrophy in the adult stage is lacking for most candidate taxa. Here, we compared the natural abundances of 13C and 15N isotopes in the AM-associated gentian species Pterygocalyx volubilis growing in high-light-intensity habitats with those of co-occurring autotrophic C3 and C4 plants and AM fungal spores. We found that P. volubilis was significantly enriched in 13C compared with the surrounding C3 plants, which suggests the transfer of some C from the surrounding autotrophic plants through shared AM networks. In addition, the intermediate δ15N values of P. volubilis, between those of autotrophic plants and AM fungal spores, provide further evidence for partial mycoheterotrophy in P. volubilis. Although it is often considered that light deficiency selects partial mycoheterotrophy, we show that partial mycoheterotrophy in AM-forming plants can evolve even under light-saturated conditions. The fact that there have been relatively few descriptions of partial mycoheterotrophy in AM plants may not necessarily reflect the rarity of such associations. In conclusion, partial mycoheterotrophy in AM plants may be more common than hitherto believed. © 2020, Springer-Verlag GmbH Germany, part of Springer Nature.</t>
  </si>
  <si>
    <t>Gentianaceae; Mixotrophy; Mycoheterotrophy; Mycorrhiza; Stable isotope; Symbiosis</t>
  </si>
  <si>
    <t>Robinson C.H., Wookey P.A., Parker T.C.</t>
  </si>
  <si>
    <t>Root-associated fungi and carbon storage in Arctic ecosystems</t>
  </si>
  <si>
    <t>10.1111/nph.16443</t>
  </si>
  <si>
    <t>https://www.scopus.com/inward/record.uri?eid=2-s2.0-85079427087&amp;doi=10.1111%2fnph.16443&amp;partnerID=40&amp;md5=b7e01e75c0d2e34af0dfcc30392420d1</t>
  </si>
  <si>
    <t>[No abstract available]</t>
  </si>
  <si>
    <t>active layer; Arctic ecosystems; dark septate endophytes; ectomycorrhizal fungi; ericoid mycorrhizal fungi; permafrost; tundra</t>
  </si>
  <si>
    <t>Tatsumi C., Taniguchi T., Du S., Yamanaka N., Tateno R.</t>
  </si>
  <si>
    <t>Soil nitrogen cycling is determined by the competition between mycorrhiza and ammonia-oxidizing prokaryotes</t>
  </si>
  <si>
    <t>e02963</t>
  </si>
  <si>
    <t>10.1002/ecy.2963</t>
  </si>
  <si>
    <t>https://www.scopus.com/inward/record.uri?eid=2-s2.0-85078670114&amp;doi=10.1002%2fecy.2963&amp;partnerID=40&amp;md5=0c5195c31ddc5bd8bd2fe6b9660821f5</t>
  </si>
  <si>
    <t>Mycorrhizal fungi have considerable effects on soil carbon (C) storage, as they control the decomposition of soil organic matter (SOM), by modifying the amount of soil nitrogen (N) available for free-living microbes. Through their access to organic N, ectomycorrhizal (ECM) fungi compete with free-living soil microbes; this competition is thought to slow down SOM decomposition. However, arbuscular mycorrhizal (AM) fungi cannot decompose SOM, and therefore must wait for N to first be processed by free-living microbes. It is unclear what form of N the ECM fungi and free-living microbes compete for, or which microbial groups compete for N with ECM fungi. To investigate this, we focused on the N transformation steps (i.e., the degradation of high-molecular-weight organic matter, mineralization, and nitrification) and the microbes driving each step. Simple comparisons between AM forests and ECM forests are not sufficient to assert that mycorrhizal types would determine the N transformation steps in soil, because soil physiochemistry, which strongly affects N transformation steps, differs between the forests. We used an aridity gradient with large differences in soil moisture, pH, and SOM quantity and quality, to distinguish the mycorrhizal and physicochemical effects on N transformation. Soil samples (0–10 cm depth) were collected from AM-symbiotic black locust forests under three aridity levels, and from ECM-symbiotic oak forests under two aridity levels. Soil physicochemical properties, extractable N dynamics and abundance, composition, and function of soil microbial communities were measured. In ECM forests, the ammonia-oxidizing prokaryotic abundance was low, whereas that of ECM fungi was high, resulting in lower nitrate N content than in AM forests. Since ECM forests did not have lower saprotrophic fungal abundance and prokaryotic decompositional activity than the AM forests, the hypothesis that ECM fungi could reduce SOM decay and ammonification by free-living microbes, might not hold in ECM forests. However, the limitation of ECM fungi on nitrate N production would result in a feedback that will accelerate plant dependence on these fungi, thereby raising soil C storage through an increase in the ECM biomass and plant C investment in soils. © 2019 by the Ecological Society of America</t>
  </si>
  <si>
    <t>arbuscular mycorrhizal fungi; dryland; ectomycorrhizal fungi; nitrification; rainfall gradient; soil carbon storage</t>
  </si>
  <si>
    <t>Jach-Smith L.C., Jackson R.D.</t>
  </si>
  <si>
    <t>Inorganic N addition replaces N supplied to switchgrass (Panicum virgatum) by arbuscular mycorrhizal fungi</t>
  </si>
  <si>
    <t>e02047</t>
  </si>
  <si>
    <t>10.1002/eap.2047</t>
  </si>
  <si>
    <t>https://www.scopus.com/inward/record.uri?eid=2-s2.0-85077871986&amp;doi=10.1002%2feap.2047&amp;partnerID=40&amp;md5=90c56dd874bd91967e7c4747c3cb58e8</t>
  </si>
  <si>
    <t>Arbuscular mycorrhizal fungi (AMF) provide many benefits in agroecosystems including improved soil tilth, carbon sequestration, and water and nutrient transfer to plants. AMF are known to affect plant nitrogen (N) dynamics and transfer N to plants, but there have been few studies addressing whether the amount of N transferred to plants by AMF is agronomically relevant. We used δ15N natural abundance methods and δ15N mass balance equations to estimate the amount of plant N derived from AMF transfer in perennial grasses managed for bioenergy production under different N addition treatments (0, 56, and 196 kg N/ha). Differentiation of δ15N among plant, soil N, and AMF pools was higher than anticipated leading to calculations of 34–55% of plant N transferred by AMF in the treatments receiving no N addition to 6–22% of plant N transferred to plants in high-N addition treatments. AMF extra-radical hyphae biomass was significantly reduced in the high-N (196 kg N/ha) addition treatments, which was negatively correlated to enriched plant δ15N. Our results suggest that N addition decreases AMF N transfer to plants. When N was limiting to plant growth, AMF supplied agronomically significant amounts of plant N, and a higher proportion of overall plant N. Because differentiation between N pools was greater than expected, stable isotope measurements can be used to estimate N transfer to AMF plant hosts. © 2019 by the Ecological Society of America</t>
  </si>
  <si>
    <t>15N; AMF; bioenergy crops; extra-radical mycelium; grasslands; isotopic abundance; nitrogen supply; nitrogen transfer; perennial grasses</t>
  </si>
  <si>
    <t>Thirkell T.J., Pastok D., Field K.J.</t>
  </si>
  <si>
    <t>Carbon for nutrient exchange between arbuscular mycorrhizal fungi and wheat varies according to cultivar and changes in atmospheric carbon dioxide concentration</t>
  </si>
  <si>
    <t>10.1111/gcb.14851</t>
  </si>
  <si>
    <t>https://www.scopus.com/inward/record.uri?eid=2-s2.0-85074616347&amp;doi=10.1111%2fgcb.14851&amp;partnerID=40&amp;md5=e9e87a05e76f458b5a9b6f79b32e884f</t>
  </si>
  <si>
    <t>Arbuscular mycorrhizal fungi (AMF) form symbioses with most crops, potentially improving their nutrient assimilation and growth. The effects of cultivar and atmospheric CO2 concentration ([CO2]) on wheat–AMF carbon-for-nutrient exchange remain critical knowledge gaps in the exploitation of AMF for future sustainable agricultural practices within the context of global climate change. We used stable and radioisotope tracers (15N, 33P, 14C) to quantify AMF-mediated nutrient uptake and fungal acquisition of plant carbon in three wheat (Triticum aestivum L.) cultivars. We grew plants under current ambient (440 ppm) and projected future atmospheric CO2 concentrations (800 ppm). We found significant 15N transfer from fungus to plant in all cultivars, and cultivar-specific differences in total N content. There was a trend for reduced N uptake under elevated atmospheric [CO2]. Similarly, 33P uptake via AMF was affected by cultivar and atmospheric [CO2]. Total P uptake varied significantly among wheat cultivars and was greater at the future than current atmospheric [CO2]. We found limited evidence of cultivar or atmospheric [CO2] effects on plant-fixed carbon transfer to the mycorrhizal fungi. Our results suggest that AMF will continue to provide a route for nutrient uptake by wheat in the future, despite predicted rises in atmospheric [CO2]. Consideration should therefore be paid to cultivar-specific AMF receptivity and function in the development of climate smart germplasm for the future. © 2019 The Authors. Global Change Biology published by John Wiley &amp; Sons Ltd</t>
  </si>
  <si>
    <t>arbuscular mycorrhizal fungi; carbon; climate change; CO2; nitrogen; phosphorus; sustainable agriculture; wheat</t>
  </si>
  <si>
    <t>Lu G.-Y., Imai H., Ikeya K., Sumida H., Watanabe A.</t>
  </si>
  <si>
    <t>Black carbon as a significant component of aromatic carbon in surface soils and its importance is enhanced in volcanic ash soil profiles</t>
  </si>
  <si>
    <t>Organic Geochemistry</t>
  </si>
  <si>
    <t>10.1016/j.orggeochem.2019.103957</t>
  </si>
  <si>
    <t>https://www.scopus.com/inward/record.uri?eid=2-s2.0-85077745858&amp;doi=10.1016%2fj.orggeochem.2019.103957&amp;partnerID=40&amp;md5=60193fe3dc4e4043abe122e911ab76f6</t>
  </si>
  <si>
    <t>Black carbon (BC) constitutes a refractory carbon (C) pool in soil and other environments. Estimating the amount and dynamics of BC in soil is important in terms of the global C cycle. The goal of this study was to characterize the contribution of BC to total and aromatic C in a variety of soils using the benzene polycarboxylic acid (BPCA) method and solid-state 13C nuclear magnetic resonance (NMR) spectroscopy. Thirteen A-/Ap (plowed layer)-horizon soils that belong to widely distributed soil series (Humic Andosols, Dystric Cambisols, Gleyic Cambisols, Eutric Fluvisols, and Dystric Planosols) under typical land uses (forest, grassland, upland field, and paddy field) in Japan and two Andosol profiles were analyzed. Three humic acid samples including the green fraction, which contains 4,9-dihydroxyperylene-3,10-quinone (DHPQ) as a chromophore and has mycorrhiza as a possible source (referred to as Pg), were also subjected to the BPCA procedure. The BC content in the 13 A-/Ap-horizon soils was 0.3–53 gC kg−1 or 5.7–48% of the total soil C (BC%). The BC content correlated positively with the total C content and with aromatic C content, while the relationship between BC% and soil order or land use was not clear. An analysis of Pg suggested the potential contribution of DHPQ to the yield of benzenehexacarboxylic acid in the BPCA method. The variations in BC content and C composition of two Andosol profiles indicated a greater stability of BC than the other types of C, including monocyclic aromatic C. The contribution of BC to aromatic C in their lower layers was estimated to be ca. 55–70% based on a regression equation when assuming that 70–90% of the BC was aromatic C. © 2019 Elsevier Ltd</t>
  </si>
  <si>
    <t>Andosols; Aromatic carbon content; Benzene polycarboxylic acid method; Black carbon; Humic acids; Pg; Volcanic ash soil profile</t>
  </si>
  <si>
    <t>Wang Q., Zhang D., Zhou W., He X., Wang W.</t>
  </si>
  <si>
    <t>Urbanization led to a decline in glomalin-soil-carbon sequestration and responsible factors examination in Changchun, Northeastern China</t>
  </si>
  <si>
    <t>Urban Forestry and Urban Greening</t>
  </si>
  <si>
    <t>10.1016/j.ufug.2019.126506</t>
  </si>
  <si>
    <t>https://www.scopus.com/inward/record.uri?eid=2-s2.0-85075402218&amp;doi=10.1016%2fj.ufug.2019.126506&amp;partnerID=40&amp;md5=74e7737c20b569ce4320abb84bbf40dd</t>
  </si>
  <si>
    <t>Glomalin-related soil protein (GRSP) is a proxy for soil arbuscular mycorrhizal fungi (AMF) and is crucial for soil organic carbon (SOC) storage. Urbanization has been recognized one of the main human disturbance to nature, and its influence on GRSP and SOC sequestration is important by reporting from previous studies. In the current study, at the first time, impervious surface area (ISA) was used as urbanization indicator, we tried to find urbanization effects on glomalin traits (total GRSP (TG), easily-extracted GRSP (EEG), TG/SOC, EEG/TG, and EEG/SOC) in Changchun city. Total 281 plots were sampled in the 500-km2 urban region. Twenty-four parameters were recorded as forest characteristics (plant diversity traits, tree size, and tree density), soil properties (pH, bulk density, electrical conductivity (EC), and temperature), and land use configuration (road, greenspace, building, and water). We found that GRSP contributed 1.3–1.6 times SOC sequestration in low-medium urbanization areas (ISA ≤ 0.8) than in heavy urbanization areas (ISA &amp;gt; 0.8). Association decoupling manifested that, in low-medium urbanization areas, soil properties (including pH, bulk density, EC, and temperature) explained 48–78 % of inter-site variation of glomalin traits, while at heavy urbanization areas, the explaining power from forest characteristics enhanced to a percent of 46 %, mainly from Salicaceae (7.8 %), Ulmaceae (5.7 %), and shrub richness (5.3 %) (p &amp;lt; 0.05). Structural equation modeling found that urbanization directly declined EEG/SOC (coefficient: -0.21), and its indirect effect via greenspace configuration (increase building but decrease greenspace) was one-third to half of the direct effect (coefficient: -0.10 for EEG/SOC; -0.07 for TG/SOC). Our findings accurately confirmed that GRSP/SOC decreased from rural to urban center by using ISA as urbanization indicator. Moreover, we highlighted the importance of greenspace configuration in the regulation of underground glomalin-related carbon sequestration during urbanization processes. © 2019 Elsevier GmbH</t>
  </si>
  <si>
    <t>Arbuscular mycorrhizal fungi; Impervious surface area; Soil organic carbon; Urbanization</t>
  </si>
  <si>
    <t>Stuart E.K., Plett K.L.</t>
  </si>
  <si>
    <t>Digging Deeper: In Search of the Mechanisms of Carbon and Nitrogen Exchange in Ectomycorrhizal Symbioses</t>
  </si>
  <si>
    <t>10.3389/fpls.2019.01658</t>
  </si>
  <si>
    <t>https://www.scopus.com/inward/record.uri?eid=2-s2.0-85078770295&amp;doi=10.3389%2ffpls.2019.01658&amp;partnerID=40&amp;md5=c618ec32a9d3708ed8604a87eed2001c</t>
  </si>
  <si>
    <t>Symbiosis with ectomycorrhizal (ECM) fungi is an advantageous partnership for trees in nutrient-limited environments. Ectomycorrhizal fungi colonize the roots of their hosts and improve their access to nutrients, usually nitrogen (N) and, in exchange, trees deliver a significant portion of their photosynthetic carbon (C) to the fungi. This nutrient exchange affects key soil processes and nutrient cycling, as well as plant health, and is therefore central to forest ecosystem functioning. Due to their ecological importance, there is a need to more accurately understand ECM fungal mediated C and N movement within forest ecosystems such that we can better model and predict their role in soil processes both now and under future climate scenarios. There are a number of hurdles that we must overcome, however, before this is achievable such as understanding how the evolutionary history of ECM fungi and their inter- and intra- species variability affect their function. Further, there is currently no generally accepted universal mechanism that appears to govern the flux of nutrients between fungal and plant partners. Here, we consider the current state of knowledge on N acquisition and transport by ECM fungi and how C and N exchange may be related or affected by environmental conditions such as N availability. We emphasize the role that modern genomic analysis, molecular biology techniques and more comprehensive and standardized experimental designs may have in bringing cohesion to the numerous ecological studies in this area and assist us in better understanding this important symbiosis. These approaches will help to build unified models of nutrient exchange and develop diagnostic tools to study these fungi at various scales and environments. © Copyright © 2020 Stuart and Plett.</t>
  </si>
  <si>
    <t>carbon cycle; carbon sequestration; ecosystem modelling; mutualism; mycorrhizae; nutrition; symbiosis</t>
  </si>
  <si>
    <t>Abd El-Azeem S.A.E.-M.M.</t>
  </si>
  <si>
    <t>Impacts of Climate Change on Microbial Activity in Agricultural Egyptian Soils</t>
  </si>
  <si>
    <t>Springer Water</t>
  </si>
  <si>
    <t>10.1007/978-3-030-41629-4_6</t>
  </si>
  <si>
    <t>https://www.scopus.com/inward/record.uri?eid=2-s2.0-85119288693&amp;doi=10.1007%2f978-3-030-41629-4_6&amp;partnerID=40&amp;md5=959cd4b9b0e1ca18fba4e86d8d6783b0</t>
  </si>
  <si>
    <t>Climate changes; Egypt; Enzyme activity; Microbial biomass; Microbial community</t>
  </si>
  <si>
    <t>Zuev A.G.</t>
  </si>
  <si>
    <t>Micromycetes in the hyphosphere: Stable isotopes (13c/12c,15n/14n) fractionation and the community structure</t>
  </si>
  <si>
    <t>Mikologiya I Fitopatologiya</t>
  </si>
  <si>
    <t>10.31857/S0026364820020129</t>
  </si>
  <si>
    <t>https://www.scopus.com/inward/record.uri?eid=2-s2.0-85096712972&amp;doi=10.31857%2fS0026364820020129&amp;partnerID=40&amp;md5=7251d8c192934cabd4bf42f42ac37b18</t>
  </si>
  <si>
    <t>Exudates; Mycorrhiza; Saprotrophic fungi; Soil micromycetes; Stable isotopes</t>
  </si>
  <si>
    <t>Response of arbuscular mycorrhizal fungal community in soil and roots to grazing differs in a wetland on the Qinghai-Tibet plateau</t>
  </si>
  <si>
    <t>PeerJ</t>
  </si>
  <si>
    <t>e9375</t>
  </si>
  <si>
    <t>10.7717/peerj.9375</t>
  </si>
  <si>
    <t>https://www.scopus.com/inward/record.uri?eid=2-s2.0-85088904747&amp;doi=10.7717%2fpeerj.9375&amp;partnerID=40&amp;md5=3be3f321fd4301bdcbc90dbc55780838</t>
  </si>
  <si>
    <t>Grazing as one of the most important disturbances affects the abundance, diversity and community composition of arbuscular mycorrhizal (AM) fungi in ecosystems, but the AM fungi in response to grazing in wetland ecosystems remain poorly documented. Here, we examined AM fungi in roots and soil in grazing and non-grazing plots in Zoige wetland on the Qinghai-Tibet plateau. Grazing significantly increased AM fungal spore density and glomalin-related soil proteins, but had no significant effect on the extra radical hyphal density of AM fungi. While AM fungal richness and community composition differed between roots and soil, grazing was found to influence only the community composition in soil. This study shows that moderate grazing can increase the biomass of AM fungi and soil carbon sequestration, and maintain the AM fungal diversity in the wetland ecosystem. This finding may enhance our understanding of the AM fungi in response to grazing in the wetland on the Qinghai-Tibet plateau. Copyright 2020 Li et al.</t>
  </si>
  <si>
    <t>Arbuscular mycorrhizal fungal abundance; Community; Diversity; Grazing; Wetland</t>
  </si>
  <si>
    <t>Alkobaisy J.S., Lafi A.Sh.A., Ghani E.T.A.</t>
  </si>
  <si>
    <t>Influence of using Mycorrhizae (MH) with Vermicompost (VRF) on soil properties, Soybean (Glycine max L.) growth and yield</t>
  </si>
  <si>
    <t>Systematic Reviews in Pharmacy</t>
  </si>
  <si>
    <t>10.31838/srp.2020.6.55</t>
  </si>
  <si>
    <t>https://www.scopus.com/inward/record.uri?eid=2-s2.0-85088682204&amp;doi=10.31838%2fsrp.2020.6.55&amp;partnerID=40&amp;md5=90c7b17a481d744c49313106456580b3</t>
  </si>
  <si>
    <t>Growth; Mycorrhiza; Soil properties; Soybean; Vermicompost; Yield</t>
  </si>
  <si>
    <t>Use of radiocarbon for assessing the mycorrhizal status of mycoheterotrophic plants</t>
  </si>
  <si>
    <t>Plant Signaling and Behavior</t>
  </si>
  <si>
    <t>10.1080/15592324.2020.1785667</t>
  </si>
  <si>
    <t>https://www.scopus.com/inward/record.uri?eid=2-s2.0-85088024330&amp;doi=10.1080%2f15592324.2020.1785667&amp;partnerID=40&amp;md5=a1c8781b236539a0cd41e398a79c57a1</t>
  </si>
  <si>
    <t>Repo T., Domisch T., Kilpelainen J., Piirainen S., Silvennoinen R., Lehto T.</t>
  </si>
  <si>
    <t>Dynamics of fine-root production and mortality of scots pine in waterlogged peat soil during the growing season</t>
  </si>
  <si>
    <t>Canadian Journal of Forest Research</t>
  </si>
  <si>
    <t>10.1139/cjfr-2019-0163</t>
  </si>
  <si>
    <t>https://www.scopus.com/inward/record.uri?eid=2-s2.0-85084108025&amp;doi=10.1139%2fcjfr-2019-0163&amp;partnerID=40&amp;md5=c52d5ccb8b8b97cbdb6ba6224b94fdef</t>
  </si>
  <si>
    <t>Carbon sequestration; Forest hydrology; Growth; Hypoxia; Phenology; Survival analysis</t>
  </si>
  <si>
    <t>Three-year pot culture of Epipactis helleborine reveals autotrophic survival, without mycorrhizal networks, in a mixotrophic species</t>
  </si>
  <si>
    <t>10.1007/s00572-020-00932-4</t>
  </si>
  <si>
    <t>https://www.scopus.com/inward/record.uri?eid=2-s2.0-85078098444&amp;doi=10.1007%2fs00572-020-00932-4&amp;partnerID=40&amp;md5=12cf8cfbd2b9c884aef028025791631c</t>
  </si>
  <si>
    <t>13C; 15N; Mycoheterotrophy; Mycorrhizae; Orchid transplantation; Rhizoctonia; Stable isotopes</t>
  </si>
  <si>
    <t>Alghamdi S.A.</t>
  </si>
  <si>
    <t>Biological role of mycorrhizal fungi on the assimilation and transportation of carbon and nitrogen to Anacamptis palustris and Anacamptis laxiflor</t>
  </si>
  <si>
    <t>Saudi Journal of Biological Sciences</t>
  </si>
  <si>
    <t>10.1016/j.sjbs.2019.11.010</t>
  </si>
  <si>
    <t>https://www.scopus.com/inward/record.uri?eid=2-s2.0-85076530297&amp;doi=10.1016%2fj.sjbs.2019.11.010&amp;partnerID=40&amp;md5=a4ab83006bc0d1e5c2d205ceab07706f</t>
  </si>
  <si>
    <t>13C-15N- labelled amino acids; 13C-15N-labelled ammonium nitrate plus sugar; Anacamptis laxiflor; Anacamptis palustris; Mycorrhizal fungi</t>
  </si>
  <si>
    <t>Pandey A., Arunachalam K., Thadani R., Singh V.</t>
  </si>
  <si>
    <t>Forest degradation impacts on carbon stocks, tree density and regeneration status in banj oak forests of Central Himalaya</t>
  </si>
  <si>
    <t>10.1111/1440-1703.12078</t>
  </si>
  <si>
    <t>https://www.scopus.com/inward/record.uri?eid=2-s2.0-85076345026&amp;doi=10.1111%2f1440-1703.12078&amp;partnerID=40&amp;md5=a50dbf05db3bcecb8c5c12e4d709270d</t>
  </si>
  <si>
    <t>banj; chronic; disturbance; moderate; restore</t>
  </si>
  <si>
    <t>Kumar A., Phillips R.P., Scheibe A., Klink S., Pausch J.</t>
  </si>
  <si>
    <t>Organic matter priming by invasive plants depends on dominant mycorrhizal association</t>
  </si>
  <si>
    <t>10.1016/j.soilbio.2019.107645</t>
  </si>
  <si>
    <t>https://www.scopus.com/inward/record.uri?eid=2-s2.0-85074354236&amp;doi=10.1016%2fj.soilbio.2019.107645&amp;partnerID=40&amp;md5=cf15b384de81398fc19324c96525c7b2</t>
  </si>
  <si>
    <t>13C natural abundance; CO2 emission; Flux partitioning; Microbial activation; Mycorrhizal-associated nutrient economy (MANE); Rhizosphere priming effects</t>
  </si>
  <si>
    <t>Zhou J., Zang H., Loeppmann S., Gube M., Kuzyakov Y., Pausch J.</t>
  </si>
  <si>
    <t>Arbuscular mycorrhiza enhances rhizodeposition and reduces the rhizosphere priming effect on the decomposition of soil organic matter</t>
  </si>
  <si>
    <t>10.1016/j.soilbio.2019.107641</t>
  </si>
  <si>
    <t>https://www.scopus.com/inward/record.uri?eid=2-s2.0-85074223634&amp;doi=10.1016%2fj.soilbio.2019.107641&amp;partnerID=40&amp;md5=1f751592411f2a767c56092586a71e62</t>
  </si>
  <si>
    <t>Arbuscular mycorrhizal fungi (AMF); Carbon balance; Continuous labeling; N fertilization; Rhizodeposition; Rhizosphere priming effect (RPE)</t>
  </si>
  <si>
    <t>Li D., Li Z., Zhao B., Zhang J.</t>
  </si>
  <si>
    <t>Relationship between the chemical structure of straw and composition of main microbial groups during the decomposition of wheat and maize straws as affected by soil texture</t>
  </si>
  <si>
    <t>Biology and Fertility of Soils</t>
  </si>
  <si>
    <t>10.1007/s00374-019-01397-0</t>
  </si>
  <si>
    <t>https://www.scopus.com/inward/record.uri?eid=2-s2.0-85071138450&amp;doi=10.1007%2fs00374-019-01397-0&amp;partnerID=40&amp;md5=0e95ee523eb2c9768a77fab246f7c7fc</t>
  </si>
  <si>
    <t>13C-NMR; Decomposition dynamics; Maize straw; Phospholipid fatty acid; Wheat straw</t>
  </si>
  <si>
    <t>Keller A.B., Phillips R.P.</t>
  </si>
  <si>
    <t>Relationship Between Belowground Carbon Allocation and Nitrogen Uptake in Saplings Varies by Plant Mycorrhizal Type</t>
  </si>
  <si>
    <t>10.3389/ffgc.2019.00081</t>
  </si>
  <si>
    <t>https://www.scopus.com/inward/record.uri?eid=2-s2.0-85099745613&amp;doi=10.3389%2fffgc.2019.00081&amp;partnerID=40&amp;md5=a5144179dcacd2e4a790d9515863923b</t>
  </si>
  <si>
    <t>carbon cycling; isotopic approaches; nitrogen uptake; resource allocation; rhizodeposition; species patterns</t>
  </si>
  <si>
    <t>Shiryaev A.G., Moiseev P.A., Peintner U., Devi N.M., Kukarskih V.V., Elsakov V.V.</t>
  </si>
  <si>
    <t>Arctic greening caused by warming contributes to compositional changes of mycobiota at the Polar Urals</t>
  </si>
  <si>
    <t>10.3390/F10121112</t>
  </si>
  <si>
    <t>https://www.scopus.com/inward/record.uri?eid=2-s2.0-85079798598&amp;doi=10.3390%2fF10121112&amp;partnerID=40&amp;md5=8ca611017f41eba065d6c8e9d3f8ff3e</t>
  </si>
  <si>
    <t>Climate change; Diversity; Fungal ecology; Monitoring; NDVI; Permafrost; Remote sensing data; Treeline</t>
  </si>
  <si>
    <t>Cotrufo M.F., Ranalli M.G., Haddix M.L., Six J., Lugato E.</t>
  </si>
  <si>
    <t>Soil carbon storage informed by particulate and mineral-associated organic matter</t>
  </si>
  <si>
    <t>Nature Geoscience</t>
  </si>
  <si>
    <t>10.1038/s41561-019-0484-6</t>
  </si>
  <si>
    <t>https://www.scopus.com/inward/record.uri?eid=2-s2.0-85075333368&amp;doi=10.1038%2fs41561-019-0484-6&amp;partnerID=40&amp;md5=6b8c2c277286b2f02dda44d39fe1cb42</t>
  </si>
  <si>
    <t>Global mycorrhizal plant distribution linked to terrestrial carbon stocks</t>
  </si>
  <si>
    <t>Nature Communications</t>
  </si>
  <si>
    <t>10.1038/s41467-019-13019-2</t>
  </si>
  <si>
    <t>https://www.scopus.com/inward/record.uri?eid=2-s2.0-85074687762&amp;doi=10.1038%2fs41467-019-13019-2&amp;partnerID=40&amp;md5=a2948796a98a0679d759e93a5d7e279b</t>
  </si>
  <si>
    <t>Hill P.W., Broughton R., Bougoure J., Havelange W., Newsham K.K., Grant H., Murphy D.V., Clode P., Ramayah S., Marsden K.A., Quilliam R.S., Roberts P., Brown C., Read D.J., Deluca T.H., Bardgett R.D., Hopkins D.W., Jones D.L.</t>
  </si>
  <si>
    <t>Angiosperm symbioses with non-mycorrhizal fungal partners enhance N acquisition from ancient organic matter in a warming maritime Antarctic</t>
  </si>
  <si>
    <t>10.1111/ele.13399</t>
  </si>
  <si>
    <t>https://www.scopus.com/inward/record.uri?eid=2-s2.0-85074252122&amp;doi=10.1111%2fele.13399&amp;partnerID=40&amp;md5=10618b4c9a4165e81464d732c931d942</t>
  </si>
  <si>
    <t>carbon cycle; climate change; dark septate endophytes; enantiomers; nitrogen cycle; polar; soil</t>
  </si>
  <si>
    <t>Higo M., Kang D.-J., Isobe K.</t>
  </si>
  <si>
    <t>First report of community dynamics of arbuscular mycorrhizal fungi in radiocesium degradation lands after the Fukushima-Daiichi Nuclear disaster in Japan</t>
  </si>
  <si>
    <t>10.1038/s41598-019-44665-7</t>
  </si>
  <si>
    <t>https://www.scopus.com/inward/record.uri?eid=2-s2.0-85066629131&amp;doi=10.1038%2fs41598-019-44665-7&amp;partnerID=40&amp;md5=ea6ef28cfe28d7fbdb48abaa9e942e49</t>
  </si>
  <si>
    <t>Yang W., Zhang D., Cai X., Xia L., Luo Y., Cheng X., An S.</t>
  </si>
  <si>
    <t>Significant alterations in soil fungal communities along a chronosequence of Spartina alterniflora invasion in a Chinese Yellow Sea coastal wetland</t>
  </si>
  <si>
    <t>10.1016/j.scitotenv.2019.07.354</t>
  </si>
  <si>
    <t>https://www.scopus.com/inward/record.uri?eid=2-s2.0-85069856719&amp;doi=10.1016%2fj.scitotenv.2019.07.354&amp;partnerID=40&amp;md5=fae2c67142594988913a4ffcc479de54</t>
  </si>
  <si>
    <t>Carbon sequestration; Coastal salt marshes; Exotic plants; Fungal functional guilds; Fungal trophic modes; Soil fungal community composition</t>
  </si>
  <si>
    <t>van Geel M., Yu K., Peeters G., van Acker K., Ramos M., Serafim C., Kastendeuch P., Najjar G., Ameglio T., Ngao J., Saudreau M., Castro P., Somers B., Honnay O.</t>
  </si>
  <si>
    <t>Soil organic matter rather than ectomycorrhizal diversity is related to urban tree health</t>
  </si>
  <si>
    <t>e0225714</t>
  </si>
  <si>
    <t>10.1371/journal.pone.0225714</t>
  </si>
  <si>
    <t>https://www.scopus.com/inward/record.uri?eid=2-s2.0-85075478935&amp;doi=10.1371%2fjournal.pone.0225714&amp;partnerID=40&amp;md5=c2c6d6de7982c4255009cccd21cf299c</t>
  </si>
  <si>
    <t>Abdellatif L., Lokuruge P., Hamel C.</t>
  </si>
  <si>
    <t>Axenic growth of the arbuscular mycorrhizal fungus Rhizophagus irregularis and growth stimulation by coculture with plant growth-promoting rhizobacteria</t>
  </si>
  <si>
    <t>10.1007/s00572-019-00924-z</t>
  </si>
  <si>
    <t>https://www.scopus.com/inward/record.uri?eid=2-s2.0-85075363779&amp;doi=10.1007%2fs00572-019-00924-z&amp;partnerID=40&amp;md5=7c51277c36610a578497b534c2768621</t>
  </si>
  <si>
    <t>Arbuscular mycorrhizal fungi; Axenic culture; Mycorrhiza helper bacteria; Plant growth-promoting rhizobacteria; Rhizophagus irregularis</t>
  </si>
  <si>
    <t>Zuev A.G., Khmeleva M.V., Tiunov A.V.</t>
  </si>
  <si>
    <t>Collecting fungal mycelium using in-growth mesh bags: Effects of the sand particle size and seasonality</t>
  </si>
  <si>
    <t>Pedobiologia</t>
  </si>
  <si>
    <t>10.1016/j.pedobi.2019.150591</t>
  </si>
  <si>
    <t>https://www.scopus.com/inward/record.uri?eid=2-s2.0-85074504806&amp;doi=10.1016%2fj.pedobi.2019.150591&amp;partnerID=40&amp;md5=5e117a96ec7208f1d35fc2e10d375e23</t>
  </si>
  <si>
    <t>Coniferous forest; Fungal biomass; Mycorrhiza; Pore space; Quartz sand; Stable isotopes</t>
  </si>
  <si>
    <t>Soil-plant compartments affect fungal microbiome diversity and composition in grapevine</t>
  </si>
  <si>
    <t>Fungal Ecology</t>
  </si>
  <si>
    <t>10.1016/j.funeco.2019.07.003</t>
  </si>
  <si>
    <t>https://www.scopus.com/inward/record.uri?eid=2-s2.0-85073650870&amp;doi=10.1016%2fj.funeco.2019.07.003&amp;partnerID=40&amp;md5=0fde98c45c8e7f88191b2389293f76c7</t>
  </si>
  <si>
    <t>Culture-independent analysis; Endophytes; Fungal recruitment; Grapevine trunk disease; High-throughput amplicon sequencing; Microbial ecology; Microbiome</t>
  </si>
  <si>
    <t>Chomel M., Lavallee J.M., Alvarez-Segura N., de Castro F., Rhymes J.M., Caruso T., de Vries F.T., Baggs E.M., Emmerson M.C., Bardgett R.D., Johnson D.</t>
  </si>
  <si>
    <t>Drought decreases incorporation of recent plant photosynthate into soil food webs regardless of their trophic complexity</t>
  </si>
  <si>
    <t>10.1111/gcb.14754</t>
  </si>
  <si>
    <t>https://www.scopus.com/inward/record.uri?eid=2-s2.0-85070271734&amp;doi=10.1111%2fgcb.14754&amp;partnerID=40&amp;md5=c9fee24367cc5cb2141363b20d7534c7</t>
  </si>
  <si>
    <t>Selected physiological parameters of creeping willow [Salix repens subsp. arenaria (L.) Hiit.]: a shrubby plant inhabiting degraded industrial areas</t>
  </si>
  <si>
    <t>Trees - Structure and Function</t>
  </si>
  <si>
    <t>10.1007/s00468-019-01872-z</t>
  </si>
  <si>
    <t>https://www.scopus.com/inward/record.uri?eid=2-s2.0-85068152292&amp;doi=10.1007%2fs00468-019-01872-z&amp;partnerID=40&amp;md5=850567985fa9b5fbf344e6be31e75fc2</t>
  </si>
  <si>
    <t>Ge X., Cao Y., Zhou B., Wang X., Yang Z., Li M.-H.</t>
  </si>
  <si>
    <t>Biochar addition increases subsurface soil microbial biomass but has limited effects on soil CO2 emissions in subtropical moso bamboo plantations</t>
  </si>
  <si>
    <t>10.1016/j.apsoil.2019.04.021</t>
  </si>
  <si>
    <t>https://www.scopus.com/inward/record.uri?eid=2-s2.0-85065028774&amp;doi=10.1016%2fj.apsoil.2019.04.021&amp;partnerID=40&amp;md5=61ce161f179660cf96af027a51ff4b11</t>
  </si>
  <si>
    <t>Biochar; Microbial composition; Phospholipid-derived fatty acids; Soil CO2 emissions; Temperature sensitivity</t>
  </si>
  <si>
    <t>Zuev A.G., Rozanova O.L., Tsurikov S.M., Panchenko P.L., Ershova M.A., Smolyarova D.D., Krivosheina M.G., Aleksandrova A.V., Ivnitsky S.B., Maleeva Y.V., Tiunov A.V.</t>
  </si>
  <si>
    <t>Stable Isotope Trophic Fractionation (13C/12C and 15N/14N) in Mycophagous Diptera Larvae</t>
  </si>
  <si>
    <t>Biology Bulletin</t>
  </si>
  <si>
    <t>10.1134/S1062359019050157</t>
  </si>
  <si>
    <t>https://www.scopus.com/inward/record.uri?eid=2-s2.0-85073191217&amp;doi=10.1134%2fS1062359019050157&amp;partnerID=40&amp;md5=c67c70cba2b775f856a602dbca68203e</t>
  </si>
  <si>
    <t>Comparative study of nutritional mode and mycorrhizal fungi in green and albino variants of Goodyera velutina, an orchid mainly utilizing saprotrophic rhizoctonia</t>
  </si>
  <si>
    <t>10.1111/mec.15213</t>
  </si>
  <si>
    <t>https://www.scopus.com/inward/record.uri?eid=2-s2.0-85073084688&amp;doi=10.1111%2fmec.15213&amp;partnerID=40&amp;md5=26bce41fe3f48ca0a27dada6f0932152</t>
  </si>
  <si>
    <t>13C natural abundance; 15N natural abundance; autotrophy; mycoheterotrophy; mycorrhiza; Orchidaceae; rhizoctonia; vegetative albino</t>
  </si>
  <si>
    <t>Are Trechisporales ectomycorrhizal or non-mycorrhizal root endophytes?</t>
  </si>
  <si>
    <t>Mycological Progress</t>
  </si>
  <si>
    <t>10.1007/s11557-019-01519-w</t>
  </si>
  <si>
    <t>https://www.scopus.com/inward/record.uri?eid=2-s2.0-85073060956&amp;doi=10.1007%2fs11557-019-01519-w&amp;partnerID=40&amp;md5=62a984732144981d726e139e3734348b</t>
  </si>
  <si>
    <t>Atlantic rainforest; Biotrophic nutrition; Ectomycorrhizal fungi; Isotopic analysis; ITS; Phylogenetic analysis</t>
  </si>
  <si>
    <t>Nautiyal P., Rajput R., Pandey D., Arunachalam K., Arunachalam A.</t>
  </si>
  <si>
    <t>Role of glomalin in soil carbon storage and its variation across land uses in temperate Himalayan regime</t>
  </si>
  <si>
    <t>Biocatalysis and Agricultural Biotechnology</t>
  </si>
  <si>
    <t>10.1016/j.bcab.2019.101311</t>
  </si>
  <si>
    <t>https://www.scopus.com/inward/record.uri?eid=2-s2.0-85071647645&amp;doi=10.1016%2fj.bcab.2019.101311&amp;partnerID=40&amp;md5=7570d5b20cc7d42a4121126d4f069359</t>
  </si>
  <si>
    <t>Aggregate stability; Agro-ecosystems; Glomalin; Mycorrhizal fungi</t>
  </si>
  <si>
    <t>Boilard G., Bradley R.L., Paterson E., Sim A., Brown L.K., George T.S., Bainard L., Carubba A.</t>
  </si>
  <si>
    <t>Interaction between root hairs and soil phosphorus on rhizosphere priming of soil organic matter</t>
  </si>
  <si>
    <t>10.1016/j.soilbio.2019.05.013</t>
  </si>
  <si>
    <t>https://www.scopus.com/inward/record.uri?eid=2-s2.0-85066090555&amp;doi=10.1016%2fj.soilbio.2019.05.013&amp;partnerID=40&amp;md5=0d89563e41f15d34bfca1347b3686ac9</t>
  </si>
  <si>
    <t>Arbuscular mycorrhizae; Barley; Rhizosphere priming effect; Root hairs; Soil phosphorus</t>
  </si>
  <si>
    <t>Gavito M.E., Jakobsen I., Mikkelsen T.N., Mora F.</t>
  </si>
  <si>
    <t>Direct evidence for modulation of photosynthesis by an arbuscular mycorrhiza-induced carbon sink strength</t>
  </si>
  <si>
    <t>10.1111/nph.15806</t>
  </si>
  <si>
    <t>https://www.scopus.com/inward/record.uri?eid=2-s2.0-85064709395&amp;doi=10.1111%2fnph.15806&amp;partnerID=40&amp;md5=8d81d80427be29b7c80618a363f309d0</t>
  </si>
  <si>
    <t>Lin G., Chen Z., Zeng D.-H.</t>
  </si>
  <si>
    <t>Presence of mycorrhizal fungal hyphae rather than living roots retards root litter decomposition</t>
  </si>
  <si>
    <t>10.3390/f10060502</t>
  </si>
  <si>
    <t>https://www.scopus.com/inward/record.uri?eid=2-s2.0-85068941801&amp;doi=10.3390%2ff10060502&amp;partnerID=40&amp;md5=679a05d27a1ec09b128ebcb0e50556f6</t>
  </si>
  <si>
    <t>Enzyme activity; Living root; Mycorrhizal fungi; Mycorrhizal type; Root litter decomposition; Root-microbe interaction</t>
  </si>
  <si>
    <t>Sulman B.N., Shevliakova E., Brzostek E.R., Kivlin S.N., Malyshev S., Menge D.N.L., Zhang X.</t>
  </si>
  <si>
    <t>Diverse Mycorrhizal Associations Enhance Terrestrial C Storage in a Global Model</t>
  </si>
  <si>
    <t>Global Biogeochemical Cycles</t>
  </si>
  <si>
    <t>10.1029/2018GB005973</t>
  </si>
  <si>
    <t>https://www.scopus.com/inward/record.uri?eid=2-s2.0-85064556014&amp;doi=10.1029%2f2018GB005973&amp;partnerID=40&amp;md5=5824677a3a755dba94dda776d13d02d1</t>
  </si>
  <si>
    <t>carbon; elevated CO2; global land model; mycorrhizae; nitrogen; soil</t>
  </si>
  <si>
    <t>Nasto M.K., Winter K., Turner B.L., Cleveland C.C.</t>
  </si>
  <si>
    <t>Nutrient acquisition strategies augment growth in tropical N2-fixing trees in nutrient-poor soil and under elevated CO2</t>
  </si>
  <si>
    <t>e02646</t>
  </si>
  <si>
    <t>10.1002/ecy.2646</t>
  </si>
  <si>
    <t>https://www.scopus.com/inward/record.uri?eid=2-s2.0-85063014466&amp;doi=10.1002%2fecy.2646&amp;partnerID=40&amp;md5=7993eb5981fc58c4da924da6dc60b1a9</t>
  </si>
  <si>
    <t>arbuscular mycorrhizal fungi; elevated CO2; nitrogen fixation; nutrient acquisition strategies; phosphatase enzymes; tropical trees</t>
  </si>
  <si>
    <t>Subramanian K.S., Vivek P.N., Balakrishnan N., Nandakumar N.B., Rajkishore S.K.</t>
  </si>
  <si>
    <t>Effects of arbuscular mycorrhizal fungus Rhizoglomus intraradices on active and passive pools of carbon in long-term soil fertility gradients of maize based cropping system</t>
  </si>
  <si>
    <t>Archives of Agronomy and Soil Science</t>
  </si>
  <si>
    <t>10.1080/03650340.2018.1512100</t>
  </si>
  <si>
    <t>https://www.scopus.com/inward/record.uri?eid=2-s2.0-85053049846&amp;doi=10.1080%2f03650340.2018.1512100&amp;partnerID=40&amp;md5=89614bb7fa6932b25da7bbcf61836006</t>
  </si>
  <si>
    <t>active carbon pools; AMF colonization; glomalin and carbon sequestration; passive carbon pools</t>
  </si>
  <si>
    <t>Bluhm S.L., Potapov A.M., Shrubovych J., Ammerschubert S., Polle A., Scheu S.</t>
  </si>
  <si>
    <t>Protura are unique: First evidence of specialized feeding on ectomycorrhizal fungi in soil invertebrates</t>
  </si>
  <si>
    <t>BMC Ecology</t>
  </si>
  <si>
    <t>10.1186/s12898-019-0227-y</t>
  </si>
  <si>
    <t>https://www.scopus.com/inward/record.uri?eid=2-s2.0-85062029709&amp;doi=10.1186%2fs12898-019-0227-y&amp;partnerID=40&amp;md5=9934d5178bc2fcce33d051c9e29379a5</t>
  </si>
  <si>
    <t>Acerentomon; Carbon; Carbon sequestration; Mycorrhiza; Nitrogen; Nutrition biology; Pulse labelling; Rhizosphere; Stable isotopes; Temperate forests</t>
  </si>
  <si>
    <t>Sun Y., Zhang Y., Feng W., Qin S., Liu Z.</t>
  </si>
  <si>
    <t>Revegetated shrub species recruit different soil fungal assemblages in a desert ecosystem</t>
  </si>
  <si>
    <t>10.1007/s11104-018-3877-1</t>
  </si>
  <si>
    <t>https://www.scopus.com/inward/record.uri?eid=2-s2.0-85056471569&amp;doi=10.1007%2fs11104-018-3877-1&amp;partnerID=40&amp;md5=207d997984be3a34990cce6651447171</t>
  </si>
  <si>
    <t>Revegetation; Semi-arid ecosystem; Shrub species; Soil fungal community composition; Soil fungal diversity</t>
  </si>
  <si>
    <t>Berhongaray G., Cotrufo F.M., Janssens I.A., Ceulemans R.</t>
  </si>
  <si>
    <t>Below-ground carbon inputs contribute more than above-ground inputs to soil carbon accrual in a bioenergy poplar plantation</t>
  </si>
  <si>
    <t>10.1007/s11104-018-3850-z</t>
  </si>
  <si>
    <t>https://www.scopus.com/inward/record.uri?eid=2-s2.0-85055936359&amp;doi=10.1007%2fs11104-018-3850-z&amp;partnerID=40&amp;md5=591c1214536b6063cd8cd51e55cc9c45</t>
  </si>
  <si>
    <t>13C; In-growth cores; Isotopes; Populus spp; Roots</t>
  </si>
  <si>
    <t>Asplund J., Kauserud H., Ohlson M., Nybakken L.</t>
  </si>
  <si>
    <t>Spruce and beech as local determinants of forest fungal community structure in litter, humus and mineral soil</t>
  </si>
  <si>
    <t>fiy232</t>
  </si>
  <si>
    <t>10.1093/femsec/fiy232</t>
  </si>
  <si>
    <t>https://www.scopus.com/inward/record.uri?eid=2-s2.0-85059263481&amp;doi=10.1093%2ffemsec%2ffiy232&amp;partnerID=40&amp;md5=4b0270a4c7002d22a4b6ecc5d937b284</t>
  </si>
  <si>
    <t>Fagus sylvatica; forests; microbes; mycorrhiza; Picea abies; saprotrophs</t>
  </si>
  <si>
    <t>Samiappan S.C., Rajendran J., Velu R.K.</t>
  </si>
  <si>
    <t>Microbial Interventions in Agriculture and Environment: Volume 3: Soil and Crop Health Management</t>
  </si>
  <si>
    <t>10.1007/978-981-32-9084-6_13</t>
  </si>
  <si>
    <t>https://www.scopus.com/inward/record.uri?eid=2-s2.0-85085446739&amp;doi=10.1007%2f978-981-32-9084-6_13&amp;partnerID=40&amp;md5=a428924ddc5795829d28406996a19c64</t>
  </si>
  <si>
    <t>AM fungi; Carbon sequestration; Glomalin; Soil aggregation; Soil fertility proteins</t>
  </si>
  <si>
    <t>Pankaj U., Singh G., Verma R.K.</t>
  </si>
  <si>
    <t>Microbial approaches in management and restoration of marginal lands</t>
  </si>
  <si>
    <t>New and Future Developments in Microbial Biotechnology and Bioengineering: Microbes in Soil, Crop and Environmental Sustainability</t>
  </si>
  <si>
    <t>10.1016/B978-0-12-818258-1.00020-0</t>
  </si>
  <si>
    <t>https://www.scopus.com/inward/record.uri?eid=2-s2.0-85083205712&amp;doi=10.1016%2fB978-0-12-818258-1.00020-0&amp;partnerID=40&amp;md5=169c2c0250eacd01e8588a52036a9a56</t>
  </si>
  <si>
    <t>Beneficial microbes; Biological reclamation of marginal land; Marginal land; Soil fertility</t>
  </si>
  <si>
    <t>Ullah S., Muhammad B., Amin R., Abbas H., Muneer M.A.</t>
  </si>
  <si>
    <t>Sensitivity of arbuscular mycorrhizal fungi in old-growth forests: Direct effect on growth and soil carbon storage</t>
  </si>
  <si>
    <t>Applied Ecology and Environmental Research</t>
  </si>
  <si>
    <t>10.15666/aeer/1706_1374913758</t>
  </si>
  <si>
    <t>https://www.scopus.com/inward/record.uri?eid=2-s2.0-85077398474&amp;doi=10.15666%2faeer%2f1706_1374913758&amp;partnerID=40&amp;md5=77d6e2efed14559e45090d81f04d6009</t>
  </si>
  <si>
    <t>Glomalin; Heavy metals; Phosphorous (P); Soil aggregation; Spore germination</t>
  </si>
  <si>
    <t>Zarubina N.E.</t>
  </si>
  <si>
    <t>137Cs and 40K in the needles and branches of scotch pine (Pinus sylvestris L.) on the territory of chornobyl exclusion zone</t>
  </si>
  <si>
    <t>Nuclear Physics and Atomic Energy</t>
  </si>
  <si>
    <t>10.15407/jnpae2019.01.051</t>
  </si>
  <si>
    <t>https://www.scopus.com/inward/record.uri?eid=2-s2.0-85071192373&amp;doi=10.15407%2fjnpae2019.01.051&amp;partnerID=40&amp;md5=c3b21a243763aacf10c004a8c0ef03a6</t>
  </si>
  <si>
    <t>137Cs; 40K; Chornobyl NPP exclusion zone; Circulation; P. sylvestris</t>
  </si>
  <si>
    <t>Maaroufi N.I., Nordin A., Palmqvist K., Hasselquist N.J., Forsmark B., Rosenstock N.P., Wallander H., Gundale M.J.</t>
  </si>
  <si>
    <t>Anthropogenic nitrogen enrichment enhances soil carbon accumulation by impacting saprotrophs rather than ectomycorrhizal fungal activity</t>
  </si>
  <si>
    <t>10.1111/gcb.14722</t>
  </si>
  <si>
    <t>https://www.scopus.com/inward/record.uri?eid=2-s2.0-85068798269&amp;doi=10.1111%2fgcb.14722&amp;partnerID=40&amp;md5=5a09a6774f4fefe1577568569b6a4bbe</t>
  </si>
  <si>
    <t>carbon sequestration; ecological stoichiometry; Gadgil effect; high-throughput sequencing; ingrowth mesh bags; ITS amplicons; litter decomposition; root exclosure; soil organic matter</t>
  </si>
  <si>
    <t>Subsoil arbuscular mycorrhizal fungi for sustainability and climate-smart agriculture: A solution right under our feet?</t>
  </si>
  <si>
    <t>APR</t>
  </si>
  <si>
    <t>10.3389/fmicb.2019.00744</t>
  </si>
  <si>
    <t>https://www.scopus.com/inward/record.uri?eid=2-s2.0-85068220823&amp;doi=10.3389%2ffmicb.2019.00744&amp;partnerID=40&amp;md5=ce3088f58eaa495790eb74bf5c4d080b</t>
  </si>
  <si>
    <t>Agriculture; Arbuscular mycorrhiza; Climate-smart; Soil depth; Subsoil; Sustainability</t>
  </si>
  <si>
    <t>Gorka S., Dietrich M., Mayerhofer W., Gabriel R., Wiesenbauer J., Martin V., Zheng Q., Imai B., Prommer J., Weidinger M., Schweiger P., Eichorst S.A., Wagner M., Richter A., Schintlmeister A., Woebken D., Kaiser C.</t>
  </si>
  <si>
    <t>Rapid transfer of plant photosynthates to soil bacteria via ectomycorrhizal hyphae and its interaction with nitrogen availability</t>
  </si>
  <si>
    <t>FEB</t>
  </si>
  <si>
    <t>10.3389/fmicb.2019.00168</t>
  </si>
  <si>
    <t>https://www.scopus.com/inward/record.uri?eid=2-s2.0-85064194344&amp;doi=10.3389%2ffmicb.2019.00168&amp;partnerID=40&amp;md5=29b1023aa09faf62d3f00cf630892e09</t>
  </si>
  <si>
    <t>Ectomycorrhiza; Hyphal carbon transfer; Hyphosphere bacteria; Hyphosphere priming; Mycorrhizosphere; NanoSIMS; PLFAs</t>
  </si>
  <si>
    <t>McGee K.M., Eaton W.D., Shokralla S., Hajibabaei M.</t>
  </si>
  <si>
    <t>Determinants of Soil Bacterial and Fungal Community Composition Toward Carbon-Use Efficiency Across Primary and Secondary Forests in a Costa Rican Conservation Area</t>
  </si>
  <si>
    <t>Microbial Ecology</t>
  </si>
  <si>
    <t>10.1007/s00248-018-1206-0</t>
  </si>
  <si>
    <t>https://www.scopus.com/inward/record.uri?eid=2-s2.0-85047958879&amp;doi=10.1007%2fs00248-018-1206-0&amp;partnerID=40&amp;md5=f1b8852ec94bdad7787a9c457a796fad</t>
  </si>
  <si>
    <t>16S rRNA; Costa Rica; DNA metabarcoding; DNA metasystematics; ITS rRNA; Secondary forests</t>
  </si>
  <si>
    <t>Andriuzzi W.S., Wall D.H.</t>
  </si>
  <si>
    <t>Soil biological responses to, and feedbacks on, trophic rewilding</t>
  </si>
  <si>
    <t>Philosophical Transactions of the Royal Society B: Biological Sciences</t>
  </si>
  <si>
    <t>10.1098/rstb.2017.0448</t>
  </si>
  <si>
    <t>https://www.scopus.com/inward/record.uri?eid=2-s2.0-85055163672&amp;doi=10.1098%2frstb.2017.0448&amp;partnerID=40&amp;md5=6295042895745aa1d102e351ee338314</t>
  </si>
  <si>
    <t>Above-ground-below-ground interactions; cosystem engineer; estoration; Large herbivore; Soil biodiversity</t>
  </si>
  <si>
    <t>Blakemore R.J.</t>
  </si>
  <si>
    <t>Non-flat earth recalibrated for terrain and topsoil</t>
  </si>
  <si>
    <t>Soil Systems</t>
  </si>
  <si>
    <t>10.3390/soilsystems2040064</t>
  </si>
  <si>
    <t>https://www.scopus.com/inward/record.uri?eid=2-s2.0-85064876738&amp;doi=10.3390%2fsoilsystems2040064&amp;partnerID=40&amp;md5=c46b985c4841dab83ee00d36ca929066</t>
  </si>
  <si>
    <t>Earthworms; Global climate; Soil carbon sequestration; Topographical land surface-area</t>
  </si>
  <si>
    <t>Eldridge D.J., Maestre F.T., Koen T.B., Delgado-Baquerizo M.</t>
  </si>
  <si>
    <t>Australian dryland soils are acidic and nutrient-depleted, and have unique microbial communities compared with other drylands</t>
  </si>
  <si>
    <t>Journal of Biogeography</t>
  </si>
  <si>
    <t>10.1111/jbi.13456</t>
  </si>
  <si>
    <t>https://www.scopus.com/inward/record.uri?eid=2-s2.0-85055703113&amp;doi=10.1111%2fjbi.13456&amp;partnerID=40&amp;md5=4a0c03cc5d5ceead3d9a6dbd237ef32f</t>
  </si>
  <si>
    <t>Australasia; global survey; nutrient cycling; soil microbes; soil nutrients; soil pH</t>
  </si>
  <si>
    <t>Syamsiyah J., Sunarminto B.H., Hanudin E., Widada J., Herawati A.</t>
  </si>
  <si>
    <t>Assessing soil carbon sequestration in upland rice systems using rice straw and mycorrhiza</t>
  </si>
  <si>
    <t>10.1088/1755-1315/200/1/012028</t>
  </si>
  <si>
    <t>https://www.scopus.com/inward/record.uri?eid=2-s2.0-85058012661&amp;doi=10.1088%2f1755-1315%2f200%2f1%2f012028&amp;partnerID=40&amp;md5=8c792a283fed110184aa4e26e0344774</t>
  </si>
  <si>
    <t>Conference Paper</t>
  </si>
  <si>
    <t>Wang W., Wang Q., Zhou W., Xiao L., Wang H., He X.</t>
  </si>
  <si>
    <t>Glomalin changes in urban-rural gradients and their possible associations with forest characteristics and soil properties in Harbin City, Northeastern China</t>
  </si>
  <si>
    <t>10.1016/j.jenvman.2018.07.047</t>
  </si>
  <si>
    <t>https://www.scopus.com/inward/record.uri?eid=2-s2.0-85053060579&amp;doi=10.1016%2fj.jenvman.2018.07.047&amp;partnerID=40&amp;md5=44b1817d858fd819670624bc52e96a97</t>
  </si>
  <si>
    <t>Glomalin-related soil protein; Ring road development; Soil carbon sequestration; Urban forests; Urban history; Urban-rural gradients</t>
  </si>
  <si>
    <t>Isotopic evidence of biotrophy and unusual nitrogen nutrition in soil-dwelling Hygrophoraceae</t>
  </si>
  <si>
    <t>Environmental Microbiology</t>
  </si>
  <si>
    <t>10.1111/1462-2920.14327</t>
  </si>
  <si>
    <t>https://www.scopus.com/inward/record.uri?eid=2-s2.0-85055079079&amp;doi=10.1111%2f1462-2920.14327&amp;partnerID=40&amp;md5=863088ff5c71b10c67d1869f062b27df</t>
  </si>
  <si>
    <t>Averill C., Dietze M.C., Bhatnagar J.M.</t>
  </si>
  <si>
    <t>Continental-scale nitrogen pollution is shifting forest mycorrhizal associations and soil carbon stocks</t>
  </si>
  <si>
    <t>10.1111/gcb.14368</t>
  </si>
  <si>
    <t>https://www.scopus.com/inward/record.uri?eid=2-s2.0-85051031207&amp;doi=10.1111%2fgcb.14368&amp;partnerID=40&amp;md5=ef81526de0c4d0eb35d27d459eb2dcac</t>
  </si>
  <si>
    <t>forest ecology; microbial ecology; mycorrhizal fungi; nitrogen deposition; nutrient limitation; soil carbon storage</t>
  </si>
  <si>
    <t>Even flow? Changes of carbon and nitrogen release from pea roots over time</t>
  </si>
  <si>
    <t>10.1007/s11104-018-3753-z</t>
  </si>
  <si>
    <t>https://www.scopus.com/inward/record.uri?eid=2-s2.0-85050302010&amp;doi=10.1007%2fs11104-018-3753-z&amp;partnerID=40&amp;md5=464b25fa168e24208b1e7a5fe418e74d</t>
  </si>
  <si>
    <t>13C; 15N; Belowground plant biomass; Mycorrhiza; Plant-soil feedback; PSF; Rhizodeposits; Time course</t>
  </si>
  <si>
    <t>Castillo B.T., Nave L.E., Le Moine J.M., James T.Y., Nadelhoffer K.J.</t>
  </si>
  <si>
    <t>Impacts of experimentally accelerated forest succession on belowground plant and fungal communities</t>
  </si>
  <si>
    <t>10.1016/j.soilbio.2018.06.022</t>
  </si>
  <si>
    <t>https://www.scopus.com/inward/record.uri?eid=2-s2.0-85049576252&amp;doi=10.1016%2fj.soilbio.2018.06.022&amp;partnerID=40&amp;md5=4106a5286c7108404fc8edb7968ed7fe</t>
  </si>
  <si>
    <t>Forest disturbance; Fungi; Mycorrhizae; Nitrogen; Soil</t>
  </si>
  <si>
    <t>Belowground plant functional ecology: Towards an integrated perspective</t>
  </si>
  <si>
    <t>10.1111/1365-2435.13145</t>
  </si>
  <si>
    <t>https://www.scopus.com/inward/record.uri?eid=2-s2.0-85052759027&amp;doi=10.1111%2f1365-2435.13145&amp;partnerID=40&amp;md5=882972675d8fa46600b8ace6460aa4b6</t>
  </si>
  <si>
    <t>acquisitive and nonacquisitive compartments; belowground plant functions; biomass allocation and turnover; buds and carbohydrates storage; growth forms; ontogeny; rhizomes; roots</t>
  </si>
  <si>
    <t>Suetsugu K., Ohta T., Tayasu I.</t>
  </si>
  <si>
    <t>American Journal of Botany</t>
  </si>
  <si>
    <t>10.1002/ajb2.1142</t>
  </si>
  <si>
    <t>https://www.scopus.com/inward/record.uri?eid=2-s2.0-85052395913&amp;doi=10.1002%2fajb2.1142&amp;partnerID=40&amp;md5=e738e4ab179578fedde2dc73a156208b</t>
  </si>
  <si>
    <t>carbon acquisition; chlorophyll content; mixotrophy; mycorrhizas; Orchidaceae; photosynthesis; stable isotopes</t>
  </si>
  <si>
    <t>Fungal guilds are evenly distributed along a vertical spruce forest soil profile while individual fungi show pronounced niche partitioning</t>
  </si>
  <si>
    <t>10.1007/s11557-018-1405-6</t>
  </si>
  <si>
    <t>https://www.scopus.com/inward/record.uri?eid=2-s2.0-85047142018&amp;doi=10.1007%2fs11557-018-1405-6&amp;partnerID=40&amp;md5=69694c55b14e39d980273d161961ed08</t>
  </si>
  <si>
    <t>Co-occurrence networks; Ectomycorrhizal fungi; Saprophytic fungi; Seasonal shifts</t>
  </si>
  <si>
    <t>Craig M.E., Turner B.L., Liang C., Clay K., Johnson D.J., Phillips R.P.</t>
  </si>
  <si>
    <t>Tree mycorrhizal type predicts within-site variability in the storage and distribution of soil organic matter</t>
  </si>
  <si>
    <t>10.1111/gcb.14132</t>
  </si>
  <si>
    <t>https://www.scopus.com/inward/record.uri?eid=2-s2.0-85045404430&amp;doi=10.1111%2fgcb.14132&amp;partnerID=40&amp;md5=8bee31522da7c3c2bd396cc903a705b8</t>
  </si>
  <si>
    <t>amino sugars; decomposition; MEMs hypothesis; mineral-associated; mycorrhizal fungi; soil carbon; soil depth; soil nitrogen; temperate forest</t>
  </si>
  <si>
    <t>Pei Y., Lei P., Xiang W., Ouyang S., Xu Y.</t>
  </si>
  <si>
    <t>Effect of stand age on fine root biomass, production and morphology in Chinese fir plantations in subtropical China</t>
  </si>
  <si>
    <t>Sustainability (Switzerland)</t>
  </si>
  <si>
    <t>10.3390/su10072280</t>
  </si>
  <si>
    <t>https://www.scopus.com/inward/record.uri?eid=2-s2.0-85049393871&amp;doi=10.3390%2fsu10072280&amp;partnerID=40&amp;md5=d38d1699c2d5512f66018ee7ad394ce3</t>
  </si>
  <si>
    <t>Cunninghamia lanceolata (Lamb.) Hook; Fine root biomass and production; Specific root length; Stand age; Tissue density; Vertical distribution</t>
  </si>
  <si>
    <t>Jia X., Zhao Y., He Y., Chang Y.</t>
  </si>
  <si>
    <t>Glomalin-related soil protein in the rhizosphere of Robinia pseudoacacia L. seedlings under higher air temperature combined with Cd-contaminated soil</t>
  </si>
  <si>
    <t>10.1111/ejss.12671</t>
  </si>
  <si>
    <t>https://www.scopus.com/inward/record.uri?eid=2-s2.0-85047474110&amp;doi=10.1111%2fejss.12671&amp;partnerID=40&amp;md5=25365847ee329e93ef3da6d5ec718136</t>
  </si>
  <si>
    <t>Belowground microbiota and the health of tree crops</t>
  </si>
  <si>
    <t>JUN</t>
  </si>
  <si>
    <t>10.3389/fmicb.2018.01006</t>
  </si>
  <si>
    <t>https://www.scopus.com/inward/record.uri?eid=2-s2.0-85048050578&amp;doi=10.3389%2ffmicb.2018.01006&amp;partnerID=40&amp;md5=1df9a601437ebce7083ad924088f6da2</t>
  </si>
  <si>
    <t>Belowground microbiota; Biological control agents; Endophytes; Mycorrhiza; Phytoparasitic nematodes; Plant-growth-promoting microorganisms; Soil-borne pathogens; Tree crops</t>
  </si>
  <si>
    <t>Wang Q., Li J., Chen J., Hong H., Lu H., Liu J., Dong Y., Yan C.</t>
  </si>
  <si>
    <t>Glomalin-related soil protein deposition and carbon sequestration in the Old Yellow River delta</t>
  </si>
  <si>
    <t>10.1016/j.scitotenv.2017.12.303</t>
  </si>
  <si>
    <t>https://www.scopus.com/inward/record.uri?eid=2-s2.0-85039853605&amp;doi=10.1016%2fj.scitotenv.2017.12.303&amp;partnerID=40&amp;md5=9309db3f4d4703444f9ea5f26e284bee</t>
  </si>
  <si>
    <t>Glomalin-related soil protein; Iron; Sediment carbon; Sediment fertility; Sediment nitrogen; Terrigenous carbon</t>
  </si>
  <si>
    <t>Xu J., Liu S., Song S., Guo H., Tang J., Yong J.W.H., Ma Y., Chen X.</t>
  </si>
  <si>
    <t>Arbuscular mycorrhizal fungi influence decomposition and the associated soil microbial community under different soil phosphorus availability</t>
  </si>
  <si>
    <t>10.1016/j.soilbio.2018.02.010</t>
  </si>
  <si>
    <t>https://www.scopus.com/inward/record.uri?eid=2-s2.0-85042211605&amp;doi=10.1016%2fj.soilbio.2018.02.010&amp;partnerID=40&amp;md5=245476d51fff8253a53b44c9b7504153</t>
  </si>
  <si>
    <t>15N isotope; Arbuscular mycorrhizal fungi (AMF); Decomposition; High-throughput sequencing; Hyphosphere; Microbial community; Soil phosphorus availability</t>
  </si>
  <si>
    <t>Asemaninejad A., Thorn R.G., Branfireun B.A., Lindo Z.</t>
  </si>
  <si>
    <t>Climate change favours specific fungal communities in boreal peatlands</t>
  </si>
  <si>
    <t>10.1016/j.soilbio.2018.01.029</t>
  </si>
  <si>
    <t>https://www.scopus.com/inward/record.uri?eid=2-s2.0-85041408571&amp;doi=10.1016%2fj.soilbio.2018.01.029&amp;partnerID=40&amp;md5=465ae4fba293505f382ec9632462c45a</t>
  </si>
  <si>
    <t>Climate change; Decomposers; Illumina MiSeq; Mycorrhizal fungi; Peatlands; Warming</t>
  </si>
  <si>
    <t>Lallemand F., Robionek A., Courty P.-E., Selosse M.-A.</t>
  </si>
  <si>
    <t>The 13C content of the orchid Epipactis palustris (L.) Crantz responds to light as in autotrophic plants</t>
  </si>
  <si>
    <t>Botany Letters</t>
  </si>
  <si>
    <t>10.1080/23818107.2017.1418430</t>
  </si>
  <si>
    <t>https://www.scopus.com/inward/record.uri?eid=2-s2.0-85041129799&amp;doi=10.1080%2f23818107.2017.1418430&amp;partnerID=40&amp;md5=3716269fdabf77bb35ab86ca81261843</t>
  </si>
  <si>
    <t>13C; carbon nutrition; Epipactis; mixotrophy; mycoheterotrophy; orchids; partial mycoheterotrophy; response to shade</t>
  </si>
  <si>
    <t>Trazzi P.A., Higa A.R., Dieckow J., Mangrich A.S., Higa R.C.V.</t>
  </si>
  <si>
    <t>Ciencia Florestal</t>
  </si>
  <si>
    <t>10.5902/1980509832128</t>
  </si>
  <si>
    <t>https://www.scopus.com/inward/record.uri?eid=2-s2.0-85049524969&amp;doi=10.5902%2f1980509832128&amp;partnerID=40&amp;md5=bc06f73c03702bf05893f37b8e2127cc</t>
  </si>
  <si>
    <t>Plant growth; Pyrogenic carbon; Soil fertility</t>
  </si>
  <si>
    <t>Russulaceae: a new genomic dataset to study ecosystem function and evolutionary diversification of ectomycorrhizal fungi with their tree associates</t>
  </si>
  <si>
    <t>10.1111/nph.15001</t>
  </si>
  <si>
    <t>https://www.scopus.com/inward/record.uri?eid=2-s2.0-85041231046&amp;doi=10.1111%2fnph.15001&amp;partnerID=40&amp;md5=01894c8100bb2b13af18bfa66b680759</t>
  </si>
  <si>
    <t>decomposition; functional diversity; fungal niche; secondary metabolism; symbiosis</t>
  </si>
  <si>
    <t>Schweiger J.M.-I., Bidartondo M.I., Gebauer G.</t>
  </si>
  <si>
    <t>Stable isotope signatures of underground seedlings reveal the organic matter gained by adult orchids from mycorrhizal fungi</t>
  </si>
  <si>
    <t>10.1111/1365-2435.13042</t>
  </si>
  <si>
    <t>https://www.scopus.com/inward/record.uri?eid=2-s2.0-85041198043&amp;doi=10.1111%2f1365-2435.13042&amp;partnerID=40&amp;md5=08bad439592e9dc0c3bc200864782adb</t>
  </si>
  <si>
    <t>carbon (C); fungi; hydrogen (H); mycoheterotrophy; orchid mycorrhiza; orchid seedlings; protocorm; rhizoctonia</t>
  </si>
  <si>
    <t>Fay M.F., Feustel M., Newlands C., Gebauer G.</t>
  </si>
  <si>
    <t>Inferring the mycorrhizal status of introduced plants of Cypripedium calceolus (Orchidaceae) in northern England using stable isotope analysis</t>
  </si>
  <si>
    <t>Botanical Journal of the Linnean Society</t>
  </si>
  <si>
    <t>10.1093/botlinnean/box104</t>
  </si>
  <si>
    <t>https://www.scopus.com/inward/record.uri?eid=2-s2.0-85044852628&amp;doi=10.1093%2fbotlinnean%2fbox104&amp;partnerID=40&amp;md5=fb81e9ed49ff7b98a1151166740580d3</t>
  </si>
  <si>
    <t>Hydrogen; Isotope enrichment; Lady's slipper orchid; Mycorrhizas; Nitrogen; Oxygen; Rhizoctonia</t>
  </si>
  <si>
    <t>Sun D., Hale L., Kar G., Soolanayakanahally R., Adl S.</t>
  </si>
  <si>
    <t>Phosphorus recovery and reuse by pyrolysis: Applications for agriculture and environment</t>
  </si>
  <si>
    <t>Chemosphere</t>
  </si>
  <si>
    <t>10.1016/j.chemosphere.2017.12.035</t>
  </si>
  <si>
    <t>https://www.scopus.com/inward/record.uri?eid=2-s2.0-85042317587&amp;doi=10.1016%2fj.chemosphere.2017.12.035&amp;partnerID=40&amp;md5=8d7c8b3c5cea664d6267bed8ade08590</t>
  </si>
  <si>
    <t>Biochar; Chemical leaching; Mycorrhizal fungi; Phosphorus; Phosphorus solubilizing microorganisms; Soil amendment</t>
  </si>
  <si>
    <t>Wurzburger N., Clemmensen K.E.</t>
  </si>
  <si>
    <t>10.1111/1365-2745.12922</t>
  </si>
  <si>
    <t>https://www.scopus.com/inward/record.uri?eid=2-s2.0-85041966141&amp;doi=10.1111%2f1365-2745.12922&amp;partnerID=40&amp;md5=9af28c9da863c6ced426887c4303353f</t>
  </si>
  <si>
    <t>Editorial</t>
  </si>
  <si>
    <t>Jacobs L.M., Sulman B.N., Brzostek E.R., Feighery J.J., Phillips R.P.</t>
  </si>
  <si>
    <t>Interactions among decaying leaf litter, root litter and soil organic matter vary with mycorrhizal type</t>
  </si>
  <si>
    <t>10.1111/1365-2745.12921</t>
  </si>
  <si>
    <t>https://www.scopus.com/inward/record.uri?eid=2-s2.0-85041961459&amp;doi=10.1111%2f1365-2745.12921&amp;partnerID=40&amp;md5=af4ac6b463247bb75a13aadd06392e0f</t>
  </si>
  <si>
    <t>Jeske E.S., Tian H., Hanford K., Walters D.T., Drijber R.A.</t>
  </si>
  <si>
    <t>Long-term nitrogen fertilization reduces extraradical biomass of arbuscular mycorrhizae in a maize (Zea mays L.) cropping system</t>
  </si>
  <si>
    <t>Agriculture, Ecosystems and Environment</t>
  </si>
  <si>
    <t>10.1016/j.agee.2017.11.014</t>
  </si>
  <si>
    <t>https://www.scopus.com/inward/record.uri?eid=2-s2.0-85035218056&amp;doi=10.1016%2fj.agee.2017.11.014&amp;partnerID=40&amp;md5=07a3c75f188617f00640f8f4a80e1e8c</t>
  </si>
  <si>
    <t>C16:1cis11; Extraradical biomass; Soil carbon; Soybean; Temporal dynamics</t>
  </si>
  <si>
    <t>Philpott T.J., Barker J.S., Prescott C.E., Grayston S.J.</t>
  </si>
  <si>
    <t>Limited effects of variable-retention harvesting on fungal communities decomposing fine roots in coastal temperate rainforests</t>
  </si>
  <si>
    <t>Applied and Environmental Microbiology</t>
  </si>
  <si>
    <t>e02061-17</t>
  </si>
  <si>
    <t>10.1128/AEM.02061-17</t>
  </si>
  <si>
    <t>https://www.scopus.com/inward/record.uri?eid=2-s2.0-85040643644&amp;doi=10.1128%2fAEM.02061-17&amp;partnerID=40&amp;md5=6f85a5497589dc7eb7988ac2d507e6c4</t>
  </si>
  <si>
    <t>Decomposition; Forest management; Fungal ecology; Soil microbiology</t>
  </si>
  <si>
    <t>Anthropogenic nitrogen deposition alters growth responses of European beech (Fagus sylvativa L.) to climate change</t>
  </si>
  <si>
    <t>10.1016/j.envpol.2017.10.024</t>
  </si>
  <si>
    <t>https://www.scopus.com/inward/record.uri?eid=2-s2.0-85031806324&amp;doi=10.1016%2fj.envpol.2017.10.024&amp;partnerID=40&amp;md5=5b7e211fdcf8e893fe801eb214d33a94</t>
  </si>
  <si>
    <t>Ecosystem functioning; Global change; Interaction effects; Luxembourg; Radial increment</t>
  </si>
  <si>
    <t>Wang Q., Lu H., Chen J., Hong H., Liu J., Li J., Yan C.</t>
  </si>
  <si>
    <t>Spatial distribution of glomalin-related soil protein and its relationship with sediment carbon sequestration across a mangrove forest</t>
  </si>
  <si>
    <t>613-614</t>
  </si>
  <si>
    <t>10.1016/j.scitotenv.2017.09.140</t>
  </si>
  <si>
    <t>https://www.scopus.com/inward/record.uri?eid=2-s2.0-85029521464&amp;doi=10.1016%2fj.scitotenv.2017.09.140&amp;partnerID=40&amp;md5=21a40df80234c352a9dc16ba1960e9de</t>
  </si>
  <si>
    <t>Glomalin-related soil protein; Mangrove forest; Particulate organic carbon; Pore water; Sediment carbon</t>
  </si>
  <si>
    <t>Fry E.L., De Long J.R., Bardgett R.D.</t>
  </si>
  <si>
    <t>Plant communities as modulators of soil carbon storage</t>
  </si>
  <si>
    <t>Soil Carbon Storage: Modulators, Mechanisms and Modeling</t>
  </si>
  <si>
    <t>10.1016/B978-0-12-812766-7.00002-0</t>
  </si>
  <si>
    <t>https://www.scopus.com/inward/record.uri?eid=2-s2.0-85081383624&amp;doi=10.1016%2fB978-0-12-812766-7.00002-0&amp;partnerID=40&amp;md5=5bbef3a36650045263fb32836346379f</t>
  </si>
  <si>
    <t>Cellulose; Decomposition; Lignin; Mycorrhizae; Plant functional traits; Plant-soil feedbacks; Priming effect; Root exudation; Soil organic matter</t>
  </si>
  <si>
    <t>Pavao-Zuckerman M.A.</t>
  </si>
  <si>
    <t>Soil ecology</t>
  </si>
  <si>
    <t>Encyclopedia of Ecology</t>
  </si>
  <si>
    <t>10.1016/B978-0-444-63768-0.00850-7</t>
  </si>
  <si>
    <t>https://www.scopus.com/inward/record.uri?eid=2-s2.0-85079252862&amp;doi=10.1016%2fB978-0-444-63768-0.00850-7&amp;partnerID=40&amp;md5=0ca03376947e4918e661cfe022215138</t>
  </si>
  <si>
    <t>Aggregates; Biodiversity; Biogeochemistry; Carbon sequestration; Decomposition; Detritus; Fauna; Food webs; Heterogeneity; Hierarchy; Microbes; Mycorrhizae; Nutrient cycles</t>
  </si>
  <si>
    <t>Rumpel C., Chabbi A.</t>
  </si>
  <si>
    <t>Plant-soil interactions control cnp coupling and decoupling processes in agroecosystems with perennial vegetation</t>
  </si>
  <si>
    <t>Agroecosystem Diversity: Reconciling Contemporary Agriculture and Environmental Quality</t>
  </si>
  <si>
    <t>10.1016/B978-0-12-811050-8.00001-7</t>
  </si>
  <si>
    <t>https://www.scopus.com/inward/record.uri?eid=2-s2.0-85077688835&amp;doi=10.1016%2fB978-0-12-811050-8.00001-7&amp;partnerID=40&amp;md5=a3ef0684c7b627afcb707ec744c12b34</t>
  </si>
  <si>
    <t>Biogeochemical feedback; C; Element cycling; Microbial communities; N and p coupling; Rhizosphere; Soil-root interface</t>
  </si>
  <si>
    <t>Voronina E.Y., Malysheva E.F., Malysheva V.F., Dmitriev G.V., Tiunov A.V., Kovalenko A.E.</t>
  </si>
  <si>
    <t>A mixotrophy is in question: New data on fungal community associated with photosynthetic terrestrial orchid Goodyera repens</t>
  </si>
  <si>
    <t>Botanica Pacifica</t>
  </si>
  <si>
    <t>10.17581/bp.2018.07106</t>
  </si>
  <si>
    <t>https://www.scopus.com/inward/record.uri?eid=2-s2.0-85047307429&amp;doi=10.17581%2fbp.2018.07106&amp;partnerID=40&amp;md5=48199b74cacbf0a512fef93d2fdd9e3d</t>
  </si>
  <si>
    <t>Fungal diversity; Mycorrhizal symbionts; NrITS; Orchidaceae; Root endophytes; Stable isotope analysis</t>
  </si>
  <si>
    <t>Schiebold J.M.-I., Bidartondo M.I., Lenhard F., Makiola A., Gebauer G.</t>
  </si>
  <si>
    <t>Exploiting mycorrhizas in broad daylight: Partial mycoheterotrophy is a common nutritional strategy in meadow orchids</t>
  </si>
  <si>
    <t>10.1111/1365-2745.12831</t>
  </si>
  <si>
    <t>https://www.scopus.com/inward/record.uri?eid=2-s2.0-85038002898&amp;doi=10.1111%2f1365-2745.12831&amp;partnerID=40&amp;md5=d25bb6dbebabb63b8116f5e547e1acd6</t>
  </si>
  <si>
    <t>carbon; fungi; hydrogen; nitrogen; orchid mycorrhiza; Orchidaceae; plant-soil (below-ground) interactions; rhizoctonia; stable isotopes; symbiosis</t>
  </si>
  <si>
    <t>Arbuscular common mycorrhizal networks mediate intra- and interspecific interactions of two prairie grasses</t>
  </si>
  <si>
    <t>10.1007/s00572-017-0801-0</t>
  </si>
  <si>
    <t>https://www.scopus.com/inward/record.uri?eid=2-s2.0-85030700890&amp;doi=10.1007%2fs00572-017-0801-0&amp;partnerID=40&amp;md5=c555f59e1bf54413a23e04390b7eb703</t>
  </si>
  <si>
    <t>Andropogon gerardii; Carbon stable isotope; Common mycorrhizal networks; Competition; Elymus canadensis; Manganese</t>
  </si>
  <si>
    <t>Zieger S.L., Ammerschubert S., Polle A., Scheu S.</t>
  </si>
  <si>
    <t>Root-derived carbon and nitrogen from beech and ash trees differentially fuel soil animal food webs of deciduous forests</t>
  </si>
  <si>
    <t>e0189502</t>
  </si>
  <si>
    <t>10.1371/journal.pone.0189502</t>
  </si>
  <si>
    <t>https://www.scopus.com/inward/record.uri?eid=2-s2.0-85038262698&amp;doi=10.1371%2fjournal.pone.0189502&amp;partnerID=40&amp;md5=88aa249d48dd88c3b2c5f0519413492b</t>
  </si>
  <si>
    <t>Lekberg Y., Wagner V., Rummel A., McLeod M., Ramsey P.W.</t>
  </si>
  <si>
    <t>Strong indirect herbicide effects on mycorrhizal associations through plant community shifts and secondary invasions</t>
  </si>
  <si>
    <t>10.1002/eap.1613</t>
  </si>
  <si>
    <t>https://www.scopus.com/inward/record.uri?eid=2-s2.0-85037127151&amp;doi=10.1002%2feap.1613&amp;partnerID=40&amp;md5=b699f5d8ffbd2878d972071a1f35c626</t>
  </si>
  <si>
    <t>Stendahl J., Berg B., Lindahl B.D.</t>
  </si>
  <si>
    <t>Manganese availability is negatively associated with carbon storage in northern coniferous forest humus layers</t>
  </si>
  <si>
    <t>10.1038/s41598-017-15801-y</t>
  </si>
  <si>
    <t>https://www.scopus.com/inward/record.uri?eid=2-s2.0-85034113318&amp;doi=10.1038%2fs41598-017-15801-y&amp;partnerID=40&amp;md5=c6da23c9b032d7d72f4cc9461a18f56f</t>
  </si>
  <si>
    <t>Kyaschenko J., Clemmensen K.E., Karltun E., Lindahl B.D.</t>
  </si>
  <si>
    <t>Below-ground organic matter accumulation along a boreal forest fertility gradient relates to guild interaction within fungal communities</t>
  </si>
  <si>
    <t>10.1111/ele.12862</t>
  </si>
  <si>
    <t>https://www.scopus.com/inward/record.uri?eid=2-s2.0-85031732068&amp;doi=10.1111%2fele.12862&amp;partnerID=40&amp;md5=3b55b205dc4eae4e1726651da6601232</t>
  </si>
  <si>
    <t>Maboreke H.R., Graf M., Grams T.E.E., Herrmann S., Scheu S., Ruess L.</t>
  </si>
  <si>
    <t>Multitrophic interactions in the rhizosphere of a temperate forest tree affect plant carbon flow into the belowground food web</t>
  </si>
  <si>
    <t>10.1016/j.soilbio.2017.09.002</t>
  </si>
  <si>
    <t>https://www.scopus.com/inward/record.uri?eid=2-s2.0-85030152292&amp;doi=10.1016%2fj.soilbio.2017.09.002&amp;partnerID=40&amp;md5=bdf0ac7dc71212f5ec8e1f997a2a9fc7</t>
  </si>
  <si>
    <t>13C labelling; Collembola; Oak; Plant parasitic nematodes; PLFAs</t>
  </si>
  <si>
    <t>Xu M., Li X., Cai X., Li X., Christie P., Zhang J.</t>
  </si>
  <si>
    <t>Land use alters arbuscular mycorrhizal fungal communities and their potential role in carbon sequestration on the Tibetan Plateau</t>
  </si>
  <si>
    <t>10.1038/s41598-017-03248-0</t>
  </si>
  <si>
    <t>https://www.scopus.com/inward/record.uri?eid=2-s2.0-85020380271&amp;doi=10.1038%2fs41598-017-03248-0&amp;partnerID=40&amp;md5=7dcbb7be6678ee2b7abcf95a68f41c8e</t>
  </si>
  <si>
    <t>Liu J., Ye S.-Y., Wang J.-S.</t>
  </si>
  <si>
    <t>Organic Carbon Distribution, Function and Its Burial Processes in the Coastal Wetlands of the Liaohe Delta, Northeast of China</t>
  </si>
  <si>
    <t>Acta Geoscientica Sinica</t>
  </si>
  <si>
    <t>10.3975/cagsb.2017.s1.22</t>
  </si>
  <si>
    <t>https://www.scopus.com/inward/record.uri?eid=2-s2.0-85042618475&amp;doi=10.3975%2fcagsb.2017.s1.22&amp;partnerID=40&amp;md5=0b5bf12041b00fbcc9b18f1775c62d00</t>
  </si>
  <si>
    <t>Biogenic silica; Glomalin; Heavy metal; Liaohe Delta; Stable isotope</t>
  </si>
  <si>
    <t>Qin H., Niu L., Wu Q., Chen J., Li Y., Liang C., Xu Q., Fuhrmann J.J., Shen Y.</t>
  </si>
  <si>
    <t>Bamboo forest expansion increases soil organic carbon through its effect on soil arbuscular mycorrhizal fungal community and abundance</t>
  </si>
  <si>
    <t>10.1007/s11104-017-3415-6</t>
  </si>
  <si>
    <t>https://www.scopus.com/inward/record.uri?eid=2-s2.0-85029576251&amp;doi=10.1007%2fs11104-017-3415-6&amp;partnerID=40&amp;md5=aa7b0d5f89febb4534891bba497f47b6</t>
  </si>
  <si>
    <t>Arbuscular mycorrhizal fungal community; Glomalin-related soil protein; Moso bamboo forest expansion; Soil C sequestration; Water-stable macroaggregates</t>
  </si>
  <si>
    <t>Tamm Review: On the nature of the nitrogen limitation to plant growth in Fennoscandian boreal forests</t>
  </si>
  <si>
    <t>10.1016/j.foreco.2017.04.045</t>
  </si>
  <si>
    <t>https://www.scopus.com/inward/record.uri?eid=2-s2.0-85020940844&amp;doi=10.1016%2fj.foreco.2017.04.045&amp;partnerID=40&amp;md5=428c481a8d00f4d50fa5741af16db3ae</t>
  </si>
  <si>
    <t>Boreal forests; Forest management; Forest production; Mycorrhiza; Nitrogen cycling; Soil microbial community</t>
  </si>
  <si>
    <t>Heyburn J., McKenzie P., Crawley M.J., Fornara D.A.</t>
  </si>
  <si>
    <t>Long-term belowground effects of grassland management: The key role of liming: The</t>
  </si>
  <si>
    <t>10.1002/eap.1585</t>
  </si>
  <si>
    <t>https://www.scopus.com/inward/record.uri?eid=2-s2.0-85028724529&amp;doi=10.1002%2feap.1585&amp;partnerID=40&amp;md5=7c0f7f846a927159c607a6683a874ac4</t>
  </si>
  <si>
    <t>carbon sequestration; ecosystem services; grassland management; grazing; nitrogen cycling; nutrient fertilization; soil pH</t>
  </si>
  <si>
    <t>10.1007/s11104-017-3350-6</t>
  </si>
  <si>
    <t>Lallemand F., Puttsepp U., Lang M., Luud A., Courty P.-E., Palancade C., Selosse M.-A.</t>
  </si>
  <si>
    <t>Mixotrophy in Pyroleae (Ericaceae) from Estonian boreal forests does not vary with light or tissue age</t>
  </si>
  <si>
    <t>10.1093/aob/mcx054</t>
  </si>
  <si>
    <t>https://www.scopus.com/inward/record.uri?eid=2-s2.0-85029675663&amp;doi=10.1093%2faob%2fmcx054&amp;partnerID=40&amp;md5=d51f1720740416d088458fe8562f8e56</t>
  </si>
  <si>
    <t>13C; Chimaphila; Ericaceae; mixotrophy; Moneses; mycoheterotrophy; N content; orchids; Orthilia; Pyrola; response to light; stable isotopes</t>
  </si>
  <si>
    <t>Belowground microbes mitigate plant-plant competition</t>
  </si>
  <si>
    <t>Plant Science</t>
  </si>
  <si>
    <t>10.1016/j.plantsci.2017.06.006</t>
  </si>
  <si>
    <t>https://www.scopus.com/inward/record.uri?eid=2-s2.0-85022079199&amp;doi=10.1016%2fj.plantsci.2017.06.006&amp;partnerID=40&amp;md5=37ccde2d0454f56a87d20fdb3d371c9d</t>
  </si>
  <si>
    <t>Arbuscular mycorrhizal fungi; Bradyrhizobium sp.; Dimorphandra wilsonii; Nitrogen; Plan-plant competition; Urochloa decumbens</t>
  </si>
  <si>
    <t>Jacquemyn H., Waud M., Brys R., Lallemand F., Courty P.-E., Robionek A., Selosse M.-A.</t>
  </si>
  <si>
    <t>Mycorrhizal associations and trophic modes in coexisting orchids: An ecological continuum between auto-and mixotrophy</t>
  </si>
  <si>
    <t>10.3389/fpls.2017.01497</t>
  </si>
  <si>
    <t>https://www.scopus.com/inward/record.uri?eid=2-s2.0-85029103282&amp;doi=10.3389%2ffpls.2017.01497&amp;partnerID=40&amp;md5=3d2169d3fec1ac543bda1650a4c12f34</t>
  </si>
  <si>
    <t>Carbon nutrition; Coexistence; Mycoheterotrophy; Orchids; Partial mycoheterotrophy; Rhizoctonia</t>
  </si>
  <si>
    <t>Zieger S.L., Holczinger A., Sommer J., Rath M., Kuzyakov Y., Polle A., Maraun M., Scheu S.</t>
  </si>
  <si>
    <t>Beech trees fuel soil animal food webs via root-derived nitrogen</t>
  </si>
  <si>
    <t>Basic and Applied Ecology</t>
  </si>
  <si>
    <t>10.1016/j.baae.2017.06.006</t>
  </si>
  <si>
    <t>https://www.scopus.com/inward/record.uri?eid=2-s2.0-85026376327&amp;doi=10.1016%2fj.baae.2017.06.006&amp;partnerID=40&amp;md5=b91f1824e255fc9d288c93f39412c9d6</t>
  </si>
  <si>
    <t>Basal resources; Mycorrhiza; Pulse labeling; Rhizodeposits; Stable isotopes</t>
  </si>
  <si>
    <t>Fang X., Zhang J., Meng M., Guo X., Wu Y., Liu X., Zhao K., Ding L., Shao Y., Fu W.</t>
  </si>
  <si>
    <t>Forest-type shift and subsequent intensive management affected soil organic carbon and microbial community in southeastern China</t>
  </si>
  <si>
    <t>European Journal of Forest Research</t>
  </si>
  <si>
    <t>10.1007/s10342-017-1065-0</t>
  </si>
  <si>
    <t>https://www.scopus.com/inward/record.uri?eid=2-s2.0-85023191912&amp;doi=10.1007%2fs10342-017-1065-0&amp;partnerID=40&amp;md5=49c8d193e45c31b207391891c46c8242</t>
  </si>
  <si>
    <t>13C-NMR; Chinese hickory forest; Coniferous and broadleaf mixed forest; Moso bamboo forest; Phospholipid-derived fatty acids; Soil organic carbon</t>
  </si>
  <si>
    <t>Lipid transfer from plants to arbuscular mycorrhiza fungi</t>
  </si>
  <si>
    <t>eLife</t>
  </si>
  <si>
    <t>e29107</t>
  </si>
  <si>
    <t>10.7554/eLife.29107</t>
  </si>
  <si>
    <t>https://www.scopus.com/inward/record.uri?eid=2-s2.0-85028971227&amp;doi=10.7554%2feLife.29107&amp;partnerID=40&amp;md5=9f67101a23fd7957d118a6f88ec6503c</t>
  </si>
  <si>
    <t>Sommer J., Dippold M.A., Zieger S.L., Handke A., Scheu S., Kuzyakov Y.</t>
  </si>
  <si>
    <t>The tree species matters: Belowground carbon input and utilization in the myco-rhizosphere</t>
  </si>
  <si>
    <t>European Journal of Soil Biology</t>
  </si>
  <si>
    <t>10.1016/j.ejsobi.2017.07.001</t>
  </si>
  <si>
    <t>https://www.scopus.com/inward/record.uri?eid=2-s2.0-85024384192&amp;doi=10.1016%2fj.ejsobi.2017.07.001&amp;partnerID=40&amp;md5=2c1720acad576cd3952da03ec613b932</t>
  </si>
  <si>
    <t>13CO2 labeling; Carbon cycle; Deciduous forest; PLFA; Species effect; Tree rhizodeposition</t>
  </si>
  <si>
    <t>Sui X., Wu Z., Lin C., Zhou S.</t>
  </si>
  <si>
    <t>Terrestrially derived glomalin-related soil protein quality as a potential ecological indicator in a peri-urban watershed</t>
  </si>
  <si>
    <t>Environmental Monitoring and Assessment</t>
  </si>
  <si>
    <t>10.1007/s10661-017-6012-5</t>
  </si>
  <si>
    <t>https://www.scopus.com/inward/record.uri?eid=2-s2.0-85020265205&amp;doi=10.1007%2fs10661-017-6012-5&amp;partnerID=40&amp;md5=02084b9ae7e5efe291ee69dd5f0f9704</t>
  </si>
  <si>
    <t>Environmental factors; Glomalin-related soil protein quality; Land cover; Peri-urban watershed</t>
  </si>
  <si>
    <t>Lorberau K.E., Botnen S.S., Mundra S., Aas A.B., Rozema J., Eidesen P.B., Kauserud H.</t>
  </si>
  <si>
    <t>Does warming by open-top chambers induce change in the root-associated fungal community of the arctic dwarf shrub Cassiope tetragona (Ericaceae)?</t>
  </si>
  <si>
    <t>10.1007/s00572-017-0767-y</t>
  </si>
  <si>
    <t>https://www.scopus.com/inward/record.uri?eid=2-s2.0-85016096894&amp;doi=10.1007%2fs00572-017-0767-y&amp;partnerID=40&amp;md5=c6978f01fcbaa9ce403390a978e65438</t>
  </si>
  <si>
    <t>Arctic; Cassiope tetragona; Climate change; Ectomycorrhiza; Ericoid mycorrhiza; High-throughput sequencing; Open-top chambers; OTCs; Root-associated fungi; Svalbard</t>
  </si>
  <si>
    <t>Forest soil bacteria: Diversity, involvement in ecosystem processes, and response to global change</t>
  </si>
  <si>
    <t>Microbiology and Molecular Biology Reviews</t>
  </si>
  <si>
    <t>e00063</t>
  </si>
  <si>
    <t>10.1128/MMBR.00063-16</t>
  </si>
  <si>
    <t>https://www.scopus.com/inward/record.uri?eid=2-s2.0-85019817494&amp;doi=10.1128%2fMMBR.00063-16&amp;partnerID=40&amp;md5=9072491f252896f69fca388c9f257108</t>
  </si>
  <si>
    <t>Bacteria; Decomposition; Ecosystem processes; Forest ecology; Global change; Litter; Nutrient cycling; Soil</t>
  </si>
  <si>
    <t>Wurzburger N., Brookshire E.N.J.</t>
  </si>
  <si>
    <t>Experimental evidence that mycorrhizal nitrogen strategies affect soil carbon</t>
  </si>
  <si>
    <t>10.1002/ecy.1827</t>
  </si>
  <si>
    <t>https://www.scopus.com/inward/record.uri?eid=2-s2.0-85018988044&amp;doi=10.1002%2fecy.1827&amp;partnerID=40&amp;md5=7794eb2a09c871095ed019a502ec685d</t>
  </si>
  <si>
    <t>arbuscular mycorrhizal fungi; carbon; decomposition; ecosystem biogeochemistry; ectomycorrhizal fungi; nitrogen; soil organic matter</t>
  </si>
  <si>
    <t>Zhou B., Zhang L., Yang W., Mao Y., Chen C., Xing S.</t>
  </si>
  <si>
    <t>Differential uptake of soluble organic and inorganic nitrogen by two fruit species: Dimocarpus longan Lour. and Eriobotrya japonica Lindl.</t>
  </si>
  <si>
    <t>Journal of Soils and Sediments</t>
  </si>
  <si>
    <t>10.1007/s11368-016-1635-7</t>
  </si>
  <si>
    <t>https://www.scopus.com/inward/record.uri?eid=2-s2.0-85007436488&amp;doi=10.1007%2fs11368-016-1635-7&amp;partnerID=40&amp;md5=cde2db1e4bf65b88d30d40ccb5f07841</t>
  </si>
  <si>
    <t>Dimocarpus longan Lour; Eriobotrya japonica Lindl; Glycine-2-13C-15N; Isotope tracing; Uptake</t>
  </si>
  <si>
    <t>Giri B., Saxena B.</t>
  </si>
  <si>
    <t>Response of arbuscular mycorrhizal fungi to global climate change and their role in terrestrial ecosystem C and N cycling</t>
  </si>
  <si>
    <t>Mycorrhiza - Function, Diversity, State of the Art: Fourth Edition</t>
  </si>
  <si>
    <t>10.1007/978-3-319-53064-2_15</t>
  </si>
  <si>
    <t>https://www.scopus.com/inward/record.uri?eid=2-s2.0-85033451168&amp;doi=10.1007%2f978-3-319-53064-2_15&amp;partnerID=40&amp;md5=5017f41f51984a68d4b35d42a3c5852d</t>
  </si>
  <si>
    <t>Schiebold J.M.-I., Bidartondo M.I., Karasch P., Gravendeel B., Gebauer G.</t>
  </si>
  <si>
    <t>You are what you get from your fungi: Nitrogen stable isotope patterns in Epipactis species</t>
  </si>
  <si>
    <t>10.1093/aob/mcw265</t>
  </si>
  <si>
    <t>https://www.scopus.com/inward/record.uri?eid=2-s2.0-85019928938&amp;doi=10.1093%2faob%2fmcw265&amp;partnerID=40&amp;md5=9eb0daecc9fa2349fc5249297e994b0f</t>
  </si>
  <si>
    <t>Ascomycetes; Basidiomycetes; Carbon; Epipactis; Mycorrhiza; Nitrogen; Orchidaceae; Partial mycoheterotrophy; Stable isotopes; Tuber</t>
  </si>
  <si>
    <t>Andersen K.M., Mayor J.R., Turner B.L.</t>
  </si>
  <si>
    <t>Plasticity in nitrogen uptake among plant species with contrasting nutrient acquisition strategies in a tropical forest</t>
  </si>
  <si>
    <t>10.1002/ecy.1793</t>
  </si>
  <si>
    <t>https://www.scopus.com/inward/record.uri?eid=2-s2.0-85018562785&amp;doi=10.1002%2fecy.1793&amp;partnerID=40&amp;md5=29de6589abb3db24655ced496659a2ec</t>
  </si>
  <si>
    <t>ammonium; co-existence; glycine; nitrate; nitrogen partitioning; nutrient acquisition strategy; organic nitrogen; plant-soil interactions; plasticity; root traits; stable isotopes; tropical forest</t>
  </si>
  <si>
    <t>Singh A.K., Rai A., Pandey V., Singh N.</t>
  </si>
  <si>
    <t>Contribution of glomalin to dissolve organic carbon under different land uses and seasonality in dry tropics</t>
  </si>
  <si>
    <t>10.1016/j.jenvman.2017.01.041</t>
  </si>
  <si>
    <t>https://www.scopus.com/inward/record.uri?eid=2-s2.0-85012292694&amp;doi=10.1016%2fj.jenvman.2017.01.041&amp;partnerID=40&amp;md5=17dc344e03f5d80c38c727ab98848f48</t>
  </si>
  <si>
    <t>Glomalin related soil protein; Land use system; Seasonal variation; Soil organic carbon; Tropical dry forest; Water soluble organic carbon</t>
  </si>
  <si>
    <t>Gottshall C.B., Cooper M., Emery S.M.</t>
  </si>
  <si>
    <t>Activity, diversity and function of arbuscular mycorrhizae vary with changes in agricultural management intensity</t>
  </si>
  <si>
    <t>10.1016/j.agee.2017.03.011</t>
  </si>
  <si>
    <t>https://www.scopus.com/inward/record.uri?eid=2-s2.0-85015734566&amp;doi=10.1016%2fj.agee.2017.03.011&amp;partnerID=40&amp;md5=5016e534cab02ddf92bccd08360769ff</t>
  </si>
  <si>
    <t>Diversity; Glomalin; Soil carbon; Sustainable agriculture</t>
  </si>
  <si>
    <t>Lin G., Zeng D.-H.</t>
  </si>
  <si>
    <t>Heterogeneity in decomposition rates and annual litter inputs within fine-root architecture of tree species: Implications for forest soil carbon accumulation</t>
  </si>
  <si>
    <t>10.1016/j.foreco.2017.01.012</t>
  </si>
  <si>
    <t>https://www.scopus.com/inward/record.uri?eid=2-s2.0-85009826126&amp;doi=10.1016%2fj.foreco.2017.01.012&amp;partnerID=40&amp;md5=5e4962a43a6ff16bf3dbf5eb89b5946a</t>
  </si>
  <si>
    <t>Litter quality; Meta-analysis; Mycorrhizal type; Root diameter; Root order; Turnover rate</t>
  </si>
  <si>
    <t>Pickles B.J., Wilhelm R., Asay A.K., Hahn A.S., Simard S.W., Mohn W.W.</t>
  </si>
  <si>
    <t>Transfer of 13C between paired Douglas-fir seedlings reveals plant kinship effects and uptake of exudates by ectomycorrhizas</t>
  </si>
  <si>
    <t>10.1111/nph.14325</t>
  </si>
  <si>
    <t>https://www.scopus.com/inward/record.uri?eid=2-s2.0-85005992341&amp;doi=10.1111%2fnph.14325&amp;partnerID=40&amp;md5=55c3ab587addff4aeeacdfe94735f079</t>
  </si>
  <si>
    <t>carbon (C) allocation; ectomycorrhizas; host relatedness; interior Douglas-fir; phospholipid fatty acid (PLFA); stable-isotope probing</t>
  </si>
  <si>
    <t>Singh G., Sangwan S., Narwal E., Annapurna K.</t>
  </si>
  <si>
    <t>Microbial proteins and soil carbon sequestration</t>
  </si>
  <si>
    <t>Adaptive Soil Management: From Theory to Practices</t>
  </si>
  <si>
    <t>10.1007/978-981-10-3638-5_6</t>
  </si>
  <si>
    <t>https://www.scopus.com/inward/record.uri?eid=2-s2.0-85056361975&amp;doi=10.1007%2f978-981-10-3638-5_6&amp;partnerID=40&amp;md5=557c0b27f926d29e2333861f0a284c5a</t>
  </si>
  <si>
    <t>AMF; Carbon sequestration; Chaplin; Glomalin; Soil organic carbon (SOC)</t>
  </si>
  <si>
    <t>Agnihotri R., Ramesh A., Singh S., Sharma M.P.</t>
  </si>
  <si>
    <t>Impact of agricultural management practices on mycorrhizal functioning and soil microbiological parameters under soybean-based cropping systems</t>
  </si>
  <si>
    <t>10.1007/978-981-10-3638-5_15</t>
  </si>
  <si>
    <t>https://www.scopus.com/inward/record.uri?eid=2-s2.0-85056354607&amp;doi=10.1007%2f978-981-10-3638-5_15&amp;partnerID=40&amp;md5=14eccc2c2dc856372d5b3a068b8ceef4</t>
  </si>
  <si>
    <t>Agricultural practices; Arbuscular mycorrhizal fungi; Soil microbial communities; Soybean</t>
  </si>
  <si>
    <t>Suetsugu K., Yamato M., Miura C., Yamaguchi K., Takahashi K., Ida Y., Shigenobu S., Kaminaka H.</t>
  </si>
  <si>
    <t>Comparison of green and albino individuals of the partially mycoheterotrophic orchid Epipactis helleborine on molecular identities of mycorrhizal fungi, nutritional modes and gene expression in mycorrhizal roots</t>
  </si>
  <si>
    <t>10.1111/mec.14021</t>
  </si>
  <si>
    <t>https://www.scopus.com/inward/record.uri?eid=2-s2.0-85012960915&amp;doi=10.1111%2fmec.14021&amp;partnerID=40&amp;md5=133bd658f2c81400dd9d4da2c38ce87e</t>
  </si>
  <si>
    <t>Epipactis; mixotrophy; mycoheterotrophy; mycorrhizae; partial mycoheterotrophy; RNA sequencing; stable isotope; transcriptome analysis</t>
  </si>
  <si>
    <t>Amino acid transporter mutants of Arabidopsis provides evidence that a non-mycorrhizal plant acquires organic nitrogen from agricultural soil</t>
  </si>
  <si>
    <t>Plant Cell and Environment</t>
  </si>
  <si>
    <t>10.1111/pce.12881</t>
  </si>
  <si>
    <t>https://www.scopus.com/inward/record.uri?eid=2-s2.0-85012030574&amp;doi=10.1111%2fpce.12881&amp;partnerID=40&amp;md5=2f2f7ac8fed3475fd2eba6c8b1aecd17</t>
  </si>
  <si>
    <t>Scott D.A., Baer S.G., Blair J.M.</t>
  </si>
  <si>
    <t>Recovery and relative influence of root, microbial, and structural properties of soil on physically sequestered carbon stocks in restored grassland</t>
  </si>
  <si>
    <t>Soil Science Society of America Journal</t>
  </si>
  <si>
    <t>10.2136/sssaj2016.05.0158</t>
  </si>
  <si>
    <t>https://www.scopus.com/inward/record.uri?eid=2-s2.0-85014566465&amp;doi=10.2136%2fsssaj2016.05.0158&amp;partnerID=40&amp;md5=51f51b743cf58008c3ca3cdf93afc0c2</t>
  </si>
  <si>
    <t>Amendola C., Montagnoli A., Terzaghi M., Trupiano D., Oliva F., Baronti S., Miglietta F., Chiatante D., Scippa G.S.</t>
  </si>
  <si>
    <t>Short-term effects of biochar on grapevine fine root dynamics and arbuscular mycorrhizae production</t>
  </si>
  <si>
    <t>10.1016/j.agee.2017.01.025</t>
  </si>
  <si>
    <t>https://www.scopus.com/inward/record.uri?eid=2-s2.0-85010683022&amp;doi=10.1016%2fj.agee.2017.01.025&amp;partnerID=40&amp;md5=2ff5cc245024312ddfe6fdc284bd2a69</t>
  </si>
  <si>
    <t>Arbuscular mycorrhiza; Biochar; Fine root diameter; Fine root dynamics; Vitis vinifera L.</t>
  </si>
  <si>
    <t>Wurzburger N., Brookshire E.N.J., McCormack M.L., Lankau R.A.</t>
  </si>
  <si>
    <t>Mycorrhizal fungi as drivers and modulators of terrestrial ecosystem processes</t>
  </si>
  <si>
    <t>10.1111/nph.14409</t>
  </si>
  <si>
    <t>https://www.scopus.com/inward/record.uri?eid=2-s2.0-85009216381&amp;doi=10.1111%2fnph.14409&amp;partnerID=40&amp;md5=cdc73005e1a86fb8dc655b89dcae3824</t>
  </si>
  <si>
    <t>alternative stable states; ecosystem biogeochemistry; evolution; global change; mycorrhizal fungi</t>
  </si>
  <si>
    <t>Goodale C.L.</t>
  </si>
  <si>
    <t>Multiyear fate of a 15N tracer in a mixed deciduous forest: retention, redistribution, and differences by mycorrhizal association</t>
  </si>
  <si>
    <t>10.1111/gcb.13483</t>
  </si>
  <si>
    <t>https://www.scopus.com/inward/record.uri?eid=2-s2.0-85006355451&amp;doi=10.1111%2fgcb.13483&amp;partnerID=40&amp;md5=67448fdce282c0783d3328bd4bec8fa7</t>
  </si>
  <si>
    <t>15N tracer; arbuscular mycorrhizae; ectomycorrhizae; nitrogen deposition; nitrogen fate; nitrogen retention; nitrogen uptake</t>
  </si>
  <si>
    <t>Modelling the influence of ectomycorrhizal decomposition on plant nutrition and soil carbon sequestration in boreal forest ecosystems</t>
  </si>
  <si>
    <t>10.1111/nph.14213</t>
  </si>
  <si>
    <t>https://www.scopus.com/inward/record.uri?eid=2-s2.0-84991694277&amp;doi=10.1111%2fnph.14213&amp;partnerID=40&amp;md5=3f93e56cab7eb9cafdb27bce30ad8906</t>
  </si>
  <si>
    <t>Accumulation rates and sources of external nitrogen in decaying wood in a Norway spruce dominated forest</t>
  </si>
  <si>
    <t>10.1111/1365-2435.12734</t>
  </si>
  <si>
    <t>https://www.scopus.com/inward/record.uri?eid=2-s2.0-84988851043&amp;doi=10.1111%2f1365-2435.12734&amp;partnerID=40&amp;md5=53db8260cd4f817ff3ea2e134dc2c4a9</t>
  </si>
  <si>
    <t>14C; boreal forest; mycorrhiza; N2 fixation; nitrogen isotopes; nutrient reallocation; Picea abies; rhizomorphs; wood-inhabiting fungi</t>
  </si>
  <si>
    <t>John J., Kernaghan G., Lundholm J.</t>
  </si>
  <si>
    <t>The potential for mycorrhizae to improve green roof function</t>
  </si>
  <si>
    <t>Urban Ecosystems</t>
  </si>
  <si>
    <t>10.1007/s11252-016-0573-x</t>
  </si>
  <si>
    <t>https://www.scopus.com/inward/record.uri?eid=2-s2.0-84978035351&amp;doi=10.1007%2fs11252-016-0573-x&amp;partnerID=40&amp;md5=2bb94b0cb5dfc592d168916b933a0044</t>
  </si>
  <si>
    <t>Ecosystem function; Microbial ecology; Nutrient uptake; Rhizosphere; Soil amendment; Soil organic matter</t>
  </si>
  <si>
    <t>Biederman L.A., Phelps J., Ross B.J., Polzin M., Harpole W.S.</t>
  </si>
  <si>
    <t>Biochar and manure alter few aspects of prairie development: A field test</t>
  </si>
  <si>
    <t>10.1016/j.agee.2016.11.016</t>
  </si>
  <si>
    <t>https://www.scopus.com/inward/record.uri?eid=2-s2.0-84999027915&amp;doi=10.1016%2fj.agee.2016.11.016&amp;partnerID=40&amp;md5=355242c5cd6972600dded059aa6f4c00</t>
  </si>
  <si>
    <t>Carbon sequestration; Charcoal; pH; Plant production; Restoration; Soil nutrients; Soil organisms</t>
  </si>
  <si>
    <t>Zhang X., Wang L., Ma F., Yang J.</t>
  </si>
  <si>
    <t>Effects of arbuscular mycorrhizal fungi on CH4 emissions from rice paddies</t>
  </si>
  <si>
    <t>International Journal of Phytoremediation</t>
  </si>
  <si>
    <t>10.1080/15226514.2016.1216077</t>
  </si>
  <si>
    <t>https://www.scopus.com/inward/record.uri?eid=2-s2.0-84996528869&amp;doi=10.1080%2f15226514.2016.1216077&amp;partnerID=40&amp;md5=457add52834ae67eb20c3a84b20334c3</t>
  </si>
  <si>
    <t>arbuscular mycorrhizal fungi; C:N; CH4 emission flux; diurnal variation; Rice</t>
  </si>
  <si>
    <t>Niu L., Qin H., Xu Q., Wu Q., Miao J., Peng D.</t>
  </si>
  <si>
    <t>Effects of long-term plantation of phyllostachys edulis on evolution of arbuscular mycorrihizal fungus community in soil</t>
  </si>
  <si>
    <t>10.11766/trxb201611110479</t>
  </si>
  <si>
    <t>https://www.scopus.com/inward/record.uri?eid=2-s2.0-85041648879&amp;doi=10.11766%2ftrxb201611110479&amp;partnerID=40&amp;md5=c5a244c5c1afb21eb23619ddc398398e</t>
  </si>
  <si>
    <t>Arbuscular mycorrhizal fungi; Community structure; Phospholipid fatty acids; Phyllostachys edulis</t>
  </si>
  <si>
    <t>Evaluation of the investment in plant symbiosis with arbuscular mycorrhiza in soils supplemented with different doses of biochar</t>
  </si>
  <si>
    <t>International Multidisciplinary Scientific GeoConference Surveying Geology and Mining Ecology Management, SGEM</t>
  </si>
  <si>
    <t>10.5593/sgem2017/32/S13.032</t>
  </si>
  <si>
    <t>https://www.scopus.com/inward/record.uri?eid=2-s2.0-85032339677&amp;doi=10.5593%2fsgem2017%2f32%2fS13.032&amp;partnerID=40&amp;md5=d91ad3ca2ff981170db77e448d680791</t>
  </si>
  <si>
    <t>Arbuscular mycorrhiza; Biochar; Fungi; Rhizosphere; Soil</t>
  </si>
  <si>
    <t>Johnson N.C., Jansa J.</t>
  </si>
  <si>
    <t>Mycorrhizas: At the Interface of Biological, Soil, and Earth Sciences</t>
  </si>
  <si>
    <t>Mycorrhizal Mediation of Soil: Fertility, Structure, and Carbon Storage</t>
  </si>
  <si>
    <t>10.1016/B978-0-12-804312-7.00001-2</t>
  </si>
  <si>
    <t>https://www.scopus.com/inward/record.uri?eid=2-s2.0-85022211687&amp;doi=10.1016%2fB978-0-12-804312-7.00001-2&amp;partnerID=40&amp;md5=e2c7755742f6961db328722b4eb2cc52</t>
  </si>
  <si>
    <t>History of mycorrhizal research; Interdisciplinary sciences; Types of mycorrhizal symbioses; Web of Science</t>
  </si>
  <si>
    <t>Verbruggen E., Pena R., Fernandez C.W., Soong J.L.</t>
  </si>
  <si>
    <t>Mycorrhizal Interactions With Saprotrophs and Impact on Soil Carbon Storage</t>
  </si>
  <si>
    <t>10.1016/B978-0-12-804312-7.00024-3</t>
  </si>
  <si>
    <t>https://www.scopus.com/inward/record.uri?eid=2-s2.0-85022203887&amp;doi=10.1016%2fB978-0-12-804312-7.00024-3&amp;partnerID=40&amp;md5=71314a7927d71817fcf5e6e10bda2efe</t>
  </si>
  <si>
    <t>Arbuscular mycorrhiza; Carbon stock; Decomposition; Ectomycorrhiza; Ericoid mycorrhiza; Nutrient cycling; Priming; Saprotrophic fungi; Soil organic matter</t>
  </si>
  <si>
    <t>Teste F.P., Dickie I.A.</t>
  </si>
  <si>
    <t>Mycorrhizas Across Successional Gradients</t>
  </si>
  <si>
    <t>10.1016/B978-0-12-804312-7.00005-X</t>
  </si>
  <si>
    <t>https://www.scopus.com/inward/record.uri?eid=2-s2.0-85022202737&amp;doi=10.1016%2fB978-0-12-804312-7.00005-X&amp;partnerID=40&amp;md5=85ffc9f133724ef4f0a22c06c5694f57</t>
  </si>
  <si>
    <t>Arbuscular mycorrhizal; Chronosequence studies; Ectomycorrhizal; Fungal drivers; Habitat drivers; Interacting drivers</t>
  </si>
  <si>
    <t>Koide R.T.</t>
  </si>
  <si>
    <t>Biochar-Arbuscular Mycorrhiza Interaction in Temperate Soils</t>
  </si>
  <si>
    <t>10.1016/B978-0-12-804312-7.00025-5</t>
  </si>
  <si>
    <t>https://www.scopus.com/inward/record.uri?eid=2-s2.0-85019905826&amp;doi=10.1016%2fB978-0-12-804312-7.00025-5&amp;partnerID=40&amp;md5=3c2099dec0939a7aa862f50ba5d164a2</t>
  </si>
  <si>
    <t>Arbuscular mycorrhizal colonization; Biochar; Carbon sequestration; Plant stress; Response to mycorrhization; Soil properties; Water availability</t>
  </si>
  <si>
    <t>Williams A., Manoharan L., Rosenstock N.P., Olsson P.A., Hedlund K.</t>
  </si>
  <si>
    <t>Long-term agricultural fertilization alters arbuscular mycorrhizal fungal community composition and barley (Hordeum vulgare) mycorrhizal carbon and phosphorus exchange</t>
  </si>
  <si>
    <t>10.1111/nph.14196</t>
  </si>
  <si>
    <t>https://www.scopus.com/inward/record.uri?eid=2-s2.0-84992490274&amp;doi=10.1111%2fnph.14196&amp;partnerID=40&amp;md5=76d4f314609837badd47bc31cc9896c2</t>
  </si>
  <si>
    <t>agriculture; arbuscular mycorrhizal fungi (AMF); carbon (C); diversity; fertilizer; mutualism; nitrogen (N); phosphorus (P)</t>
  </si>
  <si>
    <t>Ge T., Li B., Zhu Z., Hu Y., Yuan H., Dorodnikov M., Jones D.L., Wu J., Kuzyakov Y.</t>
  </si>
  <si>
    <t>Rice rhizodeposition and its utilization by microbial groups depends on N fertilization</t>
  </si>
  <si>
    <t>10.1007/s00374-016-1155-z</t>
  </si>
  <si>
    <t>https://www.scopus.com/inward/record.uri?eid=2-s2.0-84992222134&amp;doi=10.1007%2fs00374-016-1155-z&amp;partnerID=40&amp;md5=7b6a7478dbc36cf67059147e3d1801aa</t>
  </si>
  <si>
    <t>Microbial community structure; N fertilization; Nutrient cycling; Root exudation; Stable isotope labeling</t>
  </si>
  <si>
    <t>Monitoring CO2 emissions to gain a dynamic view of carbon allocation to arbuscular mycorrhizal fungi</t>
  </si>
  <si>
    <t>10.1007/s00572-016-0731-2</t>
  </si>
  <si>
    <t>Bolin J.F., Tennakoon K.U., Majid M.B.A., Cameron D.D.</t>
  </si>
  <si>
    <t>Isotopic evidence of partial mycoheterotrophy in Burmannia coelestis (Burmanniaceae)</t>
  </si>
  <si>
    <t>Plant Species Biology</t>
  </si>
  <si>
    <t>10.1111/1442-1984.12116</t>
  </si>
  <si>
    <t>https://www.scopus.com/inward/record.uri?eid=2-s2.0-84947969453&amp;doi=10.1111%2f1442-1984.12116&amp;partnerID=40&amp;md5=acb374e18bc01e0b8b98e24174cd0de3</t>
  </si>
  <si>
    <t>13C; 15N; mycorrhizae; stable isotopes</t>
  </si>
  <si>
    <t>Midgley M.G., Phillips R.P.</t>
  </si>
  <si>
    <t>Resource stoichiometry and the biogeochemical consequences of nitrogen deposition in a mixed deciduous forest</t>
  </si>
  <si>
    <t>10.1002/ecy.1595</t>
  </si>
  <si>
    <t>https://www.scopus.com/inward/record.uri?eid=2-s2.0-85000869877&amp;doi=10.1002%2fecy.1595&amp;partnerID=40&amp;md5=1d0680644d223cf695eec877f363a8f5</t>
  </si>
  <si>
    <t>Ammonium oxidation; Mycorrhizal association; Nutrient economy; Phosphorus soil carbon storage; Substrate use efficiency</t>
  </si>
  <si>
    <t>Lashgari N., Ghorbani J., Zali S.H., Vahabzadeh G.</t>
  </si>
  <si>
    <t>Assessment of the vegetation restoration potential on coal mine wastes (case study: Karmozd Savadkoh mines, Mazandaran Province)</t>
  </si>
  <si>
    <t>Journal of Environmental Studies</t>
  </si>
  <si>
    <t>https://www.scopus.com/inward/record.uri?eid=2-s2.0-84985034761&amp;partnerID=40&amp;md5=cfb6d4bc17fe538557be97ea38ece8fb</t>
  </si>
  <si>
    <t>Mining is traditionally regarded as the world oldest and the most important activity after agriculture. Despite being an important economic activity, mining causes substantial damage to the environment worldwide. The environmental impact of mining includes erosion, formation of sinkholes, dust, noise and water pollution, vegetation degradation, loss of local biodiversity, and contamination of soil, groundwater, and surface water by chemicals from mining processes. Mine reclamation is the process of restoration of the land that has been mined to a natural or economically usable state. Establishment of a vegetation cover is essential to stabilize the bare area and to minimize the pollution problem. Mine restoration can aid in maintaining native wildlife populations while providing other valuable ecosystem services, such as erosion control, carbon sequestration, wood production, water-quality improvement, and watershed protection. Area under mining are often characterized by high bulk density, low pH, low nutrient availability, poor structure, low water holding capacity, and low biomass productivity. Basically, there are two approaches to reclamation or restoration of a disturbed site: 1. allowing spontaneous succession or 2. using technical reclamation with sowing or planting target species, accompanied by restoration or improvement of site conditions. There is also a third approach when spontaneous (natural) succession is reasonably directed with the aim to reach a target community. However, until now most restoration projects have relied on technical measures more than on spontaneous natural processes. Main technical methods include the use of mycorrhiza, remediation, fly ash, hydroseeding, top soil, and compost. The main aim of mine restoration is the permanent establishment of vegetation and soil quality improvement in order to increase the ecosystem function. In the first step, it is very important to identify the early successional species which can colonize on coal wastes. Spoil heaps after coal mining is an important component of the landscape in several parts of Alborz Mountains, where lignite coal is mined deeply or in open-cast mining. Therefore, we have studied the potential of plant establishment on spoil heaps and also compared the natural vegetation recovery on these heaps with nearby rangelands.</t>
  </si>
  <si>
    <t>Pioneer species; Species richness and diversity; Spoil heaps; Vegetation succession</t>
  </si>
  <si>
    <t>Liang C., Kao-Kniffin J., Sanford G.R., Wickings K., Balser T.C., Jackson R.D.</t>
  </si>
  <si>
    <t>Microorganisms and their residues under restored perennial grassland communities of varying diversity</t>
  </si>
  <si>
    <t>10.1016/j.soilbio.2016.08.002</t>
  </si>
  <si>
    <t>https://www.scopus.com/inward/record.uri?eid=2-s2.0-84983772293&amp;doi=10.1016%2fj.soilbio.2016.08.002&amp;partnerID=40&amp;md5=150cd1ca8dc226bf2981a1fc6448a929</t>
  </si>
  <si>
    <t>Biomarker; Grassland ecosystems; Microbial community; Microbial residue; Plant diversity; Soil depth</t>
  </si>
  <si>
    <t>Johnson N.C., Gehring C.A., Jansa J.</t>
  </si>
  <si>
    <t>https://www.scopus.com/inward/record.uri?eid=2-s2.0-85022176903&amp;partnerID=40&amp;md5=41a7ad01c8f2fbb453147e7b2d2e2740</t>
  </si>
  <si>
    <t>Book</t>
  </si>
  <si>
    <t>Sakamoto Y., Ogura-Tsujita Y., Ito K., Suetsugu K., Yokoyama J., Yamazaki J., Yukawa T., Maki M.</t>
  </si>
  <si>
    <t>The tiny-leaved orchid Cephalanthera subaphylla obtains most of its carbon via mycoheterotrophy</t>
  </si>
  <si>
    <t>10.1007/s10265-016-0856-6</t>
  </si>
  <si>
    <t>https://www.scopus.com/inward/record.uri?eid=2-s2.0-84982298747&amp;doi=10.1007%2fs10265-016-0856-6&amp;partnerID=40&amp;md5=4bf703672f87948a2cda78bda296c1ab</t>
  </si>
  <si>
    <t>Cephalanthera; Leaf size; Mycoheterotrophy; Orchidaceae; Stable isotope</t>
  </si>
  <si>
    <t>Averill C.</t>
  </si>
  <si>
    <t>Slowed decomposition in ectomycorrhizal ecosystems is independent of plant chemistry</t>
  </si>
  <si>
    <t>10.1016/j.soilbio.2016.08.003</t>
  </si>
  <si>
    <t>https://www.scopus.com/inward/record.uri?eid=2-s2.0-84981747407&amp;doi=10.1016%2fj.soilbio.2016.08.003&amp;partnerID=40&amp;md5=cc7fea2443fa3dc414864126bdc058ee</t>
  </si>
  <si>
    <t>Carbon chemistry; Decomposition; Ecosystem ecology; Food web interactions; Mycorrhiza; Soil carbon storage</t>
  </si>
  <si>
    <t>Jia X., Zhao Y., Liu T., Huang S., Chang Y.</t>
  </si>
  <si>
    <t>Elevated CO2 increases glomalin-related soil protein (GRSP) in the rhizosphere of Robinia pseudoacacia L. seedlings in Pb- and Cd-contaminated soils</t>
  </si>
  <si>
    <t>10.1016/j.envpol.2016.07.010</t>
  </si>
  <si>
    <t>https://www.scopus.com/inward/record.uri?eid=2-s2.0-84979645194&amp;doi=10.1016%2fj.envpol.2016.07.010&amp;partnerID=40&amp;md5=907a64e6b8e0116bee5c3a4e9e5a48d6</t>
  </si>
  <si>
    <t>Cd-contaminated soils; Elevated atmospheric CO2; Glomalin-related soil protein; Pb-contaminated soils; Rhizosphere; Robinia pseudoacacia L. seedlings</t>
  </si>
  <si>
    <t>Nehls U., Das A., Neb D.</t>
  </si>
  <si>
    <t>Carbohydrate metabolism in ectomycorrhizal symbiosis</t>
  </si>
  <si>
    <t>Molecular Mycorrhizal Symbiosis</t>
  </si>
  <si>
    <t>10.1002/9781118951446.ch10</t>
  </si>
  <si>
    <t>https://www.scopus.com/inward/record.uri?eid=2-s2.0-85018339334&amp;doi=10.1002%2f9781118951446.ch10&amp;partnerID=40&amp;md5=ae8e53ebc56f665abbccb314c332513f</t>
  </si>
  <si>
    <t>Basidiomycetes; Carbohydrate metabolism; Carbon delivery mechanisms; Ectomycorrhizal symbiosis; Fungal carbon storage strategies; Host plant; Plant photosynthesis</t>
  </si>
  <si>
    <t>Wang Z.-G., Bi Y.-L., Jiang B., Zhakypbek Y., Peng S.-P., Liu W.-W., Liu H.</t>
  </si>
  <si>
    <t>Arbuscular mycorrhizal fungi enhance soil carbon sequestration in the coalfields, northwest China</t>
  </si>
  <si>
    <t>10.1038/srep34336</t>
  </si>
  <si>
    <t>https://www.scopus.com/inward/record.uri?eid=2-s2.0-84992724518&amp;doi=10.1038%2fsrep34336&amp;partnerID=40&amp;md5=1dfad4e5b8c8b7a106740b358d51fe48</t>
  </si>
  <si>
    <t>Jeyanny V., Husni M.H.A., Kumar B.S., Rasidah K.W., Suhaimi W.C.</t>
  </si>
  <si>
    <t>Contribution of forest floor fractions to carbon storage and abundance patterns of arbuscular mycorrhizal fungal colonisation in a tropical montane forest</t>
  </si>
  <si>
    <t>Southern Forests</t>
  </si>
  <si>
    <t>10.2989/20702620.2016.1225186</t>
  </si>
  <si>
    <t>https://www.scopus.com/inward/record.uri?eid=2-s2.0-84988431074&amp;doi=10.2989%2f20702620.2016.1225186&amp;partnerID=40&amp;md5=602a90ca7ada024986203a3c3dd51724</t>
  </si>
  <si>
    <t>carbon stocks; high altitudes; mycorrhizal associations; organic layer; tropics</t>
  </si>
  <si>
    <t>Slaughter L.C., McCulley R.L.</t>
  </si>
  <si>
    <t>10.1007/s00248-016-0828-3</t>
  </si>
  <si>
    <t>https://www.scopus.com/inward/record.uri?eid=2-s2.0-84981294462&amp;doi=10.1007%2fs00248-016-0828-3&amp;partnerID=40&amp;md5=37ad02e0f149fd1c338ca7dd13d473b4</t>
  </si>
  <si>
    <t>Arbuscular mycorrhizal fungi; Carbon sequestration; Dark septate endophytes; Grasslands; Neotyphodium; Tall fescue</t>
  </si>
  <si>
    <t>Autotrophic component of soil respiration is repressed by drought more than the heterotrophic one in dry grasslands</t>
  </si>
  <si>
    <t>10.5194/bg-13-5171-2016</t>
  </si>
  <si>
    <t>https://www.scopus.com/inward/record.uri?eid=2-s2.0-84988695238&amp;doi=10.5194%2fbg-13-5171-2016&amp;partnerID=40&amp;md5=cba95255e2798042293b19eb4fa0c936</t>
  </si>
  <si>
    <t>Singh A.K., Rai A., Singh N.</t>
  </si>
  <si>
    <t>Effect of long term land use systems on fractions of glomalin and soil organic carbon in the Indo-Gangetic plain</t>
  </si>
  <si>
    <t>10.1016/j.geoderma.2016.05.004</t>
  </si>
  <si>
    <t>https://www.scopus.com/inward/record.uri?eid=2-s2.0-84969765385&amp;doi=10.1016%2fj.geoderma.2016.05.004&amp;partnerID=40&amp;md5=b4f01b935992df9c109e563c54d81cf4</t>
  </si>
  <si>
    <t>Carbon storage; Fractionation; Glomalin related soil protein; Land use; Physicochemical properties; Tillage</t>
  </si>
  <si>
    <t>Pandian K., Subramaniayan P., Gnasekaran P., Chitraputhirapillai S.</t>
  </si>
  <si>
    <t>Effect of biochar amendment on soil physical, chemical and biological properties and groundnut yield in rainfed Alfisol of semi-arid tropics</t>
  </si>
  <si>
    <t>10.1080/03650340.2016.1139086</t>
  </si>
  <si>
    <t>https://www.scopus.com/inward/record.uri?eid=2-s2.0-84958520561&amp;doi=10.1080%2f03650340.2016.1139086&amp;partnerID=40&amp;md5=1afffd9703bdf90c5f667e5164feb09b</t>
  </si>
  <si>
    <t>Biochar; carbon sequestration; rainfed and groundnut; soil health</t>
  </si>
  <si>
    <t>Geographic, environmental and biotic sources of variation in the nutrient relations of tropical montane forests</t>
  </si>
  <si>
    <t>Journal of Tropical Ecology</t>
  </si>
  <si>
    <t>10.1017/S0266467415000619</t>
  </si>
  <si>
    <t>https://www.scopus.com/inward/record.uri?eid=2-s2.0-84947791730&amp;doi=10.1017%2fS0266467415000619&amp;partnerID=40&amp;md5=e0ed7d47ed5c95027541f403553ed634</t>
  </si>
  <si>
    <t>altitude; disturbance; elevation; fertilization; mycorrhizas; nutrient limitation; plant-soil feedbacks; productivity; soil fertility; topography</t>
  </si>
  <si>
    <t>Tupek B., Ortiz C.A., Hashimoto S., Stendahl J., Dahlgren J., Karltun E., Lehtonen A.</t>
  </si>
  <si>
    <t>Underestimation of boreal soil carbon stocks by mathematical soil carbon models linked to soil nutrient status</t>
  </si>
  <si>
    <t>10.5194/bg-13-4439-2016</t>
  </si>
  <si>
    <t>https://www.scopus.com/inward/record.uri?eid=2-s2.0-84981489631&amp;doi=10.5194%2fbg-13-4439-2016&amp;partnerID=40&amp;md5=3249ee06cf6a660417fd8d57efbf6df4</t>
  </si>
  <si>
    <t>Averill C., Hawkes C.V.</t>
  </si>
  <si>
    <t>Ectomycorrhizal fungi slow soil carbon cycling</t>
  </si>
  <si>
    <t>Ecology letters</t>
  </si>
  <si>
    <t>10.1111/ele.12631</t>
  </si>
  <si>
    <t>https://www.scopus.com/inward/record.uri?eid=2-s2.0-84978116698&amp;doi=10.1111%2fele.12631&amp;partnerID=40&amp;md5=d42322c9fcf412a50322e216fec908e6</t>
  </si>
  <si>
    <t>Biogeochemistry; ecosystem ecology; mycorrhizal fungi; soil carbon; soil ecology; soil nitrogen</t>
  </si>
  <si>
    <t>Davidson B.E., Novak S.J., Serpe M.D.</t>
  </si>
  <si>
    <t>Consequences of inoculation with native arbuscular mycorrhizal fungi for root colonization and survival of Artemisia tridentata ssp. wyomingensis seedlings after transplanting</t>
  </si>
  <si>
    <t>10.1007/s00572-016-0696-1</t>
  </si>
  <si>
    <t>https://www.scopus.com/inward/record.uri?eid=2-s2.0-84963655312&amp;doi=10.1007%2fs00572-016-0696-1&amp;partnerID=40&amp;md5=5d1547b9ad2185ae5d3928e464e95468</t>
  </si>
  <si>
    <t>Arbuscular mycorrhizal fungi; Artemisia tridentata; Sagebrush steppe; Seedling establishment; Shrublands</t>
  </si>
  <si>
    <t>Potapov A.M., Goncharov A.A., Tsurikov S.M., Tully T., Tiunov A.V.</t>
  </si>
  <si>
    <t>Assimilation of plant-derived freshly fixed carbon by soil collembolans: Not only via roots?</t>
  </si>
  <si>
    <t>10.1016/j.pedobi.2016.07.002</t>
  </si>
  <si>
    <t>https://www.scopus.com/inward/record.uri?eid=2-s2.0-84977650298&amp;doi=10.1016%2fj.pedobi.2016.07.002&amp;partnerID=40&amp;md5=a73b369dd63bb228a38fd47091b36eb7</t>
  </si>
  <si>
    <t>Belowground C allocation; Euedaphic and epigeic collembola; Honeydew; Mycorrhizal fungi; Soil food webs; Stable isotope analysis</t>
  </si>
  <si>
    <t>Terrer C., Vicca S., Hungate B.A., Phillips R.P., Prentice I.C.</t>
  </si>
  <si>
    <t>Mycorrhizal association as a primary control of the CO2 fertilization effect</t>
  </si>
  <si>
    <t>Science</t>
  </si>
  <si>
    <t>10.1126/science.aaf4610</t>
  </si>
  <si>
    <t>https://www.scopus.com/inward/record.uri?eid=2-s2.0-84976904221&amp;doi=10.1126%2fscience.aaf4610&amp;partnerID=40&amp;md5=3fdb7b17f7c53bd29826eba959a74985</t>
  </si>
  <si>
    <t>Maurer G.E., Chan A.M., Trahan N.A., Moore D.J.P., Bowling D.R.</t>
  </si>
  <si>
    <t>Carbon isotopic composition of forest soil respiration in the decade following bark beetle and stem girdling disturbances in the Rocky Mountains</t>
  </si>
  <si>
    <t>10.1111/pce.12716</t>
  </si>
  <si>
    <t>https://www.scopus.com/inward/record.uri?eid=2-s2.0-84964587170&amp;doi=10.1111%2fpce.12716&amp;partnerID=40&amp;md5=f641486be344d823043d43f623b24bb6</t>
  </si>
  <si>
    <t>Abies lasiocarpa; carbon cycle; chronosequence; decomposition; Dendroctonus ponderosae; Picea engelmannii; Pinus contorta</t>
  </si>
  <si>
    <t>Rojas X., Guo J., Leff J.W., McNear D.H., Jr., Fierer N., McCulley R.L.</t>
  </si>
  <si>
    <t>10.1007/s00248-016-0750-8</t>
  </si>
  <si>
    <t>https://www.scopus.com/inward/record.uri?eid=2-s2.0-84961198890&amp;doi=10.1007%2fs00248-016-0750-8&amp;partnerID=40&amp;md5=e2824861152d000aa97391e717b1bd52</t>
  </si>
  <si>
    <t>Teramoto M., Wu B., Hogetsu T.</t>
  </si>
  <si>
    <t>Pathway and sink activity for photosynthate translocation in Pisolithus extraradical mycelium of ectomycorrhizal Pinus thunbergii seedlings</t>
  </si>
  <si>
    <t>10.1007/s00572-016-0684-5</t>
  </si>
  <si>
    <t>https://www.scopus.com/inward/record.uri?eid=2-s2.0-84957625823&amp;doi=10.1007%2fs00572-016-0684-5&amp;partnerID=40&amp;md5=c7a692cb6a9c11aa1cb107c4057aa533</t>
  </si>
  <si>
    <t>Acropetal and basipetal; Common mycelial network; Ectomycorrhizal symbiosis; Extramatrical mycelium; Soil nutrients</t>
  </si>
  <si>
    <t>From vineyards to controlled environments in grapevine research: investigating responses to climate change scenarios using fruit-bearing cuttings</t>
  </si>
  <si>
    <t>Theoretical and Experimental Plant Physiology</t>
  </si>
  <si>
    <t>10.1007/s40626-016-0065-7</t>
  </si>
  <si>
    <t>https://www.scopus.com/inward/record.uri?eid=2-s2.0-84978141322&amp;doi=10.1007%2fs40626-016-0065-7&amp;partnerID=40&amp;md5=1ac7f897fa71d5a1f2f0090dcdd15da6</t>
  </si>
  <si>
    <t>Abiotic stress factors; Climate change scenarios; Fruit-bearing grapevine cuttings; Model grapevine system; Nutrient stable isotopes</t>
  </si>
  <si>
    <t>Options of partners improve carbon for phosphorus trade in the arbuscular mycorrhizal mutualism</t>
  </si>
  <si>
    <t>10.1111/ele.12601</t>
  </si>
  <si>
    <t>https://www.scopus.com/inward/record.uri?eid=2-s2.0-84966533788&amp;doi=10.1111%2fele.12601&amp;partnerID=40&amp;md5=4d70610d05caa2b2a89f895ab20456cc</t>
  </si>
  <si>
    <t>Biological markets; Isotopes; Microbial diversity; Plant-AMF mutualism; Split-root system; Supply and demand</t>
  </si>
  <si>
    <t>Yin K., Zhang L., Chen D., Tian Y., Zhang F., Wen M., Yuan C.</t>
  </si>
  <si>
    <t>Understory herb layer exerts strong controls on soil microbial communities in subtropical plantations</t>
  </si>
  <si>
    <t>10.1038/srep27066</t>
  </si>
  <si>
    <t>https://www.scopus.com/inward/record.uri?eid=2-s2.0-84973301099&amp;doi=10.1038%2fsrep27066&amp;partnerID=40&amp;md5=79cdb5707a84c317188891e67650418a</t>
  </si>
  <si>
    <t>The patterns and drivers of soil microbial communities in forest plantations remain inadequate although they have been extensively studied in natural forest and grassland ecosystems. In this study, using data from 12 subtropical plantation sites, we found that the overstory tree biomass and tree cover increased with increasing plantation age. However, there was a decline in the aboveground biomass and species richness of the understory herbs as plantation age increased. Biomass of all microbial community groups (i.e. fungi, bacteria, arbuscular mycorrhizal fungi, and actinomycete) decreased with increasing plantation age; however, the biomass ratio of fungi to bacteria did not change with increasing plantation age. Variation in most microbial community groups was mainly explained by the understory herb (i.e. herb biomass and herb species richness) and overstory trees (i.e. tree biomass and tree cover), while soils (i.e. soil moisture, soil organic carbon, and soil pH) explained a relative low percentage of the variation. Our results demonstrate that the understory herb layer exerts strong controls on soil microbial community in subtropical plantations. These findings suggest that maintenance of plantation health may need to consider the management of understory herb in order to increase the potential of plantation ecosystems as fast-response carbon sinks.</t>
  </si>
  <si>
    <t>Ji B., Bever J.D.</t>
  </si>
  <si>
    <t>Plant preferential allocation and fungal reward decline with soil phosphorus: Implications for mycorrhizal mutualism</t>
  </si>
  <si>
    <t>e01256</t>
  </si>
  <si>
    <t>10.1002/ecs2.1256</t>
  </si>
  <si>
    <t>https://www.scopus.com/inward/record.uri?eid=2-s2.0-84971671982&amp;doi=10.1002%2fecs2.1256&amp;partnerID=40&amp;md5=a42b4595e2303bed985b7546885117f8</t>
  </si>
  <si>
    <t>Arbuscular mycorrhiza; Carbon; Cheater; Context dependence; Mutualism; Phosphorus; Preferential allocation</t>
  </si>
  <si>
    <t>Wang C.-G., Chen Z.-X., Ma C.-E., Lin G.-G., Han S.-J.</t>
  </si>
  <si>
    <t>Three potential pathways influencing contrasting decomposition rates of fine roots</t>
  </si>
  <si>
    <t>Beijing Linye Daxue Xuebao/Journal of Beijing Forestry University</t>
  </si>
  <si>
    <t>10.13332/j.1000-1522.20150437</t>
  </si>
  <si>
    <t>https://www.scopus.com/inward/record.uri?eid=2-s2.0-84969786973&amp;doi=10.13332%2fj.1000-1522.20150437&amp;partnerID=40&amp;md5=1fc8ff9cc002129b8e4ff5a211b043a4</t>
  </si>
  <si>
    <t>Carbon quality; Contrasting decomposition rate; Fine root; Mycorrhizal; Nitrogen content</t>
  </si>
  <si>
    <t>Long-term agricultural management maximizing hay production can significantly reduce belowground C storage</t>
  </si>
  <si>
    <t>10.1016/j.agee.2015.12.026</t>
  </si>
  <si>
    <t>https://www.scopus.com/inward/record.uri?eid=2-s2.0-84955263402&amp;doi=10.1016%2fj.agee.2015.12.026&amp;partnerID=40&amp;md5=7aa2eef38551131ffb3e9988d9222061</t>
  </si>
  <si>
    <t>Arbuscular mycorrhiza; Lime; Long term ecological research; Nitrogen; Phosphorus; Soil carbon</t>
  </si>
  <si>
    <t>Wang F., Shi N., Jiang R., Zhang F., Feng G.</t>
  </si>
  <si>
    <t>In situ stable isotope probing of phosphate-solubilizing bacteria in the hyphosphere</t>
  </si>
  <si>
    <t>Journal of Experimental Botany</t>
  </si>
  <si>
    <t>10.1093/jxb/erv561</t>
  </si>
  <si>
    <t>https://www.scopus.com/inward/record.uri?eid=2-s2.0-84962828457&amp;doi=10.1093%2fjxb%2ferv561&amp;partnerID=40&amp;md5=4876790b80e925523a883c3b1acc5c0d</t>
  </si>
  <si>
    <t>13CO2 pulse labeling; AM fungus; hyphosphere; maize; organic phosphate; phosphate-solubilizing bacteria (PSB).</t>
  </si>
  <si>
    <t>Shi M., Fisher J.B., Brzostek E.R., Phillips R.P.</t>
  </si>
  <si>
    <t>Carbon cost of plant nitrogen acquisition: Global carbon cycle impact from an improved plant nitrogen cycle in the Community Land Model</t>
  </si>
  <si>
    <t>10.1111/gcb.13131</t>
  </si>
  <si>
    <t>https://www.scopus.com/inward/record.uri?eid=2-s2.0-84959543895&amp;doi=10.1111%2fgcb.13131&amp;partnerID=40&amp;md5=4c64b9ccbf15085703ab0f55479ec2ff</t>
  </si>
  <si>
    <t>net primary production; Carbon cost; Community Land Model; Fixation and Uptake of Nitrogen; Mycorrhizal fungi; Nitrogen uptake</t>
  </si>
  <si>
    <t>Snell H.S.K., Robinson D., Midwood A.J.</t>
  </si>
  <si>
    <t>10.1007/s11104-015-2731-y</t>
  </si>
  <si>
    <t>https://www.scopus.com/inward/record.uri?eid=2-s2.0-84955459859&amp;doi=10.1007%2fs11104-015-2731-y&amp;partnerID=40&amp;md5=67e6af48c1dbdecfba4718569c918a45</t>
  </si>
  <si>
    <t>Phosphorus fertilisation under nitrogen limitation can deplete soil carbon stocks: Evidence from Swedish meta-replicated long-term field experiments</t>
  </si>
  <si>
    <t>10.5194/bg-13-1119-2016</t>
  </si>
  <si>
    <t>https://www.scopus.com/inward/record.uri?eid=2-s2.0-84959363184&amp;doi=10.5194%2fbg-13-1119-2016&amp;partnerID=40&amp;md5=91acd6f6dde62e7183e912e2f9bd7dee</t>
  </si>
  <si>
    <t>Ahmad M., Ok Y.S., Kim B.-Y., Ahn J.-H., Lee Y.H., Zhang M., Moon D.H., Al-Wabel M.I., Lee S.S.</t>
  </si>
  <si>
    <t>Impact of soybean stover- and pine needle-derived biochars on Pb and As mobility, microbial community, and carbon stability in a contaminated agricultural soil</t>
  </si>
  <si>
    <t>10.1016/j.jenvman.2015.10.006</t>
  </si>
  <si>
    <t>https://www.scopus.com/inward/record.uri?eid=2-s2.0-84945245029&amp;doi=10.1016%2fj.jenvman.2015.10.006&amp;partnerID=40&amp;md5=b4f81601619c7395edfe05a3ef5cf3df</t>
  </si>
  <si>
    <t>Bacterial community; Biochar; Carbon storage; Heavy metals; Immobilization; Precipitation</t>
  </si>
  <si>
    <t>Mohanty S.R., Kollah B.</t>
  </si>
  <si>
    <t>Perspective of bioenergy crop Jatropha Curcas improving agriculture and mitigation of global climate change</t>
  </si>
  <si>
    <t>The Promising Future of Jatropha Curcas: Properties and Potential Applications</t>
  </si>
  <si>
    <t>https://www.scopus.com/inward/record.uri?eid=2-s2.0-85021996402&amp;partnerID=40&amp;md5=fa7aa8a4bff6208553f5620e65e5d331</t>
  </si>
  <si>
    <t>Agriculture; Climate change; Greenhouse gas; J. curcas; Microorganism; Rhizosphere</t>
  </si>
  <si>
    <t>Muschler R.G.</t>
  </si>
  <si>
    <t>Agroforestry: Essential for sustainable and climate-smart land use?</t>
  </si>
  <si>
    <t>Tropical Forestry Handbook, Second Edition</t>
  </si>
  <si>
    <t>10.1007/978-3-642-54601-3_300</t>
  </si>
  <si>
    <t>https://www.scopus.com/inward/record.uri?eid=2-s2.0-85017651961&amp;doi=10.1007%2f978-3-642-54601-3_300&amp;partnerID=40&amp;md5=9a8859d6441718142ed4f4b2380f6d06</t>
  </si>
  <si>
    <t>Adaptation; Agrobiodiversity; Agroecology; Agroforestry; Alley cropping; Animal husbandry; Biochar; Biodiversity conservation; Biointensive agriculture; Biological control; Bird-friendly coffee; Cacao; Carbon sequestration; Certification; Climate-smart landscape; Coffee; Design; Diversification; Ecosystem service; Environmental service; Food security; Homegarden; Improved fallow; Living fences; Microclimate management; Mitigation; Modeling; Monocultures; Multifunctional agriculture; Multipurpose trees; Mycorrhizae; N-fixation; Neglected and underutilized crops (NUS); Nutrient cycling; Nutrition; Organic production; PES (payment for environmental services); Pest suppressiveness; Plantation crops; Polycultures; Rehabilitation; Shade management; Shelterbelt; Silvopastoral system; Soil conservation; Soil degradation; Soil fertility; Soil health; Sustainability; Sustainable intensification; Symbiosis; Taungya; Training materials; Tree domestication; Urban agriculture; Windbreaks</t>
  </si>
  <si>
    <t>Wu Q.-S., Srivastava A.K., Cao M.-Q.</t>
  </si>
  <si>
    <t>Systematicness of glomalin in roots and mycorrhizosphere of a split-root trifoliate orange</t>
  </si>
  <si>
    <t>Plant, Soil and Environment</t>
  </si>
  <si>
    <t>10.17221/551/2016-PSE</t>
  </si>
  <si>
    <t>https://www.scopus.com/inward/record.uri?eid=2-s2.0-84994851710&amp;doi=10.17221%2f551%2f2016-PSE&amp;partnerID=40&amp;md5=858e4ee9aa2309b57a3476c62298682e</t>
  </si>
  <si>
    <t>Glomeromycota; Glycoprotein; Hyphae; Mineral nutrients; Mutualistic symbiosis</t>
  </si>
  <si>
    <t>Successional traits of ectomycorrhizal fungi in forest reclamation after surface mining and agricultural disturbances: A review</t>
  </si>
  <si>
    <t>Dendrobiology</t>
  </si>
  <si>
    <t>10.12657/denbio.076.009</t>
  </si>
  <si>
    <t>https://www.scopus.com/inward/record.uri?eid=2-s2.0-84990860360&amp;doi=10.12657%2fdenbio.076.009&amp;partnerID=40&amp;md5=fc0088d7b50b0ddbc9509aa69784c9d4</t>
  </si>
  <si>
    <t>Afforestation; Ecosystem services; Mine spoils; Post-agricultural lands; Primary succession; Secondary succession</t>
  </si>
  <si>
    <t>Moeller H.V., Peay K.G.</t>
  </si>
  <si>
    <t>Competition-function tradeoffs in ectomycorrhizal fungi</t>
  </si>
  <si>
    <t>e2270</t>
  </si>
  <si>
    <t>10.7717/peerj.2270</t>
  </si>
  <si>
    <t>https://www.scopus.com/inward/record.uri?eid=2-s2.0-84981533491&amp;doi=10.7717%2fpeerj.2270&amp;partnerID=40&amp;md5=868656e6c321ec12d2216fb839955e33</t>
  </si>
  <si>
    <t>Extracellular enzymes; Mutualism; Mycorrhizae; Niche partitioning; Pinus muricata; Tree-fungal mutualism</t>
  </si>
  <si>
    <t>Mycorrhizal contribution to soil respiration in an apple orchard</t>
  </si>
  <si>
    <t>10.1016/j.apsoil.2016.01.016</t>
  </si>
  <si>
    <t>https://www.scopus.com/inward/record.uri?eid=2-s2.0-84974777837&amp;doi=10.1016%2fj.apsoil.2016.01.016&amp;partnerID=40&amp;md5=34ac206c8b5dd2147ffb30c49a5f6fd9</t>
  </si>
  <si>
    <t>CO2; Fruit trees; Natural abundance; Stable isotopes; Trenching</t>
  </si>
  <si>
    <t>Aliasgharzad N., Afshari Z., Najafi N.</t>
  </si>
  <si>
    <t>Carbon sequestration by glomeral fungi in soil is influenced by phosphorus and nitrogen fertilization</t>
  </si>
  <si>
    <t>International Journal on Advanced Science, Engineering and Information Technology</t>
  </si>
  <si>
    <t>10.18517/ijaseit.6.1.588</t>
  </si>
  <si>
    <t>https://www.scopus.com/inward/record.uri?eid=2-s2.0-84969802838&amp;doi=10.18517%2fijaseit.6.1.588&amp;partnerID=40&amp;md5=bf0a4e9e2669c007c17db90aa0ba7a03</t>
  </si>
  <si>
    <t>Glomalin is the most abundant gylcoprotein in soil which produces by glomeral fungi in symbiosis with plant roots. It improves soil physical, chemical and biological properties. Assimilated plant C which is allocated to the mycorrhizal fungus, appears as a recalcitrant glycoprotein (glomalin) in cell walls of hyphae and spores. Considering global warming due to increasing greenhouse gases, this phenomenon could be important in carbon sequestration and reducing CO2 in atmosphere. Chemical fertilizers could affect symbiotic relations of these fungi, which in turn affect glomalin production. In a pot culture experiment, the sterile soil was treated with 0, 100, 200 mg N kg-1 soil as urea or 0, 20, 40 mg P kg-1 soil as triple superphosphate, in two separate factorial experiment based on completely randomized design with three replications. Corn plant (Zea mays L.) was inoculated with Rhizophagus clarus (formerly, Glomus clarum) or Rhizophagus intraradices (formerly, Glomus intraradices) in each set of experiment. Easley extractable glomalin (EEG) and total glomalin (TG) in soil were determined by Bradford method at the end of experiment. Root colonization by both fungi increased EEG and TG compared to the non-mycorrhizal control (p&amp;lt;0.05). Nitrogen levels of 100, 200 increased EEG by 75 and 112% and TG by 59 and 76%, respectively, compared to the no nitrogen treatment. P levels of 20, 40 caused 27% increase and 6% decrease in EEG, and 24% increase and 13% decrease in TG, respectively, compared to the zero addition of phosphorus. Regarding glomalin production in this condition, R. clarus was more efficient than R. intraradices. Application of 20 mg P kg-1 increased root colonization, dry weights of shoot and root, chlorophyll index, leaf area, amount of shoot and root nitrogen and potassium compared to the 40 mgP. kg-1 and control. Thus, application of 100 mg N kg-1 increased root colonization, dry weights of shoot and root, chlorophyll index, leaf area, amount of shoot and root phosphorus and potassium compared to the 200 mg N kg-1 and control.</t>
  </si>
  <si>
    <t>Chemical fertilizers; Corn; Glomalin; Mycorrhizal fungi; Soil carbon</t>
  </si>
  <si>
    <t>Carrillo Y., Dijkstra F.A., LeCain D., Pendall E.</t>
  </si>
  <si>
    <t>Mediation of soil C decomposition by arbuscular mycorrizhal fungi in grass rhizospheres under elevated CO2</t>
  </si>
  <si>
    <t>10.1007/s10533-015-0159-3</t>
  </si>
  <si>
    <t>https://www.scopus.com/inward/record.uri?eid=2-s2.0-84958670225&amp;doi=10.1007%2fs10533-015-0159-3&amp;partnerID=40&amp;md5=691e2969e055cfc5c0bd220f8a5d7945</t>
  </si>
  <si>
    <t>Arbuscular mycorrhizae; Decomposition; Elevated CO2; Grasses; Priming; Rhizosphere</t>
  </si>
  <si>
    <t>Verbruggen E., Jansa J., Hammer E.C., Rillig M.C.</t>
  </si>
  <si>
    <t>Do arbuscular mycorrhizal fungi stabilize litter-derived carbon in soil?</t>
  </si>
  <si>
    <t>10.1111/1365-2745.12496</t>
  </si>
  <si>
    <t>https://www.scopus.com/inward/record.uri?eid=2-s2.0-84954406693&amp;doi=10.1111%2f1365-2745.12496&amp;partnerID=40&amp;md5=74e8b262a7820d3d8b92cea6b4f881b7</t>
  </si>
  <si>
    <t>Isotopes; Litter decomposition; Plant-soil (below-ground) interactions; Priming; Saprobic fungi; Soil carbon</t>
  </si>
  <si>
    <t>Cozzolino V., Di Meo V., Monda H., Spaccini R., Piccolo A.</t>
  </si>
  <si>
    <t>The molecular characteristics of compost affect plant growth, arbuscular mycorrhizal fungi, and soil microbial community composition</t>
  </si>
  <si>
    <t>10.1007/s00374-015-1046-8</t>
  </si>
  <si>
    <t>https://www.scopus.com/inward/record.uri?eid=2-s2.0-84952990650&amp;doi=10.1007%2fs00374-015-1046-8&amp;partnerID=40&amp;md5=957c151c85744ee74a39a15528de1614</t>
  </si>
  <si>
    <t>NLFA; NMR; PLFA; Soil fertility; Soil organic matter; Sustainable agriculture</t>
  </si>
  <si>
    <t>Gavazov K., Hagedorn F., Buttler A., Siegwolf R., Bragazza L.</t>
  </si>
  <si>
    <t>Environmental drivers of carbon and nitrogen isotopic signatures in peatland vascular plants along an altitude gradient</t>
  </si>
  <si>
    <t>10.1007/s00442-015-3458-4</t>
  </si>
  <si>
    <t>https://www.scopus.com/inward/record.uri?eid=2-s2.0-84952861193&amp;doi=10.1007%2fs00442-015-3458-4&amp;partnerID=40&amp;md5=3b67e2374bbfdd4e8b5ef7a62a5dddbd</t>
  </si>
  <si>
    <t>13C; 15N; Ericoids; Fungal/bacterial ratio; Graminoids; Leaf chemistry; Stable isotope ratio</t>
  </si>
  <si>
    <t>Agathokleous E., Saitanis C.J., Wang X., Watanabe M., Koike T.</t>
  </si>
  <si>
    <t>A Review Study on Past 40 Years of Research on Effects of Tropospheric O3 on Belowground Structure, Functioning, and Processes of Trees: A Linkage with Potential Ecological Implications</t>
  </si>
  <si>
    <t>Water, Air, and Soil Pollution</t>
  </si>
  <si>
    <t>10.1007/s11270-015-2715-9</t>
  </si>
  <si>
    <t>https://www.scopus.com/inward/record.uri?eid=2-s2.0-84951764941&amp;doi=10.1007%2fs11270-015-2715-9&amp;partnerID=40&amp;md5=d68544f0418cddd9859f2f52c22116cc</t>
  </si>
  <si>
    <t>Air pollution; Carbon cycle; Changing environment; Climate change; Ecosystems; Ozone</t>
  </si>
  <si>
    <t>Vadeboncoeur M.A., Ouimette A.P., Hobbie E.A.</t>
  </si>
  <si>
    <t>Mycorrhizal roots in a temperate forest take up organic nitrogen from 13C- and 15N-labeled organic matter</t>
  </si>
  <si>
    <t>10.1007/s11104-015-2623-1</t>
  </si>
  <si>
    <t>https://www.scopus.com/inward/record.uri?eid=2-s2.0-84953360205&amp;doi=10.1007%2fs11104-015-2623-1&amp;partnerID=40&amp;md5=8366537084af191cf9cc3c4c91ef254c</t>
  </si>
  <si>
    <t>Dual label; Ingrowth core; Organic nitrogen uptake; Temperate forest</t>
  </si>
  <si>
    <t>Zhang H., Ziegler W., Han X., Trumbore S., Hartmann H.</t>
  </si>
  <si>
    <t>Plant carbon limitation does not reduce nitrogen transfer from arbuscular mycorrhizal fungi to Plantago lanceolata</t>
  </si>
  <si>
    <t>10.1007/s11104-015-2599-x</t>
  </si>
  <si>
    <t>https://www.scopus.com/inward/record.uri?eid=2-s2.0-84951281342&amp;doi=10.1007%2fs11104-015-2599-x&amp;partnerID=40&amp;md5=bfbf02c831b6f1c044c99f29be958d8e</t>
  </si>
  <si>
    <t>Plant carbon limitation; Resource allocation; Stable isotopes 13C and 15N; Stress-gradient hypothesis; Symbiosis</t>
  </si>
  <si>
    <t>Averill C., Rousk J., Hawkes C.</t>
  </si>
  <si>
    <t>Microbial-mediated redistribution of ecosystem nitrogen cycling can delay progressive nitrogen limitation</t>
  </si>
  <si>
    <t>10.1007/s10533-015-0160-x</t>
  </si>
  <si>
    <t>https://www.scopus.com/inward/record.uri?eid=2-s2.0-84948075240&amp;doi=10.1007%2fs10533-015-0160-x&amp;partnerID=40&amp;md5=af654f32af00909550f3627066365379</t>
  </si>
  <si>
    <t>Ecosystems; Microbes; Mycorrhizal fungi; Nitrogen; Progressive nitrogen limitation</t>
  </si>
  <si>
    <t>Moore J.A.M., Jiang J., Patterson C.M., Mayes M.A., Wang G., Classen A.T.</t>
  </si>
  <si>
    <t>Interactions among roots, mycorrhizas and free-living microbial communities differentially impact soil carbon processes</t>
  </si>
  <si>
    <t>10.1111/1365-2745.12484</t>
  </si>
  <si>
    <t>https://www.scopus.com/inward/record.uri?eid=2-s2.0-84944463048&amp;doi=10.1111%2f1365-2745.12484&amp;partnerID=40&amp;md5=a6858f43a8bfc51b3b88aa72cc729472</t>
  </si>
  <si>
    <t>Decomposition; Extracellular enzyme activity; Forest; Nutrient cycling; Plant-microbe interactions; Plant-soil (below-ground) interactions; Rhizosphere; Simulation model; Stable isotope</t>
  </si>
  <si>
    <t>Huang J., Zhang W., Liu M., Briones M.J.I., Eisenhauer N., Shao Y., Cai X., Fu S., Xia H.</t>
  </si>
  <si>
    <t>Different impacts of native and exotic earthworms on rhizodeposit carbon sequestration in a subtropical soil</t>
  </si>
  <si>
    <t>10.1016/j.soilbio.2015.08.011</t>
  </si>
  <si>
    <t>https://www.scopus.com/inward/record.uri?eid=2-s2.0-84939603604&amp;doi=10.1016%2fj.soilbio.2015.08.011&amp;partnerID=40&amp;md5=07f82e0966d3b639ab21b3c11bdbf72a</t>
  </si>
  <si>
    <t>13CO2-labelling; Carbon accessibility; Earthworm ecological groupings; Earthworm invasion; Rhizosphere microbiota; Root-derived carbon</t>
  </si>
  <si>
    <t>Study of nitrogen and carbon transfer from soil organic matter to Tuber melanosporum mycorrhizas and ascocarps using 15N and 13C soil labelling and whole-genome oligoarrays</t>
  </si>
  <si>
    <t>10.1007/s11104-015-2557-7</t>
  </si>
  <si>
    <t>https://www.scopus.com/inward/record.uri?eid=2-s2.0-84942371297&amp;doi=10.1007%2fs11104-015-2557-7&amp;partnerID=40&amp;md5=0957ab0e313b854fef47b287920893eb</t>
  </si>
  <si>
    <t>13C; 15N; Ascocarps; Ectomycorrhizas; Gene expression; Truffle</t>
  </si>
  <si>
    <t>Stem compression reversibly reduces phloem transport in Pinus sylvestris trees</t>
  </si>
  <si>
    <t>10.1093/treephys/tpv078</t>
  </si>
  <si>
    <t>https://www.scopus.com/inward/record.uri?eid=2-s2.0-84949557414&amp;doi=10.1093%2ftreephys%2ftpv078&amp;partnerID=40&amp;md5=2627bf6146306c85e7f1d58f99c0825e</t>
  </si>
  <si>
    <t>Belowground carbon transport; Carbon partitioning; Carbon-13; Girdling; Soil respiration; Stem respiration</t>
  </si>
  <si>
    <t>Molecular signals required for the establishment and maintenance of ectomycorrhizal symbioses</t>
  </si>
  <si>
    <t>10.1111/nph.13423</t>
  </si>
  <si>
    <t>https://www.scopus.com/inward/record.uri?eid=2-s2.0-84940467212&amp;doi=10.1111%2fnph.13423&amp;partnerID=40&amp;md5=d9a24c5e3f294ff7ad90e18eeb162f8c</t>
  </si>
  <si>
    <t>Arbuscular mycorrhiza; Common symbiosis pathway; Ectomycorrhiza; Effectors; Nitrogen (N); Nutrient exchange; Phosphorus (P); Signaling</t>
  </si>
  <si>
    <t>Soudzilovskaia N.A., van der Heijden M.G.A., Cornelissen J.H.C., Makarov M.I., Onipchenko V.G., Maslov M.N., Akhmetzhanova A.A., van Bodegom P.M.</t>
  </si>
  <si>
    <t>Quantitative assessment of the differential impacts of arbuscular and ectomycorrhiza on soil carbon cycling</t>
  </si>
  <si>
    <t>10.1111/nph.13447</t>
  </si>
  <si>
    <t>https://www.scopus.com/inward/record.uri?eid=2-s2.0-84940467172&amp;doi=10.1111%2fnph.13447&amp;partnerID=40&amp;md5=e916c9e4b95c62d3cb1c1023f63449a5</t>
  </si>
  <si>
    <t>A significant fraction of carbon stored in the Earth's soil moves through arbuscular mycorrhiza (AM) and ectomycorrhiza (EM). The impacts of AM and EM on the soil carbon budget are poorly understood. We propose a method to quantify the mycorrhizal contribution to carbon cycling, explicitly accounting for the abundance of plant-associated and extraradical mycorrhizal mycelium. We discuss the need to acquire additional data to use our method, and present our new global database holding information on plant species-by-site intensity of root colonization by mycorrhizas. We demonstrate that the degree of mycorrhizal fungal colonization has globally consistent patterns across plant species. This suggests that the level of plant species-specific root colonization can be used as a plant trait. To exemplify our method, we assessed the differential impacts of AM : EM ratio and EM shrub encroachment on carbon stocks in sub-arctic tundra. AM and EM affect tundra carbon stocks at different magnitudes, and via partly distinct dominant pathways: via extraradical mycelium (both EM and AM) and via mycorrhizal impacts on above- and belowground biomass carbon (mostly AM). Our method provides a powerful tool for the quantitative assessment of mycorrhizal impact on local and global carbon cycling processes, paving the way towards an improved understanding of the role of mycorrhizas in the Earth's carbon cycle. © 2015 New Phytologist Trust.</t>
  </si>
  <si>
    <t>Arbuscular mycorrhizal (AM) fungi; Ectomycorrhizal (EM) fungi; Extraradical mycelium; Intraradical mycelium; Plant trait; Root length colonization; Root tips; Sub-arctic ecosystems</t>
  </si>
  <si>
    <t>Blackwell P., Joseph S., Munroe P., Anawar H.M., Storer P., Gilkes R.J., Solaiman Z.M.</t>
  </si>
  <si>
    <t>Influences of Biochar and Biochar-Mineral Complex on Mycorrhizal Colonisation and Nutrition of Wheat and Sorghum</t>
  </si>
  <si>
    <t>Pedosphere</t>
  </si>
  <si>
    <t>10.1016/S1002-0160(15)30049-7</t>
  </si>
  <si>
    <t>https://www.scopus.com/inward/record.uri?eid=2-s2.0-84939798382&amp;doi=10.1016%2fS1002-0160%2815%2930049-7&amp;partnerID=40&amp;md5=01dd58aaaa4d39ddb1e9a9868c224ac4</t>
  </si>
  <si>
    <t>Carbon sequestration; Nutrient uptake; P use efficiency; Soil biological fertility; Wheat production</t>
  </si>
  <si>
    <t>Thorley R.M.S., Taylor L.L., Banwart S.A., Leake J.R., Beerling D.J.</t>
  </si>
  <si>
    <t>The role of forest trees and their mycorrhizal fungi in carbonate rock weathering and its significance for global carbon cycling</t>
  </si>
  <si>
    <t>10.1111/pce.12444</t>
  </si>
  <si>
    <t>https://www.scopus.com/inward/record.uri?eid=2-s2.0-84938613585&amp;doi=10.1111%2fpce.12444&amp;partnerID=40&amp;md5=d5a5c3563d19f301158367e7e63bc2a2</t>
  </si>
  <si>
    <t>Alkalinity; Arbuscular mycorrhiza; Chemical weathering; Climate change; Ectomycorrhiza; Soil carbonates; Soil pH</t>
  </si>
  <si>
    <t>Tiunov A.V., Semenina E.E., Aleksandrova A.V., Tsurikov S.M., Anichkin A.E., Novozhilov Y.K.</t>
  </si>
  <si>
    <t>Rapid Communications in Mass Spectrometry</t>
  </si>
  <si>
    <t>10.1002/rcm.7238</t>
  </si>
  <si>
    <t>https://www.scopus.com/inward/record.uri?eid=2-s2.0-84937781226&amp;doi=10.1002%2frcm.7238&amp;partnerID=40&amp;md5=94989ff5be364096462c4c75d49f5680</t>
  </si>
  <si>
    <t>Quirk J., Leake J.R., Johnson D.A., Taylor L.L., Saccone L., Beerling D.J.</t>
  </si>
  <si>
    <t>Constraining the role of early land plants in Palaeozoic weathering and global cooling</t>
  </si>
  <si>
    <t>Proceedings of the Royal Society B: Biological Sciences</t>
  </si>
  <si>
    <t>10.1098/rspb.2015.1115</t>
  </si>
  <si>
    <t>https://www.scopus.com/inward/record.uri?eid=2-s2.0-84938878507&amp;doi=10.1098%2frspb.2015.1115&amp;partnerID=40&amp;md5=4d848198b478a643b6d035817d33604f</t>
  </si>
  <si>
    <t>Arbuscular mycorrhiza; Atmospheric CO2; Biological weathering; Land plant evolution; Palaeozoic climate</t>
  </si>
  <si>
    <t>Redefining fine roots improves understanding of below-ground contributions to terrestrial biosphere processes</t>
  </si>
  <si>
    <t>10.1111/nph.13363</t>
  </si>
  <si>
    <t>https://www.scopus.com/inward/record.uri?eid=2-s2.0-84936171362&amp;doi=10.1111%2fnph.13363&amp;partnerID=40&amp;md5=1b451639ea2fa100027baf942f5e6d75</t>
  </si>
  <si>
    <t>Below ground; Ecosystem; Ecosystem modeling; Fine-root order; Mycorrhizal fungi; Net primary productivity (NPP); Plant allocation; Plant traits</t>
  </si>
  <si>
    <t>Brunner I., Herzog C., Dawes M.A., Arend M., Sperisen C.</t>
  </si>
  <si>
    <t>How tree roots respond to drought</t>
  </si>
  <si>
    <t>JULY</t>
  </si>
  <si>
    <t>10.3389/fpls.2015.00547</t>
  </si>
  <si>
    <t>https://www.scopus.com/inward/record.uri?eid=2-s2.0-84938301615&amp;doi=10.3389%2ffpls.2015.00547&amp;partnerID=40&amp;md5=754fb5448fb6425cfdf056147ef7c21e</t>
  </si>
  <si>
    <t>Abscisic acid; Avoidance; Carbon sequestration; Hydraulic signals; Molecular responses; Mycorrhizas; Tolerance; Tree root traits</t>
  </si>
  <si>
    <t>Kobae Y., Kawachi M., Saito K., Kikuchi Y., Ezawa T., Maeshima M., Hata S., Fujiwara T.</t>
  </si>
  <si>
    <t>Up-regulation of genes involved in N-acetylglucosamine uptake and metabolism suggests a recycling mode of chitin in intraradical mycelium of arbuscular mycorrhizal fungi</t>
  </si>
  <si>
    <t>10.1007/s00572-014-0623-2</t>
  </si>
  <si>
    <t>https://www.scopus.com/inward/record.uri?eid=2-s2.0-84930823490&amp;doi=10.1007%2fs00572-014-0623-2&amp;partnerID=40&amp;md5=fe4881b98acdc7dc7611a0f0e3fca424</t>
  </si>
  <si>
    <t>Arbuscular mycorrhizal fungi; Chitin recycling; N-acetylglucosamine (GlcNAc) transporter; Rhizophagus irregularis</t>
  </si>
  <si>
    <t>Kudrin A.A., Tsurikov S.M., Tiunov A.V.</t>
  </si>
  <si>
    <t>Trophic position of microbivorous and predatory soil nematodes in a boreal forest as indicated by stable isotope analysis</t>
  </si>
  <si>
    <t>10.1016/j.soilbio.2015.03.017</t>
  </si>
  <si>
    <t>https://www.scopus.com/inward/record.uri?eid=2-s2.0-84928523477&amp;doi=10.1016%2fj.soilbio.2015.03.017&amp;partnerID=40&amp;md5=6d29a89a3aeae14c4d6bf939232678d9</t>
  </si>
  <si>
    <t>Canopy effect; Ectomycorrhiza; Predators; Soil food web; Stable isotope analysis</t>
  </si>
  <si>
    <t>Krishnamoorthy R., Kim C.-G., Subramanian P., Kim K.-Y., Selvakumar G., Sa T.-M.</t>
  </si>
  <si>
    <t>Arbuscular Mycorrhizal Fungi community structure, abundance and species richness changes in soil by different levels of heavy metal and metalloid concentration</t>
  </si>
  <si>
    <t>e0128784</t>
  </si>
  <si>
    <t>10.1371/journal.pone.0128784</t>
  </si>
  <si>
    <t>https://www.scopus.com/inward/record.uri?eid=2-s2.0-84932613544&amp;doi=10.1371%2fjournal.pone.0128784&amp;partnerID=40&amp;md5=7d40b62cdfba8c1c38cabea7edbebd24</t>
  </si>
  <si>
    <t>Recently fixed carbon allocation in strawberry plants and concurrent inorganic nitrogen uptake through arbuscular mycorrhizal fungi</t>
  </si>
  <si>
    <t>Journal of Plant Physiology</t>
  </si>
  <si>
    <t>10.1016/j.jplph.2015.02.008</t>
  </si>
  <si>
    <t>https://www.scopus.com/inward/record.uri?eid=2-s2.0-84963949897&amp;doi=10.1016%2fj.jplph.2015.02.008&amp;partnerID=40&amp;md5=caedf2f36dbae64a7163e45f6e6f430e</t>
  </si>
  <si>
    <t>Dual-labeling experiment; Fragaria x ananassa; Hyphal N uptake; Photosynthetic capacity; Stable isotopes</t>
  </si>
  <si>
    <t>Liu N., Kan H.M., Yang G.W., Zhang Y.J.</t>
  </si>
  <si>
    <t>Changes in plant, soil, and microbes in a typical steppe from simulated grazing: Explaining potential change in soil C</t>
  </si>
  <si>
    <t>Ecological Monographs</t>
  </si>
  <si>
    <t>10.1890/14-1368.1</t>
  </si>
  <si>
    <t>https://www.scopus.com/inward/record.uri?eid=2-s2.0-84929080453&amp;doi=10.1890%2f14-1368.1&amp;partnerID=40&amp;md5=b43bbd5df279fc8b02f672573fd00a56</t>
  </si>
  <si>
    <t>China; Defoliation; Dung and urine return; Grassland; Grazing; Inner Mongolia; Plant attributes; Soil abiotic characteristics; Soil microbial community; Trampling</t>
  </si>
  <si>
    <t>Kedia R., Sharma A.</t>
  </si>
  <si>
    <t>Bioremediation of industrial effluents using Arbuscular Mycorrhizal Fungi</t>
  </si>
  <si>
    <t>Biosciences Biotechnology Research Asia</t>
  </si>
  <si>
    <t>10.13005/bbra/1651</t>
  </si>
  <si>
    <t>https://www.scopus.com/inward/record.uri?eid=2-s2.0-84930469132&amp;doi=10.13005%2fbbra%2f1651&amp;partnerID=40&amp;md5=f7013a4940b861cf97f61f2ecdbfc49b</t>
  </si>
  <si>
    <t>Mother Nature can feed us but human appetite is uncontrollable. The rapid expansion and sophistication of industries over the last thirty years in increasing amount has contributed to enormous waste effluents and their untreated escape in environmental bodies is causing pollution and imbalance in ecosystem. To reduce impurities and prevention from ill effects in nature scientists have developed eco friendly techniques and bioremediation has emerged as a clean and green technology as it employs use of microorganisms like fungi and bacteria to restore environment from contaminants like petroleum products, heavy metals, weedicides, sludge waste, textiles, fly ash, paper and pulp effluents. Technologies like Phytoremediation, Phytostabilization, Bioaugmentation, Phytoextraction, Rhizofiltration, Biosorption, Biostimulation, and Hyperaccumulation have substantiated effects in amelioration of environment. The promising technique is Mycoremediation incorporating the removal or requisition of toxic compounds employing fungi, an efficient tool as it shows tolerance to extreme physical and chemical conditions, easy large scale fermentation, and most important its symbiotic association with plants and contribution in nutrient increase in biogeochemical cycles. Arbuscular Mycorrhizal Fungi are vital soil microbes proven benefits in increased yields, crops quality, stress tolerance and capturing of heavy metals.</t>
  </si>
  <si>
    <t>Arbuscular Mycorrhizal Fungi; Bioremediation; Heavy metals; Industrial effluents</t>
  </si>
  <si>
    <t>Zhang J., Tang X., He X., Liu J.</t>
  </si>
  <si>
    <t>Glomalin-related soil protein responses to elevated CO2 and nitrogen addition in a subtropical forest: Potential consequences for soil carbon accumulation</t>
  </si>
  <si>
    <t>10.1016/j.soilbio.2015.01.023</t>
  </si>
  <si>
    <t>https://www.scopus.com/inward/record.uri?eid=2-s2.0-84923063159&amp;doi=10.1016%2fj.soilbio.2015.01.023&amp;partnerID=40&amp;md5=1172dcf2e6b01e7f5d94f1f08917e6e9</t>
  </si>
  <si>
    <t>Elevated CO2; Glomalin; N deposition; Soil organic carbon; Subtropical forest</t>
  </si>
  <si>
    <t>Wittich B., Homeier J., Leuschner C.</t>
  </si>
  <si>
    <t>Ammonium, nitrate and glycine uptake of six Ecuadorian tropical montane forest tree species: An in situ pot experiment with saplings</t>
  </si>
  <si>
    <t>10.1017/S0266467414000650</t>
  </si>
  <si>
    <t>https://www.scopus.com/inward/record.uri?eid=2-s2.0-84922129246&amp;doi=10.1017%2fS0266467414000650&amp;partnerID=40&amp;md5=9859dc90956b963f3e72da903a14b6bd</t>
  </si>
  <si>
    <t>15N tracer study; Altitudinal gradient; dual-labelled glycine; Graffenrieda harlingii; Hedyosmum purpurascens; Hedyosmum sprucei; Hedyosmum translucidum; Myrcia sp. nov.; nitrogen uptake; Pouteria torta</t>
  </si>
  <si>
    <t>Moore J.A.M., Jiang J., Post W.M., Classen A.T.</t>
  </si>
  <si>
    <t>Decomposition by ectomycorrhizal fungi alters soil carbon storage in a simulation model</t>
  </si>
  <si>
    <t>10.1890/ES14-00301.1</t>
  </si>
  <si>
    <t>https://www.scopus.com/inward/record.uri?eid=2-s2.0-84926459202&amp;doi=10.1890%2fES14-00301.1&amp;partnerID=40&amp;md5=f50570b1446faa5421f2b1f901f467c4</t>
  </si>
  <si>
    <t>Carbon cycle; Decomposition; Ectomycorrhizae; Extracellular enzyme activity; Plant-soil interactions; Simulation model; Soil carbon sequestration</t>
  </si>
  <si>
    <t>Two widespread green Neottia species (Orchidaceae) show mycorrhizal preference for Sebacinales in various habitats and ontogenetic stages</t>
  </si>
  <si>
    <t>10.1111/mec.13088</t>
  </si>
  <si>
    <t>https://www.scopus.com/inward/record.uri?eid=2-s2.0-84923608702&amp;doi=10.1111%2fmec.13088&amp;partnerID=40&amp;md5=cba63e40847c6e92ebd50b2183f63089</t>
  </si>
  <si>
    <t>germination; mixotrophy; Neottieae; orchid mycorrhiza; Orchidaceae; Sebacinales</t>
  </si>
  <si>
    <t>Lindahl B.D., Tunlid A.</t>
  </si>
  <si>
    <t>Ectomycorrhizal fungi - potential organic matter decomposers, yet not saprotrophs</t>
  </si>
  <si>
    <t>10.1111/nph.13201</t>
  </si>
  <si>
    <t>https://www.scopus.com/inward/record.uri?eid=2-s2.0-84922892995&amp;doi=10.1111%2fnph.13201&amp;partnerID=40&amp;md5=6e8d73ccbee4ffb512af42d5ca706540</t>
  </si>
  <si>
    <t>Carbon sequestration; Decomposition; Ectomycorrhiza; Nitrogen cycling; Organic matter oxidation; Priming effect</t>
  </si>
  <si>
    <t>Field K.J., Leake J.R., Tille S., Allinson K.E., Rimington W.R., Bidartondo M.I., Beerling D.J., Cameron D.D.</t>
  </si>
  <si>
    <t>From mycoheterotrophy to mutualism: Mycorrhizal specificity and functioning in Ophioglossum vulgatum sporophytes</t>
  </si>
  <si>
    <t>10.1111/nph.13263</t>
  </si>
  <si>
    <t>https://www.scopus.com/inward/record.uri?eid=2-s2.0-84922842566&amp;doi=10.1111%2fnph.13263&amp;partnerID=40&amp;md5=edd1ee96e49af6e86601a5b6398fa6a4</t>
  </si>
  <si>
    <t>Ophioglossum vulgatum; Competition; Ferns; Mycoheterotrophy; Mycorrhiza; Ophioglossaceae; Specificity; Symbiosis</t>
  </si>
  <si>
    <t>Clemmensen K.E., Finlay R.D., Dahlberg A., Stenlid J., Wardle D.A., Lindahl B.D.</t>
  </si>
  <si>
    <t>Carbon sequestration is related to mycorrhizal fungal community shifts during long-term succession in boreal forests</t>
  </si>
  <si>
    <t>10.1111/nph.13208</t>
  </si>
  <si>
    <t>https://www.scopus.com/inward/record.uri?eid=2-s2.0-84922809677&amp;doi=10.1111%2fnph.13208&amp;partnerID=40&amp;md5=e375d66447ace1b8de0cbf5b132009d0</t>
  </si>
  <si>
    <t>454-sequencing; Betula pubescens; Boreal forest; Carbon (C) sequestration; Ectomycorrhizal exploration types; Mycorrhizal symbiosis; Picea abies; Pinus sylvestris</t>
  </si>
  <si>
    <t>Chaib De Mares M., Hess J., Floudas D., Lipzen A., Choi C., Kennedy M., Grigoriev I.V., Pringle A.</t>
  </si>
  <si>
    <t>Horizontal transfer of carbohydrate metabolism genes into ectomycorrhizal Amanita</t>
  </si>
  <si>
    <t>10.1111/nph.13140</t>
  </si>
  <si>
    <t>https://www.scopus.com/inward/record.uri?eid=2-s2.0-84922796611&amp;doi=10.1111%2fnph.13140&amp;partnerID=40&amp;md5=c92be94ba3ecca6da8864da61d99174c</t>
  </si>
  <si>
    <t>Amanita; Carbohydrate metabolism; Comparative genomics; Evolution of symbiosis; Evolutionary novelty; Horizontal gene transfer (HGT); Saprotrophy</t>
  </si>
  <si>
    <t>Kaiser C., Kilburn M.R., Clode P.L., Fuchslueger L., Koranda M., Cliff J.B., Solaiman Z.M., Murphy D.V.</t>
  </si>
  <si>
    <t>Exploring the transfer of recent plant photosynthates to soil microbes: Mycorrhizal pathway vs direct root exudation</t>
  </si>
  <si>
    <t>10.1111/nph.13138</t>
  </si>
  <si>
    <t>https://www.scopus.com/inward/record.uri?eid=2-s2.0-84922788904&amp;doi=10.1111%2fnph.13138&amp;partnerID=40&amp;md5=93bf4dc98050e144a456f8ea734e0bdc</t>
  </si>
  <si>
    <t>Arbuscular mycorrhizal (AM) fungi; Belowground carbon allocation; Hyphosphere; Mycorrhizosphere; NanoSIMS; Priming effect; Recent photosynthates; Root exudates</t>
  </si>
  <si>
    <t>Fernandez C.W., Kennedy P.G.</t>
  </si>
  <si>
    <t>Moving beyond the black-box: Fungal traits, community structure, and carbon sequestration in forest soils</t>
  </si>
  <si>
    <t>10.1111/nph.13289</t>
  </si>
  <si>
    <t>https://www.scopus.com/inward/record.uri?eid=2-s2.0-84922779654&amp;doi=10.1111%2fnph.13289&amp;partnerID=40&amp;md5=e33aab43e61fce6a5f32de6e938c370d</t>
  </si>
  <si>
    <t>Carbon cycle; Microbial black-box; Mycorrhizal fungi; Soil organic matter; Traits</t>
  </si>
  <si>
    <t>Species-dependent partitioning of C and N stable isotopes between arbuscular mycorrhizal fungi and their C3 and C4 hosts</t>
  </si>
  <si>
    <t>10.1016/j.soilbio.2014.12.005</t>
  </si>
  <si>
    <t>https://www.scopus.com/inward/record.uri?eid=2-s2.0-84920897058&amp;doi=10.1016%2fj.soilbio.2014.12.005&amp;partnerID=40&amp;md5=24144f952d8e5ff5a11b5a85ca4c964f</t>
  </si>
  <si>
    <t>Liebel H.T., Bidartondo M.I., Gebauer G.</t>
  </si>
  <si>
    <t>Are carbon and nitrogen exchange between fungi and the orchid Goodyera repens affected by irradiance?</t>
  </si>
  <si>
    <t>10.1093/aob/mcu240</t>
  </si>
  <si>
    <t>https://www.scopus.com/inward/record.uri?eid=2-s2.0-84922496686&amp;doi=10.1093%2faob%2fmcu240&amp;partnerID=40&amp;md5=ea8b77cd76f8ca56fddea81fc34d5c24</t>
  </si>
  <si>
    <t>13C; 15N; Ceratobasidium; chlorophyll concentration; Goodyera repens; light availability; mycoheterotrophy; mycorrhiza; nutrition; orchid; stable isotopes; Tulasnella</t>
  </si>
  <si>
    <t>Ercole E., Adamo M., Rodda M., Gebauer G., Girlanda M., Perotto S.</t>
  </si>
  <si>
    <t>Temporal variation in mycorrhizal diversity and carbon and nitrogen stable isotope abundance in the wintergreen meadow orchid Anacamptis morio</t>
  </si>
  <si>
    <t>10.1111/nph.13109</t>
  </si>
  <si>
    <t>https://www.scopus.com/inward/record.uri?eid=2-s2.0-84920997582&amp;doi=10.1111%2fnph.13109&amp;partnerID=40&amp;md5=68f3a0cec4be666aea83f5cd9a701515</t>
  </si>
  <si>
    <t>Anacamptis morio; Fungal diversity; Mixotrophy; Mycorrhizal temporal variation; Orchid mycorrhiza; Stable isotope dynamics</t>
  </si>
  <si>
    <t>Rennenberg H.</t>
  </si>
  <si>
    <t>Communities and Ecosystem Functioning</t>
  </si>
  <si>
    <t>Ecological Biochemistry: Environmental and Interspecies Interactions</t>
  </si>
  <si>
    <t>10.1002/9783527686063.ch5</t>
  </si>
  <si>
    <t>https://www.scopus.com/inward/record.uri?eid=2-s2.0-84948969418&amp;doi=10.1002%2f9783527686063.ch5&amp;partnerID=40&amp;md5=4004d2aba2180f2bb54bc3cc5cf0aac2</t>
  </si>
  <si>
    <t>Competition; Competition avoidance; Denitrifier; Fixation; Mycorrhizal; Net primary productivity; Nitrifier; Nitrogen; Photoinhibition; Rhizosphere; Root exudation; Space occupation</t>
  </si>
  <si>
    <t>Leberecht M., Dannenmann M., Gschwendtner S., Bilela S., Meier R., Simon J., Rennenberg H., Schloter M., Polle A.</t>
  </si>
  <si>
    <t>Ectomycorrhizal communities on the roots of two beech (Fagus sylvatica) populations from contrasting climates differ in nitrogen acquisition in a common environment</t>
  </si>
  <si>
    <t>10.1128/AEM.01481-15</t>
  </si>
  <si>
    <t>https://www.scopus.com/inward/record.uri?eid=2-s2.0-84938791707&amp;doi=10.1128%2fAEM.01481-15&amp;partnerID=40&amp;md5=8bbc248024e02956dc9631214d966531</t>
  </si>
  <si>
    <t>Malik A.A., Dannert H., Griffiths R.I., Thomson B.C., Gleixner G.</t>
  </si>
  <si>
    <t>Rhizosphere bacterial carbon turnover is higher in nucleic acids than membrane lipids: Implications for understanding soil carbon cycling</t>
  </si>
  <si>
    <t>10.3389/fmicb.2015.00268</t>
  </si>
  <si>
    <t>https://www.scopus.com/inward/record.uri?eid=2-s2.0-84930943199&amp;doi=10.3389%2ffmicb.2015.00268&amp;partnerID=40&amp;md5=41b35bfff6870b09f2ebb03ee98df530</t>
  </si>
  <si>
    <t>13C tracer experiment; Bacteria; Carbon; DNA; Fungi; PLFA; RNA; Soil</t>
  </si>
  <si>
    <t>Heinonsalo J., Juurola E., Linden A., Pumpanen J.</t>
  </si>
  <si>
    <t>Ectomycorrhizal fungi affect Scots pine photosynthesis through nitrogen and water economy, not only through increased carbon demand</t>
  </si>
  <si>
    <t>10.1016/j.envexpbot.2014.08.008</t>
  </si>
  <si>
    <t>https://www.scopus.com/inward/record.uri?eid=2-s2.0-84930672785&amp;doi=10.1016%2fj.envexpbot.2014.08.008&amp;partnerID=40&amp;md5=6c8be671606b9f2c06c3909918d4c10f</t>
  </si>
  <si>
    <t>Ectomycorrhiza; Photosynthesis; Scots pine; Sink strength; Symbiosis</t>
  </si>
  <si>
    <t>Johansson V.A., Mikusinska A., Ekblad A., Eriksson O.</t>
  </si>
  <si>
    <t>Partial mycoheterotrophy in Pyroleae: nitrogen and carbon stable isotope signatures during development from seedling to adult</t>
  </si>
  <si>
    <t>10.1007/s00442-014-3137-x</t>
  </si>
  <si>
    <t>https://www.scopus.com/inward/record.uri?eid=2-s2.0-84925487735&amp;doi=10.1007%2fs00442-014-3137-x&amp;partnerID=40&amp;md5=2d579c56a5dc9b84c163d186ee8cdb2f</t>
  </si>
  <si>
    <t>Dust seeds; Ericaceae; Mycoheterotrophy; Stable isotopes; Subterranean seedlings</t>
  </si>
  <si>
    <t>Shahzad T., Chenu C., Genet P., Barot S., Perveen N., Mougin C., Fontaine S.</t>
  </si>
  <si>
    <t>Contribution of exudates, arbuscular mycorrhizal fungi and litter depositions to the rhizosphere priming effect induced by grassland species</t>
  </si>
  <si>
    <t>10.1016/j.soilbio.2014.09.023</t>
  </si>
  <si>
    <t>https://www.scopus.com/inward/record.uri?eid=2-s2.0-84908431421&amp;doi=10.1016%2fj.soilbio.2014.09.023&amp;partnerID=40&amp;md5=970b06eb46bad07c3f38f92c7603a327</t>
  </si>
  <si>
    <t>Continuous 13C labeling; Grasslands; Microbial community; PLFA; Priming effect; Root exudates; SOM mineralization</t>
  </si>
  <si>
    <t>Valtanen K., Eissfeller V., Beyer F., Hertel D., Scheu S., Polle A.</t>
  </si>
  <si>
    <t>Carbon and nitrogen fluxes between beech and their ectomycorrhizal assemblage</t>
  </si>
  <si>
    <t>10.1007/s00572-014-0581-8</t>
  </si>
  <si>
    <t>https://www.scopus.com/inward/record.uri?eid=2-s2.0-84930148645&amp;doi=10.1007%2fs00572-014-0581-8&amp;partnerID=40&amp;md5=3aee3a2394710be500b2552fb8f9b718</t>
  </si>
  <si>
    <t>13C; 15N; Carbon and nitrogen exchange; Ectomycorrhizal diversity; Stable isotopes</t>
  </si>
  <si>
    <t>Cheeke T.E., Darby H., Rosenstiel T.N., Bever J.D., Cruzan M.B.</t>
  </si>
  <si>
    <t>Effect of Bacillus thuringiensis (Bt) maize cultivation history on arbuscular mycorrhizal fungal colonization, spore abundance and diversity, and plant growth</t>
  </si>
  <si>
    <t>10.1016/j.agee.2014.05.019</t>
  </si>
  <si>
    <t>https://www.scopus.com/inward/record.uri?eid=2-s2.0-84901989710&amp;doi=10.1016%2fj.agee.2014.05.019&amp;partnerID=40&amp;md5=86842062b49ebe3f634d3f2d4cb40306</t>
  </si>
  <si>
    <t>Arbuscular mycorrhizal fungi (AMF); Bacillus thuringiensis (Bt); Genetically modified; Maize (corn, Zea mays); Plant-soil feedback; Transgenic</t>
  </si>
  <si>
    <t>Gil-Cardeza M.L., Ferri A., Cornejo P., Gomez E.</t>
  </si>
  <si>
    <t>Distribution of chromium species in a Cr-polluted soil: Presence of Cr(III) in glomalin related protein fraction</t>
  </si>
  <si>
    <t>10.1016/j.scitotenv.2014.06.080</t>
  </si>
  <si>
    <t>https://www.scopus.com/inward/record.uri?eid=2-s2.0-84903852000&amp;doi=10.1016%2fj.scitotenv.2014.06.080&amp;partnerID=40&amp;md5=415727a01ac1c45541532aede460fd28</t>
  </si>
  <si>
    <t>Arbuscular mycorrhizal fungi; Glomalin related soil protein; Mycorrhizostablilization; Phytoremediation; Potentially toxic elements; Trivalent and hexavalent chromium</t>
  </si>
  <si>
    <t>Balasooriya W.K., Denef K., Huygens D., Boeckx P.</t>
  </si>
  <si>
    <t>Translocation and turnover of rhizodeposit carbon within soil microbial communities of an extensive grassland ecosystem</t>
  </si>
  <si>
    <t>10.1007/s11104-012-1343-z</t>
  </si>
  <si>
    <t>https://www.scopus.com/inward/record.uri?eid=2-s2.0-85027931383&amp;doi=10.1007%2fs11104-012-1343-z&amp;partnerID=40&amp;md5=a10fad9a52e542a9006fd82f4d8eb3a9</t>
  </si>
  <si>
    <t>13C Pulse-labeling; Microbial carbon turnover; Rhizodeposition; SIP-PLFA; Soil microbial community structure</t>
  </si>
  <si>
    <t>Chagnon P.-L., Bainard L.D.</t>
  </si>
  <si>
    <t>Is root DNA a reliable proxy to assess arbuscular mycorrhizal community structure?</t>
  </si>
  <si>
    <t>Canadian Journal of Microbiology</t>
  </si>
  <si>
    <t>10.1139/cjm-2014-0235</t>
  </si>
  <si>
    <t>https://www.scopus.com/inward/record.uri?eid=2-s2.0-84906968046&amp;doi=10.1139%2fcjm-2014-0235&amp;partnerID=40&amp;md5=115ddca5241ae31e3de12ee2c764edba</t>
  </si>
  <si>
    <t>Rewald B., Godbold D.L., Falik O., Rachmilevitch S.</t>
  </si>
  <si>
    <t>Root and rhizosphere processes-high time to dig deeper</t>
  </si>
  <si>
    <t>10.3389/fpls.2014.00278</t>
  </si>
  <si>
    <t>https://www.scopus.com/inward/record.uri?eid=2-s2.0-84979561613&amp;doi=10.3389%2ffpls.2014.00278&amp;partnerID=40&amp;md5=9c096feca6d42a7561eed4fba32491e6</t>
  </si>
  <si>
    <t>Aluminum; Botany; Carbon sequestration; Coarse roots; Crop breeding; Deep roots; Drought tolerance; Earthworms; Ecophysiology of plants; Ectomycorrhizae; Heavy metals; Lead; Mycorrhizae; Plant growth promoting bacteria; Rhizosphere; Root dynamics; Root ecology; Root morphology; Root physiology; Root system architecture; Root system model; Root traits; Soil hydrology; Soil science</t>
  </si>
  <si>
    <t>Williams A., Hedlund K.</t>
  </si>
  <si>
    <t>Indicators and trade-offs of ecosystem services in agricultural soils along a landscape heterogeneity gradient</t>
  </si>
  <si>
    <t>10.1016/j.apsoil.2014.01.001</t>
  </si>
  <si>
    <t>https://www.scopus.com/inward/record.uri?eid=2-s2.0-84893429852&amp;doi=10.1016%2fj.apsoil.2014.01.001&amp;partnerID=40&amp;md5=0a422a41ef810feb48a45642cd7f31c0</t>
  </si>
  <si>
    <t>Ecosystem services; Landscape complexity; Microbial community; Mycorrhiza; Soil carbon; Trade-offs</t>
  </si>
  <si>
    <t>Pritchard S.G., Taylor B.N., Cooper E.R., Beidler K.V., Strand A.E., Mccormack M.L., Zhang S.</t>
  </si>
  <si>
    <t>Long-term dynamics of mycorrhizal root tips in a loblolly pine forest grown with free-air CO2 enrichment and soil N fertilization for 6 years</t>
  </si>
  <si>
    <t>10.1111/gcb.12409</t>
  </si>
  <si>
    <t>https://www.scopus.com/inward/record.uri?eid=2-s2.0-84896736578&amp;doi=10.1111%2fgcb.12409&amp;partnerID=40&amp;md5=e356c00239a98f71920a88cd7efba6f4</t>
  </si>
  <si>
    <t>Fine roots; Free-air CO2 enrichment; Minirhizotron; Mycorrhiza; Net primary productivity (NPP); Progressive nitrogen limitation; Root turnover</t>
  </si>
  <si>
    <t>Wu B.</t>
  </si>
  <si>
    <t>Visualization of nutrient translocation in ectomycorrhizal symbioses1</t>
  </si>
  <si>
    <t>Botany</t>
  </si>
  <si>
    <t>10.1139/cjb-2013-0093</t>
  </si>
  <si>
    <t>https://www.scopus.com/inward/record.uri?eid=2-s2.0-84893854622&amp;doi=10.1139%2fcjb-2013-0093&amp;partnerID=40&amp;md5=24242d60628dd42535b16fb0c57fe34a</t>
  </si>
  <si>
    <t>Ectomycorrhizal (ECM) fungi receive photosynthetically fixed carbon from the host tree and, in return, supply nutrients such as phosphorus (P) and nitrogen (N) from the soil. An ECM symbiosis system in a two-dimensional, soil-free rhizobox was developed to visualize nutrient translocation during ECM symbioses using a digital, time-course autoradiographic technique with imaging plates. Several studies using 14C and 33P radioisotope tracing experiments are discussed to demonstrate the translocation of 33P-phosphoric acid and photosynthetically fixed carbon between fungi and host trees and between mycelia via mycelia anastomosis. Additionally, novel techniques that can visualize nutrient translocation during mycorrhizal symbioses are discussed.</t>
  </si>
  <si>
    <t>Autoradiography; Ectomycorrhizal (ECM) fungi; Hyphal anastomosis; Mycorrhizal network (MN); Radioisotope tracer</t>
  </si>
  <si>
    <t>Calonne M., Fontaine J., Debiane D., Laruelle F., Grandmougin-Ferjani A., Sahraoui A.L.-H.</t>
  </si>
  <si>
    <t>Impact of anthracene on the arbuscular mycorrhizal fungus lipid metabolism1</t>
  </si>
  <si>
    <t>10.1139/cjb-2013-0094</t>
  </si>
  <si>
    <t>https://www.scopus.com/inward/record.uri?eid=2-s2.0-84893837630&amp;doi=10.1139%2fcjb-2013-0094&amp;partnerID=40&amp;md5=9aa9ca65b66d987b086e5e24e0dabeb7</t>
  </si>
  <si>
    <t>Anthracene; Arbuscular mycorrhizal fungus; Lipid metabolism; Pollutants; Polycyclic aromatic hydrocarbons</t>
  </si>
  <si>
    <t>Du Z., Wang W., Zeng W., Zeng H.</t>
  </si>
  <si>
    <t>Nitrogen deposition enhances carbon sequestration by plantations in Northern China</t>
  </si>
  <si>
    <t>e87975</t>
  </si>
  <si>
    <t>10.1371/journal.pone.0087975</t>
  </si>
  <si>
    <t>https://www.scopus.com/inward/record.uri?eid=2-s2.0-84894625536&amp;doi=10.1371%2fjournal.pone.0087975&amp;partnerID=40&amp;md5=751ff4e164ad98c960be75669797e2de</t>
  </si>
  <si>
    <t>Prommer J., Wanek W., Hofhansl F., Trojan D., Offre P., Urich T., Schleper C., Sassmann S., Kitzler B., Soja G., Hood-Nowotny R.C.</t>
  </si>
  <si>
    <t>Biochar decelerates soil organic nitrogen cycling but stimulates soil nitrification in a temperate arable field trial</t>
  </si>
  <si>
    <t>e86388</t>
  </si>
  <si>
    <t>10.1371/journal.pone.0086388</t>
  </si>
  <si>
    <t>https://www.scopus.com/inward/record.uri?eid=2-s2.0-84900459684&amp;doi=10.1371%2fjournal.pone.0086388&amp;partnerID=40&amp;md5=1cdc0f3447b8ad4cd5f659694b91f8c0</t>
  </si>
  <si>
    <t>Averill C., Turner B.L., Finzi A.C.</t>
  </si>
  <si>
    <t>Mycorrhiza-mediated competition between plants and decomposers drives soil carbon storage</t>
  </si>
  <si>
    <t>Nature</t>
  </si>
  <si>
    <t>10.1038/nature12901</t>
  </si>
  <si>
    <t>https://www.scopus.com/inward/record.uri?eid=2-s2.0-84892792483&amp;doi=10.1038%2fnature12901&amp;partnerID=40&amp;md5=7357355e9d6839832c9e8680b860718b</t>
  </si>
  <si>
    <t>Knapp A.K., Carroll C.J.W., Fahey T.J.</t>
  </si>
  <si>
    <t>Patterns and controls of terrestrial primary production in a changing world</t>
  </si>
  <si>
    <t>Ecology and the Environment</t>
  </si>
  <si>
    <t>10.1007/978-1-4614-7501-9_2</t>
  </si>
  <si>
    <t>https://www.scopus.com/inward/record.uri?eid=2-s2.0-85010771276&amp;doi=10.1007%2f978-1-4614-7501-9_2&amp;partnerID=40&amp;md5=af955696162a3f004e9069c91f4be37f</t>
  </si>
  <si>
    <t>Grabmaier A., Heigl F., Eisenhauer N., van der Heijden M.G.A., Zaller J.G.</t>
  </si>
  <si>
    <t>Stable isotope labelling of earthworms can help deciphering belowground-aboveground interactions involving earthworms, mycorrhizal fungi, plants and aphids</t>
  </si>
  <si>
    <t>10.1016/j.pedobi.2014.10.002</t>
  </si>
  <si>
    <t>https://www.scopus.com/inward/record.uri?eid=2-s2.0-84922333743&amp;doi=10.1016%2fj.pedobi.2014.10.002&amp;partnerID=40&amp;md5=28c3cec7d7cb082dbd10ed070768293d</t>
  </si>
  <si>
    <t>Aboveground-belowground interactions; Aphids; Arbuscular mycorrhizal fungi; Earthworms; Multitrophic interactions; Stable isotopes</t>
  </si>
  <si>
    <t>Wilson S.D.</t>
  </si>
  <si>
    <t>Below-ground opportunities in vegetation science</t>
  </si>
  <si>
    <t>Journal of Vegetation Science</t>
  </si>
  <si>
    <t>10.1111/jvs.12168</t>
  </si>
  <si>
    <t>https://www.scopus.com/inward/record.uri?eid=2-s2.0-84919330368&amp;doi=10.1111%2fjvs.12168&amp;partnerID=40&amp;md5=f9d69324a5adc8949a38c32e65003f14</t>
  </si>
  <si>
    <t>Diversity; Heterogeneity; Invasion; Phenology; Production; Root; Species richness</t>
  </si>
  <si>
    <t>Barrett G., Campbell C.D., Hodge A.</t>
  </si>
  <si>
    <t>The direct response of the external mycelium of arbuscular mycorrhizal fungi to temperature and the implications for nutrient transfer</t>
  </si>
  <si>
    <t>10.1016/j.soilbio.2014.07.025</t>
  </si>
  <si>
    <t>https://www.scopus.com/inward/record.uri?eid=2-s2.0-84907352751&amp;doi=10.1016%2fj.soilbio.2014.07.025&amp;partnerID=40&amp;md5=bd5547fa22ffae343a0e3f9abc78a5a9</t>
  </si>
  <si>
    <t>Arbuscular mycorrhizal fungi; Extra-radical mycelium (ERM); Global climate change; Nitrogen; Organic material; Phosphorus</t>
  </si>
  <si>
    <t>Yin H., Wheeler E., Phillips R.P.</t>
  </si>
  <si>
    <t>Root-induced changes in nutrient cycling in forests depend on exudation rates</t>
  </si>
  <si>
    <t>10.1016/j.soilbio.2014.07.022</t>
  </si>
  <si>
    <t>https://www.scopus.com/inward/record.uri?eid=2-s2.0-84907347489&amp;doi=10.1016%2fj.soilbio.2014.07.022&amp;partnerID=40&amp;md5=c08dd1ad358821ffe3191fe811bfc571</t>
  </si>
  <si>
    <t>Arbuscular mycorrhizal fungi; Ectomycorrhizal fungi; Plant-microbial feedbacks; Priming effects; Rhizodeposition; Root exudation</t>
  </si>
  <si>
    <t>Hu J.L., Cui X.C., Lin X.G., Dai J., Chen R.R., Wang J.H., Wong M.H.</t>
  </si>
  <si>
    <t>Arbuscular mycorrhizal fungus enhances maize (Zea Mays L.) growth and organic carbon sequestration in wheat (Triticum Aestivum L.) straw-amended soils</t>
  </si>
  <si>
    <t>10.15666/aeer/1203_637644</t>
  </si>
  <si>
    <t>https://www.scopus.com/inward/record.uri?eid=2-s2.0-84906835953&amp;doi=10.15666%2faeer%2f1203_637644&amp;partnerID=40&amp;md5=ac8dfaf3148d27bc9954e1d76d6d8807</t>
  </si>
  <si>
    <t>Alkaline phosphatase; Glomus caledonium; P-uptake; Rhizosphere acidification; Straw return</t>
  </si>
  <si>
    <t>Stable isotope analysis, field observations and synthesis experiments suggest that Odontia is a non-mycorrhizal sister genus of Tomentella and Thelephora</t>
  </si>
  <si>
    <t>10.1016/j.funeco.2014.04.006</t>
  </si>
  <si>
    <t>https://www.scopus.com/inward/record.uri?eid=2-s2.0-84906775511&amp;doi=10.1016%2fj.funeco.2014.04.006&amp;partnerID=40&amp;md5=87b53fb87d9fc29a1e529afb2587096d</t>
  </si>
  <si>
    <t>Ectomycorrhizal lineages; Mycorrhizal ecology; Odontia (Thelephorales); Stable isotopes</t>
  </si>
  <si>
    <t>Hu J., Cui X., Dai J., Wang J., Chen R., Yin R., Lin X.</t>
  </si>
  <si>
    <t>Interactive effects of arbuscular mycorrhizae and maize (Zea mays L.) straws on wheat (Triticum aestivum L.) growth and organic carbon storage in a sandy loam soil</t>
  </si>
  <si>
    <t>Soil and Water Research</t>
  </si>
  <si>
    <t>10.17221/77/2013-swr</t>
  </si>
  <si>
    <t>https://www.scopus.com/inward/record.uri?eid=2-s2.0-84906249217&amp;doi=10.17221%2f77%2f2013-swr&amp;partnerID=40&amp;md5=f061e201231e420e7337603917dece97</t>
  </si>
  <si>
    <t>A pot experiment was conducted to study interactive effects of arbuscular mycorrhizae (AMs) and maize (Zea mays L.) straws on wheat (Triticum aestivum L.) growth and organic carbon (C) storage in a sterilized sandy loam soil. The experiment included four treatments: control, inoculation with AM fungus Glomus caledonium (M), amendment with maize straw (S), and amendment with maize straw plus inoculation with G. caledonium (S + M). The inoculation of G. caledonium significantly (P &lt; 0.05) increased wheat root biomass and root-to-straw ratio, but had no significant effects on shoot biomass, grain yield, and soil parameters. The amendment of maize straw significantly (P &lt; 0.05) decreased soil pH, wheat root biomass, and root-to-straw ratio, and significantly (P &lt; 0.05) increased soil invertase and alkaline phosphatase activities, but had no significant effects on shoot biomass, grain yield, soil organic C content, and urease activity. The combined application of G. caledonium and maize straw had no significant effects on root mycorrhizal colonization rate compared to the M treatment, while significantly (P &lt; 0.05) increased wheat root biomass and significantly (P &lt; 0.05) decreased soil pH compared to the S treatment, and also significantly (P &lt; 0.05) increased grain yield, soil organic C content, and urease activity compared to the control. The Two-Way ANOVA also showed interactive effects of G. caledonium and maize straw on soil pH (P &lt; 0.05) and wheat grain yield (P &lt; 0.01), and the redundancy analysis result indicated the potential application of AM fungi in straw-returned fields.</t>
  </si>
  <si>
    <t>Glomus caledonium; Rhizosphere acidification; Root-to-straw ratio; Soil enzyme; Straw return</t>
  </si>
  <si>
    <t>Walley F.L., Gillespie A.W., Adetona A.B., Germida J.J., Farrell R.E.</t>
  </si>
  <si>
    <t>Manipulation of rhizosphere organisms to enhance glomalin production and C sequestration: Pitfalls and promises</t>
  </si>
  <si>
    <t>Canadian Journal of Plant Science</t>
  </si>
  <si>
    <t>10.4141/CJPS2013-146</t>
  </si>
  <si>
    <t>https://www.scopus.com/inward/record.uri?eid=2-s2.0-84904413629&amp;doi=10.4141%2fCJPS2013-146&amp;partnerID=40&amp;md5=2896e25ed090a6eb10bb24d9c9a37690</t>
  </si>
  <si>
    <t>Arbuscular mycorrhizal fungi (AMF) reportedly produce glomalin, a glycoprotein that has the potential to increase soil carbon (C) and nitrogen (N) storage. We hypothesized that interactions between rhizosphere microorganisms, such as plant growth-promoting rhizobacteria (PGPR), and AMF, would influence glomalin production. Our objectives were to determine the effects of AMF/PGPR interactions on plant growth and glomalin production in the rhizosphere of pea (Pisum sativum L.) with the goal of enhancing C and N storage in the rhizosphere. One component of the study focussed on the molecular characterization of glomalin and glomalin-related soil protein (GRSP) using complementary synchrotronbased N and C X-ray absorption near-edge structure (XANES) spectroscopy, pyrolysis field ionization mass spectrometry (Py-FIMS), and proteomics techniques to characterize specific organic C and N fractions associated with glomalin production. Our research ultimately led us to conclude that the proteinaceous material extracted, and characterized in the literature, as GRSP is not exclusively of AMF origin. Our research supports the established concept that GRSP is important to soil quality, and C and N storage, irrespective of origin. However, efforts to manipulate this important soil C pool will remain compromised until we more clearly elucidate the chemical nature and origin of this resource.</t>
  </si>
  <si>
    <t>Arbuscular mycorrhizal fungi; Carbon sequestration; Glomalin-related soil protein; Mycorrhizosphere; Plant growth-promoting rhizobacteria; Rhizosphere</t>
  </si>
  <si>
    <t>Hafner S., Wiesenberg G.L.B., Stolnikova E., Merz K., Kuzyakov Y.</t>
  </si>
  <si>
    <t>Spatial distribution and turnover of root-derived carbon in alfalfa rhizosphere depending on top- and subsoil properties and mycorrhization</t>
  </si>
  <si>
    <t>10.1007/s11104-014-2059-z</t>
  </si>
  <si>
    <t>https://www.scopus.com/inward/record.uri?eid=2-s2.0-84903524020&amp;doi=10.1007%2fs11104-014-2059-z&amp;partnerID=40&amp;md5=1612d6d322c11a2fb3497025210ef98e</t>
  </si>
  <si>
    <t>C partitioning; Medicago sativa; Plant-soil-microorganism interactions; Subsoil; Topsoil</t>
  </si>
  <si>
    <t>Long-term 13C labeling provides evidence for temporal and spatial carbon allocation patterns in mature Picea abies</t>
  </si>
  <si>
    <t>10.1007/s00442-014-2935-5</t>
  </si>
  <si>
    <t>https://www.scopus.com/inward/record.uri?eid=2-s2.0-84902826494&amp;doi=10.1007%2fs00442-014-2935-5&amp;partnerID=40&amp;md5=9228e4f4f02a9e459483be8fa02b2080</t>
  </si>
  <si>
    <t>Carbon isotopes; FACE; Forest; Respiration</t>
  </si>
  <si>
    <t>Bellino A., Alfani A., Selosse M.-A., Guerrieri R., Borghetti M., Baldantoni D.</t>
  </si>
  <si>
    <t>Nutritional regulation in mixotrophic plants: New insights from Limodorum abortivum</t>
  </si>
  <si>
    <t>10.1007/s00442-014-2940-8</t>
  </si>
  <si>
    <t>https://www.scopus.com/inward/record.uri?eid=2-s2.0-84902820308&amp;doi=10.1007%2fs00442-014-2940-8&amp;partnerID=40&amp;md5=5411d5a9b5d32aa0e528f9738b30f491</t>
  </si>
  <si>
    <t>Evolution; Mycoheterotrophy; Orchids; Photosynthetic pigments</t>
  </si>
  <si>
    <t>Allen M.F., Kitajima K.</t>
  </si>
  <si>
    <t>Net primary production of ectomycorrhizas in a California forest</t>
  </si>
  <si>
    <t>10.1016/j.funeco.2014.01.007</t>
  </si>
  <si>
    <t>https://www.scopus.com/inward/record.uri?eid=2-s2.0-84901640718&amp;doi=10.1016%2fj.funeco.2014.01.007&amp;partnerID=40&amp;md5=41fbc229e7cf9e7e59610a197cb7aeb0</t>
  </si>
  <si>
    <t>Automated minirhizotron; Ectomycorrhiza; Forest carbon cycling; Hyphal biomass; Net primary production; Soil carbon; Soil sensors</t>
  </si>
  <si>
    <t>Ectomycorrhizal Cortinarius species participate in enzymatic oxidation of humus in northern forest ecosystems</t>
  </si>
  <si>
    <t>10.1111/nph.12791</t>
  </si>
  <si>
    <t>https://www.scopus.com/inward/record.uri?eid=2-s2.0-84901591018&amp;doi=10.1111%2fnph.12791&amp;partnerID=40&amp;md5=d6db667848675d1f06c5b8ba88db989b</t>
  </si>
  <si>
    <t>Carbon sequestration; Class II peroxidases; Decomposition; Ectomycorrhizal fungi; High throughput sequencing; Nitrogen limitation; Priming effect; Transcription</t>
  </si>
  <si>
    <t>Gilbert K.J., Fahey T.J., Maerz J.C., Sherman R.E., Bohlen P., Dombroskie J.J., Groffman P.M., Yavitt J.B.</t>
  </si>
  <si>
    <t>Exploring carbon flow through the root channel in a temperate forest soil food web</t>
  </si>
  <si>
    <t>10.1016/j.soilbio.2014.05.005</t>
  </si>
  <si>
    <t>https://www.scopus.com/inward/record.uri?eid=2-s2.0-84901341447&amp;doi=10.1016%2fj.soilbio.2014.05.005&amp;partnerID=40&amp;md5=788a552f18f80893639db29bbb02886b</t>
  </si>
  <si>
    <t>Ants; Carbon; Earthworms; Energy flow; Invasive species; Salamander</t>
  </si>
  <si>
    <t>Mao Y., Li X., Smyth E.M., Yannarell A.C., Mackie R.I.</t>
  </si>
  <si>
    <t>Enrichment of specific bacterial and eukaryotic microbes in the rhizosphere of switchgrass (Panicum virgatumL.) through root exudates</t>
  </si>
  <si>
    <t>Environmental Microbiology Reports</t>
  </si>
  <si>
    <t>10.1111/1758-2229.12152</t>
  </si>
  <si>
    <t>https://www.scopus.com/inward/record.uri?eid=2-s2.0-84899732704&amp;doi=10.1111%2f1758-2229.12152&amp;partnerID=40&amp;md5=61b178f810a551f6a628dc41fb4f8769</t>
  </si>
  <si>
    <t>Murugan R., Koch H.-J., Joergensen R.G.</t>
  </si>
  <si>
    <t>Long-term influence of different tillage intensities on soil microbial biomass, residues and community structure at different depths</t>
  </si>
  <si>
    <t>10.1007/s00374-013-0871-x</t>
  </si>
  <si>
    <t>https://www.scopus.com/inward/record.uri?eid=2-s2.0-84897568879&amp;doi=10.1007%2fs00374-013-0871-x&amp;partnerID=40&amp;md5=8b5ba32a9951b194c2eb89c1bb172a01</t>
  </si>
  <si>
    <t>Grubber; Microbial community; Microbial residues; Mouldboard plough; Saprotrophic fungi</t>
  </si>
  <si>
    <t>Kuga Y., Sakamoto N., Yurimoto H.</t>
  </si>
  <si>
    <t>Stable isotope cellular imaging reveals that both live and degenerating fungal pelotons transfer carbon and nitrogen to orchid protocorms</t>
  </si>
  <si>
    <t>10.1111/nph.12700</t>
  </si>
  <si>
    <t>https://www.scopus.com/inward/record.uri?eid=2-s2.0-84896546298&amp;doi=10.1111%2fnph.12700&amp;partnerID=40&amp;md5=46768d1d457ec280765ca06ecb6943b7</t>
  </si>
  <si>
    <t>Carbon (C) transport; Nitrogen (N) transport; Orchid symbiosis; Secondary ion mass spectrometry (SIMS); Stable isotope imaging</t>
  </si>
  <si>
    <t>Carbon and nitrogen gain during the growth of orchid seedlings in nature</t>
  </si>
  <si>
    <t>10.1111/nph.12688</t>
  </si>
  <si>
    <t>https://www.scopus.com/inward/record.uri?eid=2-s2.0-84896543354&amp;doi=10.1111%2fnph.12688&amp;partnerID=40&amp;md5=dc1c3e122b55f2da2fed5cd2a381e9bd</t>
  </si>
  <si>
    <t>Mycoheterotrophy; Mycorrhiza; Orchidaceae; Protocorm; Rhizoctonia; Stable isotope</t>
  </si>
  <si>
    <t>A decade of free-air CO2 enrichment increased the carbon throughput in a grass-clover ecosystem but did not drastically change carbon allocation patterns</t>
  </si>
  <si>
    <t>10.1111/1365-2435.12183</t>
  </si>
  <si>
    <t>https://www.scopus.com/inward/record.uri?eid=2-s2.0-84896052454&amp;doi=10.1111%2f1365-2435.12183&amp;partnerID=40&amp;md5=799e32acc938d396354efde44ed3c320</t>
  </si>
  <si>
    <t>Arbuscular mycorrhizal fungi; C flux; Neutral lipid fatty acids; Phospholipid fatty acids; Soil carbon</t>
  </si>
  <si>
    <t>The arbuscular mycorrhizal Rhizophagus irregularis activates storage lipid biosynthesis to cope with the benzo[a]pyrene oxidative stress</t>
  </si>
  <si>
    <t>10.1016/j.phytochem.2013.10.014</t>
  </si>
  <si>
    <t>https://www.scopus.com/inward/record.uri?eid=2-s2.0-84890437366&amp;doi=10.1016%2fj.phytochem.2013.10.014&amp;partnerID=40&amp;md5=625414ed8390b5ddefe901e3a4f492bd</t>
  </si>
  <si>
    <t>[1-14C]acetate; Arbuscular mycorrhizal fungi (AMF); Benzo[a]pyrene (B[a]P); Extraradical mycelium; Lipids; Polycyclic aromatic hydrocarbons (PAH)</t>
  </si>
  <si>
    <t>Soil types will alter the response of arable agroecosystems to future rainfall patterns</t>
  </si>
  <si>
    <t>Annals of Applied Biology</t>
  </si>
  <si>
    <t>10.1111/aab.12072</t>
  </si>
  <si>
    <t>https://www.scopus.com/inward/record.uri?eid=2-s2.0-84890126023&amp;doi=10.1111%2faab.12072&amp;partnerID=40&amp;md5=306bd6778b8f3c684e4d3c1b7597e21a</t>
  </si>
  <si>
    <t>Climate change; ecosystem response; lysimeter; mycorrhizae; rainfall pattern; soil types</t>
  </si>
  <si>
    <t>Sylwan</t>
  </si>
  <si>
    <t>https://www.scopus.com/inward/record.uri?eid=2-s2.0-84893764398&amp;partnerID=40&amp;md5=db3e3e480bf82213913b01225702668a</t>
  </si>
  <si>
    <t>In boreal and temperate forests fungi play a particularly important role, since most trees form a symbiotic relationship with many species of ectomycorrhizal (ECM) fungi, providing them with assimilates in exchange for minerals. Mycorrhiza is considered one of the most significant factors affecting functioning of forest ecosystems, and in particular the processes of carbon cycling and storage. ECM fungi are involved both directly through carbon accumulation in the mycelial system, and indirectly through their influence on tree biomass production and organic matter decomposition. The amount of carbon transferred to ECM fungi usually varies from 10 to 25 or even 50% of the host's net photosynthesis, thus they are a group of organisms that significantly affect carbon flow into the soil. Most of that carbon is built into the mycelial system and its structures (fungal parts of ECM roots, extramatrical hyphae and rhizomorphs, sporocarps, etc.). Carbon allocation to the underground part of trees, and thus to ECM roots, changes with stand age and stand development phase. The biomass of active ECM roots and mycelium usually reaches its maximum in young stands, in the canopy closure phase; frequently, this is also true for the standing biomass of fruit bodies. A large share of ECM sporocarps in the forest carbon budget and high levels of ECM vegetative mycelium respiration are considered to be among the main pathways for the release of CO2 from forest soil, indicating a significant role of ECM fungi in fast carbon flow via forest ecosystems. On the other hand, dead ECM fine roots and extramatrical mycelia are a very rich and important pool of sequestered carbon in the soil.</t>
  </si>
  <si>
    <t>Carbon flux; Carbon sequestration; ECM fungi; Forest biomass; Mycorrhiza; NPP; Organic matter; Soil carbon</t>
  </si>
  <si>
    <t>Ren H.</t>
  </si>
  <si>
    <t>Plantations: Biodiversity, carbon sequestration, and restoration</t>
  </si>
  <si>
    <t>Plantations: Biodiversity, Carbon Sequestration, and Restoration</t>
  </si>
  <si>
    <t>https://www.scopus.com/inward/record.uri?eid=2-s2.0-84892217989&amp;partnerID=40&amp;md5=f81af939b4bfdce154d86938541082f3</t>
  </si>
  <si>
    <t>Emery S.M., Rudgers J.A.</t>
  </si>
  <si>
    <t>Impacts of simulated climate change and fungal symbionts on survival and growth of a foundation species in sand dunes</t>
  </si>
  <si>
    <t>10.1007/s00442-013-2705-9</t>
  </si>
  <si>
    <t>https://www.scopus.com/inward/record.uri?eid=2-s2.0-84888354443&amp;doi=10.1007%2fs00442-013-2705-9&amp;partnerID=40&amp;md5=072511d54238ca01f29f93d3e03686f0</t>
  </si>
  <si>
    <t>Ammophila breviligulata; Arbuscular mycorrhizal fungi; Ecosystem engineer; Endophyte; Mutualism</t>
  </si>
  <si>
    <t>A nitrogen fertilization field study of carbon-13 and nitrogen-15 transfers in ectomycorrhizas of Pinus sabiniana</t>
  </si>
  <si>
    <t>10.1007/s00442-013-2734-4</t>
  </si>
  <si>
    <t>https://www.scopus.com/inward/record.uri?eid=2-s2.0-84888349042&amp;doi=10.1007%2fs00442-013-2734-4&amp;partnerID=40&amp;md5=2ef6ebb1c2d82df38f40967eb6ac3410</t>
  </si>
  <si>
    <t>Carbon-13 stable isotope; Carbon-nitrogen exchange; Ectomycorrhizal pine roots; Nitrogen fertilization; Nitrogen-15 stable isotope</t>
  </si>
  <si>
    <t>Cseke L.J., Wullschleger S.D., Sreedasyam A., Trivedi G., Larsen P.E., Collart F.R.</t>
  </si>
  <si>
    <t>Carbon sequestration</t>
  </si>
  <si>
    <t>Genomics and Breeding for Climate-Resilient Crops</t>
  </si>
  <si>
    <t>10.1007/978-3-642-37048-9_12</t>
  </si>
  <si>
    <t>https://www.scopus.com/inward/record.uri?eid=2-s2.0-84930584241&amp;doi=10.1007%2f978-3-642-37048-9_12&amp;partnerID=40&amp;md5=1cce0da165a1b1afe6f7f9f9d6000315</t>
  </si>
  <si>
    <t>Hernandez R.R., Allen M.F.</t>
  </si>
  <si>
    <t>Diurnal patterns of productivity of arbuscular mycorrhizal fungi revealed with the Soil Ecosystem Observatory</t>
  </si>
  <si>
    <t>10.1111/nph.12393</t>
  </si>
  <si>
    <t>https://www.scopus.com/inward/record.uri?eid=2-s2.0-84884411090&amp;doi=10.1111%2fnph.12393&amp;partnerID=40&amp;md5=f7b0febbe199153d40d0467d6a6ad816</t>
  </si>
  <si>
    <t>Environmental sensors; Extra-radical hyphae; Plant-fungus; Soil organic matter; Soil temperature; Symbiosis</t>
  </si>
  <si>
    <t>Koller R., Scheu S., Bonkowski M., Robin C.</t>
  </si>
  <si>
    <t>Protozoa stimulate N uptake and growth of arbuscular mycorrhizal plants</t>
  </si>
  <si>
    <t>10.1016/j.soilbio.2013.05.020</t>
  </si>
  <si>
    <t>https://www.scopus.com/inward/record.uri?eid=2-s2.0-84879727579&amp;doi=10.1016%2fj.soilbio.2013.05.020&amp;partnerID=40&amp;md5=89ca41ef8383bb2dbd2d5f9951a2cabd</t>
  </si>
  <si>
    <t>13C pulse labelling; 15N litter; Carbon allocation; Microbial interactions; Plant growth; PLFA</t>
  </si>
  <si>
    <t>Wang Q.-X., Yan N., Ji D.-G., Li S.-Y., Hu H.</t>
  </si>
  <si>
    <t>In vitro growth and carbon utilization of the green-leaved orchid Dendrobium officinale are promoted by Mycorrhizal associations</t>
  </si>
  <si>
    <t>Botanical Studies</t>
  </si>
  <si>
    <t>10.1186/1999-3110-54-23</t>
  </si>
  <si>
    <t>https://www.scopus.com/inward/record.uri?eid=2-s2.0-84886447802&amp;doi=10.1186%2f1999-3110-54-23&amp;partnerID=40&amp;md5=752d9c4127a6acf0bfaa7797d8d88a15</t>
  </si>
  <si>
    <t>13C; Dendrobium officinale; Growth; Mycorrhizal associations; Polysaccharides</t>
  </si>
  <si>
    <t>Lekberg Y., Rosendahl S., Michelsen A., Olsson P.A.</t>
  </si>
  <si>
    <t>Seasonal carbon allocation to arbuscular mycorrhizal fungi assessed by microscopic examination, stable isotope probing and fatty acid analysis</t>
  </si>
  <si>
    <t>10.1007/s11104-012-1534-7</t>
  </si>
  <si>
    <t>https://www.scopus.com/inward/record.uri?eid=2-s2.0-84879170765&amp;doi=10.1007%2fs11104-012-1534-7&amp;partnerID=40&amp;md5=80b540f63c66f3753b782a76ddbd9798</t>
  </si>
  <si>
    <t>Arbuscular mycorrhiza; Carbon allocation; Grassland; Lipid analysis; Season; Stable isotope probing</t>
  </si>
  <si>
    <t>Contributions of soil biota to C sequestration varied with aggregate fractions under different tillage systems</t>
  </si>
  <si>
    <t>10.1016/j.soilbio.2013.03.023</t>
  </si>
  <si>
    <t>https://www.scopus.com/inward/record.uri?eid=2-s2.0-84876316680&amp;doi=10.1016%2fj.soilbio.2013.03.023&amp;partnerID=40&amp;md5=62bfaf9af9303f5667a9c550cc17fc4b</t>
  </si>
  <si>
    <t>Microbial community; Nematode community; No tillage; Ridge tillage; Soil aggregates; Soil carbon sequestration</t>
  </si>
  <si>
    <t>Eissfeller V., Beyer F., Valtanen K., Hertel D., Maraun M., Polle A., Scheu S.</t>
  </si>
  <si>
    <t>Incorporation of plant carbon and microbial nitrogen into the rhizosphere food web of beech and ash</t>
  </si>
  <si>
    <t>10.1016/j.soilbio.2013.03.002</t>
  </si>
  <si>
    <t>https://www.scopus.com/inward/record.uri?eid=2-s2.0-84875795732&amp;doi=10.1016%2fj.soilbio.2013.03.002&amp;partnerID=40&amp;md5=9719fdfc7ac02b36a2ca06729591ed64</t>
  </si>
  <si>
    <t>Bacterial energy channel; Fine roots; Fungal energy channel; Labeling experiment; Mycorrhizal fungi; Soil food web</t>
  </si>
  <si>
    <t>Sharma R.K., Puri A., Kumar A., Adholeya A.</t>
  </si>
  <si>
    <t>Chemically modified silica gel with 1-{4-[(2-hydroxy-benzylidene)amino]phenyl}ethanone: Synthesis, characterization and application as an efficient and reusable solid phase extractant for selective removal of Zn(II) from mycorrhizal treated fly-ash samples</t>
  </si>
  <si>
    <t>Journal of Environmental Sciences (China)</t>
  </si>
  <si>
    <t>10.1016/S1001-0742(12)60173-9</t>
  </si>
  <si>
    <t>https://www.scopus.com/inward/record.uri?eid=2-s2.0-84879132653&amp;doi=10.1016%2fS1001-0742%2812%2960173-9&amp;partnerID=40&amp;md5=9f929239c08b6971d7893e967e3264f0</t>
  </si>
  <si>
    <t>Fly-ash; Preconcentration; Silica gel; Solid phase extraction; Zinc</t>
  </si>
  <si>
    <t>Nuccio E.E., Hodge A., Pett-Ridge J., Herman D.J., Weber P.K., Firestone M.K.</t>
  </si>
  <si>
    <t>An arbuscular mycorrhizal fungus significantly modifies the soil bacterial community and nitrogen cycling during litter decomposition</t>
  </si>
  <si>
    <t>10.1111/1462-2920.12081</t>
  </si>
  <si>
    <t>https://www.scopus.com/inward/record.uri?eid=2-s2.0-84878642429&amp;doi=10.1111%2f1462-2920.12081&amp;partnerID=40&amp;md5=fe57abdd4179ef251b2a2c614c42c877</t>
  </si>
  <si>
    <t>Singh P.K., Singh M., Tripathi B.N.</t>
  </si>
  <si>
    <t>Glomalin: An arbuscular mycorrhizal fungal soil protein</t>
  </si>
  <si>
    <t>Protoplasma</t>
  </si>
  <si>
    <t>10.1007/s00709-012-0453-z</t>
  </si>
  <si>
    <t>https://www.scopus.com/inward/record.uri?eid=2-s2.0-84878016070&amp;doi=10.1007%2fs00709-012-0453-z&amp;partnerID=40&amp;md5=8297c5ee69f4c24290cbbeef85f63fb4</t>
  </si>
  <si>
    <t>AMF; Glomalin; Protein; Rhizosphere</t>
  </si>
  <si>
    <t>Carbon Transfer from the Host to Tuber melanosporum Mycorrhizas and Ascocarps Followed Using a 13C Pulse-Labeling Technique</t>
  </si>
  <si>
    <t>e64626</t>
  </si>
  <si>
    <t>10.1371/journal.pone.0064626</t>
  </si>
  <si>
    <t>https://www.scopus.com/inward/record.uri?eid=2-s2.0-84878619729&amp;doi=10.1371%2fjournal.pone.0064626&amp;partnerID=40&amp;md5=596cf1af3c40cfdf9c93bbd4f7692906</t>
  </si>
  <si>
    <t>Soil fungal distribution and functionality as affected by grazing and vegetation components of integrated crop-livestock agroecosystems</t>
  </si>
  <si>
    <t>10.1016/j.apsoil.2013.01.013</t>
  </si>
  <si>
    <t>https://www.scopus.com/inward/record.uri?eid=2-s2.0-84875275729&amp;doi=10.1016%2fj.apsoil.2013.01.013&amp;partnerID=40&amp;md5=017a23766749f27d0914110c5d937758</t>
  </si>
  <si>
    <t>Agroecoystem; Arbuscular mycorrhizae; C Utilization profiles; Ester-linked fatty acid methyl esters; Grazing; Saprophytic fungi</t>
  </si>
  <si>
    <t>Balasooriya W.K., Huygens D., Denef K., Roobroeck D., Verhoest N.E.C., Boeckx P.</t>
  </si>
  <si>
    <t>Temporal variation of rhizodeposit-C assimilating microbial communities in a natural wetland</t>
  </si>
  <si>
    <t>10.1007/s00374-012-0729-7</t>
  </si>
  <si>
    <t>https://www.scopus.com/inward/record.uri?eid=2-s2.0-84875217552&amp;doi=10.1007%2fs00374-012-0729-7&amp;partnerID=40&amp;md5=1fe421889ae932ea47f73653f6585408</t>
  </si>
  <si>
    <t>Natural wetland; Phospholipid fatty acid analysis; Rhizodeposit-C assimilation; Stable isotope probing; Temperate climate</t>
  </si>
  <si>
    <t>Treseder K.K., Holden S.R.</t>
  </si>
  <si>
    <t>Fungal carbon sequestration</t>
  </si>
  <si>
    <t>10.1126/science.1236338</t>
  </si>
  <si>
    <t>https://www.scopus.com/inward/record.uri?eid=2-s2.0-84875534825&amp;doi=10.1126%2fscience.1236338&amp;partnerID=40&amp;md5=d8fef9e94c39b1260094d18967beb4c2</t>
  </si>
  <si>
    <t>Mycorrhizal fungi associated with plant roots may contribute to carbon sequestration in soils.</t>
  </si>
  <si>
    <t>Short Survey</t>
  </si>
  <si>
    <t>Indicators of soil ecosystem services in conventional and organic arable fields along a gradient of landscape heterogeneity in southern Sweden</t>
  </si>
  <si>
    <t>10.1016/j.apsoil.2012.12.019</t>
  </si>
  <si>
    <t>https://www.scopus.com/inward/record.uri?eid=2-s2.0-84873304189&amp;doi=10.1016%2fj.apsoil.2012.12.019&amp;partnerID=40&amp;md5=1ecb06c6707275781ad1fc7a06f95d2d</t>
  </si>
  <si>
    <t>Agriculture; Carbon; Ecosystem services; Landscape complexity; Mycorrhizae; Soil microbial community</t>
  </si>
  <si>
    <t>Walder F., Niemann H., Lehmann M.F., Boller T., Wiemken A., Courty P.-E.</t>
  </si>
  <si>
    <t>10.1016/j.soilbio.2012.12.008</t>
  </si>
  <si>
    <t>https://www.scopus.com/inward/record.uri?eid=2-s2.0-84873021730&amp;doi=10.1016%2fj.soilbio.2012.12.008&amp;partnerID=40&amp;md5=7024188a9f4dc426181a131a3c6a6392</t>
  </si>
  <si>
    <t>Yoneyama K., Kisugi T., Xie X., Kim H.I., Yoneyama K., Sado A., Akiyama K., Hayashi H., Uchida K., Yokota T., Nomura T.</t>
  </si>
  <si>
    <t>Strigone, isolation and identification as a natural strigolactone from Houttuynia cordata</t>
  </si>
  <si>
    <t>10.1016/j.phytochem.2012.11.013</t>
  </si>
  <si>
    <t>https://www.scopus.com/inward/record.uri?eid=2-s2.0-84872771462&amp;doi=10.1016%2fj.phytochem.2012.11.013&amp;partnerID=40&amp;md5=d205178899d6a959a4249b8bd81d8865</t>
  </si>
  <si>
    <t>5-Deoxystrigol; Houttuynia cordata; Orobanchaceae; Orobanche minor; Phelipanche ramosa; Saururaceae; Sorgomol; Striga hermonthica; Strigol; Strigolactone; Strigone</t>
  </si>
  <si>
    <t>Tavi N.M., Martikainen P.J., Lokko K., Kontro M., Wild B., Richter A., Biasi C.</t>
  </si>
  <si>
    <t>Linking microbial community structure and allocation of plant-derived carbon in an organic agricultural soil using 13CO2 pulse-chase labelling combined with 13C-PLFA profiling</t>
  </si>
  <si>
    <t>10.1016/j.soilbio.2012.11.013</t>
  </si>
  <si>
    <t>https://www.scopus.com/inward/record.uri?eid=2-s2.0-84871916151&amp;doi=10.1016%2fj.soilbio.2012.11.013&amp;partnerID=40&amp;md5=07a576a4d3bca3c67d687ec1868d457b</t>
  </si>
  <si>
    <t>13CO2 pulse-chase labelling; Drained boreal peatland; Liming; Microbial community; Plant-derived carbon; PLFA; Root sugars</t>
  </si>
  <si>
    <t>Roy M., Gonneau C., Rocheteau A., Berveiller D., Thomas J.-C., Damesin C., Selosse M.-A.</t>
  </si>
  <si>
    <t>Why do mixotrophic plants stay green? A comparison between green and achlorophyllous orchid individuals in situ</t>
  </si>
  <si>
    <t>10.1890/11-2120.1</t>
  </si>
  <si>
    <t>https://www.scopus.com/inward/record.uri?eid=2-s2.0-84877121680&amp;doi=10.1890%2f11-2120.1&amp;partnerID=40&amp;md5=0a45ecb6d991f9bafab8a8ce2d7e5d55</t>
  </si>
  <si>
    <t>Autotrophy; Dormancy; Fruit set; Herbivory; Mycorrhizae; Neottieae; Orchids; Parasitic load; Partial mycoheterotrophy; Plant phenology; Seed germination</t>
  </si>
  <si>
    <t>Drigo B., Kowalchuk G.A., Knapp B.A., Pijl A.S., Boschker H.T.S., van Veen J.A.</t>
  </si>
  <si>
    <t>Impacts of 3 years of elevated atmospheric CO2 on rhizosphere carbon flow and microbial community dynamics</t>
  </si>
  <si>
    <t>10.1111/gcb.12045</t>
  </si>
  <si>
    <t>https://www.scopus.com/inward/record.uri?eid=2-s2.0-84871936954&amp;doi=10.1111%2fgcb.12045&amp;partnerID=40&amp;md5=09d2671914ecef56609defbe4c3863ef</t>
  </si>
  <si>
    <t>Carbon (C) uptake by terrestrial ecosystems represents an important option for partially mitigating anthropogenic CO2 emissions. Short-term atmospheric elevated CO2 exposure has been shown to create major shifts in C flow routes and diversity of the active soil-borne microbial community. Long-term increases in CO2 have been hypothesized to have subtle effects due to the potential adaptation of soil microorganism to the increased flow of organic C. Here, we studied the effects of prolonged elevated atmospheric CO2 exposure on microbial C flow and microbial communities in the rhizosphere. Carex arenaria (a nonmycorrhizal plant species) and Festuca rubra (a mycorrhizal plant species) were grown at defined atmospheric conditions differing in CO2 concentration (350 and 700 ppm) for 3 years. During this period, C flow was assessed repeatedly (after 6 months, 1, 2, and 3 years) by 13C pulse-chase experiments, and label was tracked through the rhizosphere bacterial, general fungal, and arbuscular mycorrhizal fungal (AMF) communities. Fatty acid biomarker analyses and RNA-stable isotope probing (RNA-SIP), in combination with real-time PCR and PCR-DGGE, were used to examine microbial community dynamics and abundance. Throughout the experiment the influence of elevated CO2 was highly plant dependent, with the mycorrhizal plant exerting a greater influence on both bacterial and fungal communities. Biomarker data confirmed that rhizodeposited C was first processed by AMF and subsequently transferred to bacterial and fungal communities in the rhizosphere soil. Over the course of 3 years, elevated CO2 caused a continuous increase in the 13C enrichment retained in AMF and an increasing delay in the transfer of C to the bacterial community. These results show that, not only do elevated atmospheric CO2 conditions induce changes in rhizosphere C flow and dynamics but also continue to develop over multiple seasons, thereby affecting terrestrial ecosystems C utilization processes.copy; 2012 Blackwell Publishing Ltd.</t>
  </si>
  <si>
    <t>13 C; Arbuscular mycorrhizal fungi; Bacterial communities; Carex arenaria; Elevated CO2; Festuca rubra; Fungal communities; N/PLFA; Rhizosphere; RNA-SIP</t>
  </si>
  <si>
    <t>Genomics and Breeding for Climate-Resilient Crops: Vol. 2 Target Traits</t>
  </si>
  <si>
    <t>https://www.scopus.com/inward/record.uri?eid=2-s2.0-84948080730&amp;doi=10.1007%2f978-3-642-37048-9_12&amp;partnerID=40&amp;md5=72ce6e8d7d2cbf9621b57d60bd4a5d3c</t>
  </si>
  <si>
    <t>A decade of research in mofette areas has given us new insights into adaptation of soil microorganisms to abiotic stress</t>
  </si>
  <si>
    <t>Acta Agriculturae Slovenica</t>
  </si>
  <si>
    <t>10.2478/acas-2013-0017</t>
  </si>
  <si>
    <t>https://www.scopus.com/inward/record.uri?eid=2-s2.0-84892419191&amp;doi=10.2478%2facas-2013-0017&amp;partnerID=40&amp;md5=ecba7d316c61801cf5d53741d6a4117a</t>
  </si>
  <si>
    <t>Natural CO2 springs (mofettes) represent extreme ecosystems with severe exhalations of ambient temperature geological CO2, inducing long-term soil hypoxia. In this paper an overview of mofette research in the fields of microbial ecology and biodiversity in presented, with a focus on the studies describing the impact of the changed soil gas regime on communities of arbuscular mycorrhizal fungi, archaea and bacteria. Along with the fast development of new, highthroughput molecular techniques driving the field of molecular ecology, mofettes enable new insights into the importance of the abiotic environmental factors in regulating soil biodiversity, and the community structure of these functionally important microbial groups.</t>
  </si>
  <si>
    <t>Abiotic environmental factors; Archaea; Bacteria; Carbon capture and storage - CCS; Glomeromycota; Hypoxia; Soil ecology</t>
  </si>
  <si>
    <t>Hobbie J.E., Hobbie E.A.</t>
  </si>
  <si>
    <t>Microbes in nature are limited by carbon and energy: The starving-survival lifestyle in soil and consequences for estimating microbial rates</t>
  </si>
  <si>
    <t>NOV</t>
  </si>
  <si>
    <t>Article 324</t>
  </si>
  <si>
    <t>10.3389/fmicb.2013.00324</t>
  </si>
  <si>
    <t>https://www.scopus.com/inward/record.uri?eid=2-s2.0-84890296671&amp;doi=10.3389%2ffmicb.2013.00324&amp;partnerID=40&amp;md5=c80517213848ab7eb348c2da1f6ecc56</t>
  </si>
  <si>
    <t>Activity; Amino acids; Labeled substrate; Microbes; Soil; Sugars; Water</t>
  </si>
  <si>
    <t>Huang Y., Wang J.</t>
  </si>
  <si>
    <t>Degradation and mineralization of DDT by the ectomycorrhizal fungi, Xerocomus chrysenteron</t>
  </si>
  <si>
    <t>10.1016/j.chemosphere.2013.04.002</t>
  </si>
  <si>
    <t>https://www.scopus.com/inward/record.uri?eid=2-s2.0-84879464408&amp;doi=10.1016%2fj.chemosphere.2013.04.002&amp;partnerID=40&amp;md5=385be77b8cf01f545090ca85426d2475</t>
  </si>
  <si>
    <t>DDT; Ectomycorrhizal fungi; Mineralization; Xerocomus chrysenteron</t>
  </si>
  <si>
    <t>Hobbie E.A., Ouimette A.P., Schuur E.A.G., Kierstead D., Trappe J.M., Bendiksen K., Ohenoja E.</t>
  </si>
  <si>
    <t>Radiocarbon evidence for the mining of organic nitrogen from soil by mycorrhizal fungi</t>
  </si>
  <si>
    <t>10.1007/s10533-012-9779-z</t>
  </si>
  <si>
    <t>https://www.scopus.com/inward/record.uri?eid=2-s2.0-84879216471&amp;doi=10.1007%2fs10533-012-9779-z&amp;partnerID=40&amp;md5=3d975a3e8f7327098039d8cdfe362556</t>
  </si>
  <si>
    <t>Bomb carbon; Chitin; Ectomycorrhizal fungi; Proteolysis; Radiocarbon; Soil nitrogen; Sporocarp</t>
  </si>
  <si>
    <t>Hasson A., Jweeg M.</t>
  </si>
  <si>
    <t>Soil organic carbon sequestration under pastures in arid region</t>
  </si>
  <si>
    <t>Nature Environment and Pollution Technology</t>
  </si>
  <si>
    <t>https://www.scopus.com/inward/record.uri?eid=2-s2.0-84878269545&amp;partnerID=40&amp;md5=80a8f6afa35a57630b0532d54779f2a5</t>
  </si>
  <si>
    <t>Two sites in Iraq were chosen to study the affect of annual pasture and perennial grasses (C4). The perennial grass pastures had SOC stocks, 1.6 (Baghdad) and 1.4 (Babylon) times that of the annual pastures. Soil Organic Carbon (SOC) pools were 1.90, 2.97 and 2.88% for annuals, perennials and tagasaste at Baghdad site. At Babylon the SOC pools were 2.7, 4.70, and 3.71% under annuals, perennials and tagasaste respectively. Estimated total C sequestration contribution to the resident soil organic C pool was 2.8 times greater for perennials and 2.7 times for tagasaste than annual pasture at the Baghdad deep sandy duplex site and 1.2 times greater for perennial pasture and 1.2 times greater for tagasaste than annual pasture at the Babylon deep-sand site. Both the sites were sampled to a depth of 1.6m. Perennial grasses in this region generally produced more above ground biomass than annual pastures. However, the differences in biomass input are unlikely to be large enough to explain the high rate of sequestration of these perennials. We hypothesise that the perennial grasses promote fungi such as mycorrhiza that convert a greater proportion of labile carbon to stable humic forms than under annual pastures.</t>
  </si>
  <si>
    <t>Arid region; Carbon sequestration; Pastures; Soil organic carbon</t>
  </si>
  <si>
    <t>Ortas I., Akpinar C., Lal R.</t>
  </si>
  <si>
    <t>Long-term impacts of organic and inorganic fertilizers on carbon sequestration in aggregates of an entisol in mediterranean Turkey</t>
  </si>
  <si>
    <t>Soil Science</t>
  </si>
  <si>
    <t>10.1097/SS.0b013e3182838017</t>
  </si>
  <si>
    <t>https://www.scopus.com/inward/record.uri?eid=2-s2.0-84875221848&amp;doi=10.1097%2fSS.0b013e3182838017&amp;partnerID=40&amp;md5=278cbc2ad5002c3f856e3e9c597dd598</t>
  </si>
  <si>
    <t>Carbon sequestration; mycorrhizae; organic and inorganic fertilizers; soil organic carbon; water-stable aggregates</t>
  </si>
  <si>
    <t>Biederman L.A., Stanley Harpole W.</t>
  </si>
  <si>
    <t>Biochar and its effects on plant productivity and nutrient cycling: A meta-analysis</t>
  </si>
  <si>
    <t>GCB Bioenergy</t>
  </si>
  <si>
    <t>10.1111/gcbb.12037</t>
  </si>
  <si>
    <t>https://www.scopus.com/inward/record.uri?eid=2-s2.0-84874295653&amp;doi=10.1111%2fgcbb.12037&amp;partnerID=40&amp;md5=39fe5dc692ecfbbf434d75fbf84968c3</t>
  </si>
  <si>
    <t>Carbon sequestration; Charcoal; pH; Plant productivity; Soil nutrients; Soil organisms</t>
  </si>
  <si>
    <t>Baum C., Eckhardt K.-U., Hahn J., Weih M., Dimitriou I., Leinweber P.</t>
  </si>
  <si>
    <t>Impact of poplar on soil organic matter quality and microbial communities in arable soils</t>
  </si>
  <si>
    <t>10.17221/548/2012-pse</t>
  </si>
  <si>
    <t>https://www.scopus.com/inward/record.uri?eid=2-s2.0-84872729296&amp;doi=10.17221%2f548%2f2012-pse&amp;partnerID=40&amp;md5=3cadcf7f9b9b3db1388bc568a8e27bc3</t>
  </si>
  <si>
    <t>Poplars grown in short rotation coppice on agricultural land are a promising bioenergy crop. This study aimed to evaluate the soil organic matter (SOM) quality and viable microbial consortium under six-years-old poplar (Populus maximowiczii) and under wheat (Triticum aestivum) at a test site in central Germany. The SOM molecular composition and stability was determined by pyrolysis-field ionization mass spectrometry (Py-FIMS). The microbial consortium was assessed in terms of microbial phospholipid fatty acid (PLFA) profiles. Py-FIMS and the PLFAs agreed in showing crop-specific differences in the SOM quality and in the associated microbial communities. Higher proportions of carbohydrates, long-chained fatty acids, sterols and suberins at the expense of N-containing compounds under poplar than under wheat were associated with lower concentrations of microbial PLFAs in the organic matter. A higher ratio of total fungal to bacterial (f/b) PLFAs, a lower ratio of Gram-positive to Gramnegative bacterial PLFAs and lower biomass of arbuscular mycorrhizal fungi in the organic matter were revealed under poplar than under wheat. Lower N- and increased C-availability in the SOM promoted fungal vs. bacterialcolonization, increased the SOM stability by a lower decomposability and caused SOM accumulation under poplar.</t>
  </si>
  <si>
    <t>Bioenergy; Phospholipid fatty acid profiles; Populus; Short rotation coppice; Soil carbon storage</t>
  </si>
  <si>
    <t>Verbruggen E., Veresoglou S.D., Anderson I.C., Caruso T., Hammer E.C., Kohler J., Rillig M.C.</t>
  </si>
  <si>
    <t>Arbuscular mycorrhizal fungi - short-term liability but long-term benefits for soil carbon storage?</t>
  </si>
  <si>
    <t>10.1111/nph.12079</t>
  </si>
  <si>
    <t>https://www.scopus.com/inward/record.uri?eid=2-s2.0-84871346395&amp;doi=10.1111%2fnph.12079&amp;partnerID=40&amp;md5=ffa36c549db6ce36b556cd986d1d45c4</t>
  </si>
  <si>
    <t>Arbuscular mycorrhizal fungi (AMF); Decomposition; Elevated CO2; Priming; Soil carbon sequestration</t>
  </si>
  <si>
    <t>Importance of arbuscular mycorrhizal fungi for recovery of riparian sites in Southern Brazil</t>
  </si>
  <si>
    <t>Riparian Zones: Protection, Restoration and Ecological Benefits</t>
  </si>
  <si>
    <t>https://www.scopus.com/inward/record.uri?eid=2-s2.0-84897249796&amp;partnerID=40&amp;md5=8bafd8172626f53e173e2e231c666264</t>
  </si>
  <si>
    <t>Ryan M.H., Kirkegaard J.A.</t>
  </si>
  <si>
    <t>The agronomic relevance of arbuscular mycorrhizas in the fertility of Australian extensive cropping systems</t>
  </si>
  <si>
    <t>10.1016/j.agee.2012.03.011</t>
  </si>
  <si>
    <t>https://www.scopus.com/inward/record.uri?eid=2-s2.0-84870292140&amp;doi=10.1016%2fj.agee.2012.03.011&amp;partnerID=40&amp;md5=2cc7617a18ce850b38567757d507e795</t>
  </si>
  <si>
    <t>Crop agronomy; Fine endophyte; Long fallow disorder; Organic farming; Phosphorus; Salinity</t>
  </si>
  <si>
    <t>Nandi A.K., Sen I.K., Samanta S., Maity K., Devi K.S.P., Mukherjee S., Maiti T.K., Acharya K., Islam S.S.</t>
  </si>
  <si>
    <t>Glucan from hot aqueous extract of an ectomycorrhizal edible mushroom, Russula albonigra (Krombh.) Fr.: Structural characterization and study of immunoenhancing properties</t>
  </si>
  <si>
    <t>Carbohydrate Research</t>
  </si>
  <si>
    <t>10.1016/j.carres.2012.10.002</t>
  </si>
  <si>
    <t>https://www.scopus.com/inward/record.uri?eid=2-s2.0-84868232661&amp;doi=10.1016%2fj.carres.2012.10.002&amp;partnerID=40&amp;md5=58c5464d93f4c0f0ed959d72af83a5e6</t>
  </si>
  <si>
    <t>Glucan; Immunoenhancing properties; NMR spectroscopy; Russula albonigra (Krombh.) Fr.</t>
  </si>
  <si>
    <t>Grant R.F., Desai A.R., Sulman B.N.</t>
  </si>
  <si>
    <t>Modelling contrasting responses of wetland productivity to changes in water table depth</t>
  </si>
  <si>
    <t>10.5194/bg-9-4215-2012</t>
  </si>
  <si>
    <t>https://www.scopus.com/inward/record.uri?eid=2-s2.0-84868667119&amp;doi=10.5194%2fbg-9-4215-2012&amp;partnerID=40&amp;md5=c4439ebd808bdbbe6d9843d77c4926be</t>
  </si>
  <si>
    <t>Gelorini V., Ssemmanda I., Verschuren D.</t>
  </si>
  <si>
    <t>Validation of non-pollen palynomorphs as paleoenvironmental indicators in tropical Africa: Contrasting ~200-year paleolimnological records of climate change and human impact</t>
  </si>
  <si>
    <t>Review of Palaeobotany and Palynology</t>
  </si>
  <si>
    <t>10.1016/j.revpalbo.2012.05.006</t>
  </si>
  <si>
    <t>https://www.scopus.com/inward/record.uri?eid=2-s2.0-84868348815&amp;doi=10.1016%2fj.revpalbo.2012.05.006&amp;partnerID=40&amp;md5=10b3a1126f41f6dcb58aa89f4cd3f662</t>
  </si>
  <si>
    <t>Climate change; Human impact; Lake sediment records; Late Holocene; Non-pollen palynomorphs; Western Uganda</t>
  </si>
  <si>
    <t>Hoeksema J.D., Classen A.T.</t>
  </si>
  <si>
    <t>Is plant genetic control of ectomycorrhizal fungal communities an untapped source of stable soil carbon in managed forests?</t>
  </si>
  <si>
    <t>10.1007/s11104-012-1201-z</t>
  </si>
  <si>
    <t>https://www.scopus.com/inward/record.uri?eid=2-s2.0-84866483819&amp;doi=10.1007%2fs11104-012-1201-z&amp;partnerID=40&amp;md5=bc4ab6f02e3bd4d07eaf5c4f68420076</t>
  </si>
  <si>
    <t>Carbon sequestration; Ectomycorrhizal fungi; Extracellular enzymes; Pinus</t>
  </si>
  <si>
    <t>Shibistova O., Yohannes Y., Boy J., Richter A., Wild B., Watzka M., Guggenberger G.</t>
  </si>
  <si>
    <t>Rate of Belowground Carbon Allocation Differs with Successional Habit of Two Afromontane Trees</t>
  </si>
  <si>
    <t>e45540</t>
  </si>
  <si>
    <t>10.1371/journal.pone.0045540</t>
  </si>
  <si>
    <t>https://www.scopus.com/inward/record.uri?eid=2-s2.0-84866842078&amp;doi=10.1371%2fjournal.pone.0045540&amp;partnerID=40&amp;md5=520032bfd7d1db48c03d53a5a4360bdb</t>
  </si>
  <si>
    <t>Carbon allocation, belowground transfers, and lipid turnover in a plant-microbial association</t>
  </si>
  <si>
    <t>10.2136/sssaj2011.0440</t>
  </si>
  <si>
    <t>https://www.scopus.com/inward/record.uri?eid=2-s2.0-84866397956&amp;doi=10.2136%2fsssaj2011.0440&amp;partnerID=40&amp;md5=d09560ede9734aa71f6ac2a23dc4a6ea</t>
  </si>
  <si>
    <t>Smits M.M., Bonneville S., Benning L.G., Banwart S.A., Leake J.R.</t>
  </si>
  <si>
    <t>Plant-driven weathering of apatite - the role of an ectomycorrhizal fungus</t>
  </si>
  <si>
    <t>Geobiology</t>
  </si>
  <si>
    <t>10.1111/j.1472-4669.2012.00331.x</t>
  </si>
  <si>
    <t>https://www.scopus.com/inward/record.uri?eid=2-s2.0-84865283622&amp;doi=10.1111%2fj.1472-4669.2012.00331.x&amp;partnerID=40&amp;md5=c9337604b919c1f3d7c770315f2062b9</t>
  </si>
  <si>
    <t>Enzymatic activities and stable isotope patterns of ectomycorrhizal fungi in relation to phylogeny and exploration types in an afrotropical rain forest</t>
  </si>
  <si>
    <t>10.1111/j.1469-8137.2012.04217.x</t>
  </si>
  <si>
    <t>https://www.scopus.com/inward/record.uri?eid=2-s2.0-84864566836&amp;doi=10.1111%2fj.1469-8137.2012.04217.x&amp;partnerID=40&amp;md5=801c6f8d5034d9678876b2d07fc49fd0</t>
  </si>
  <si>
    <t>13C; 15N; Degradation enzymes; Ectomycorrhiza (ECM) lineages; Laccase; Nitrogen cycling</t>
  </si>
  <si>
    <t>Quilliam R.S., Marsden K.A., Gertler C., Rousk J., DeLuca T.H., Jones D.L.</t>
  </si>
  <si>
    <t>Nutrient dynamics, microbial growth and weed emergence in biochar amended soil are influenced by time since application and reapplication rate</t>
  </si>
  <si>
    <t>10.1016/j.agee.2012.06.011</t>
  </si>
  <si>
    <t>https://www.scopus.com/inward/record.uri?eid=2-s2.0-84863441329&amp;doi=10.1016%2fj.agee.2012.06.011&amp;partnerID=40&amp;md5=a4c3e63e77c0113fd4b16cef1014a977</t>
  </si>
  <si>
    <t>Black carbon; Carbon sequestration; Long term biochar trial; Repeat biochar application; Temperate agriculture</t>
  </si>
  <si>
    <t>Cheng L., Booker F.L., Tu C., Burkey K.O., Zhou L., Shew H.D., Rufty T.W., Hu S.</t>
  </si>
  <si>
    <t>Arbuscular mycorrhizal fungi increase organic carbon decomposition under elevated CO2</t>
  </si>
  <si>
    <t>10.1126/science.1224304</t>
  </si>
  <si>
    <t>https://www.scopus.com/inward/record.uri?eid=2-s2.0-84865570106&amp;doi=10.1126%2fscience.1224304&amp;partnerID=40&amp;md5=d088be6933ea31f99b7992dbab2051ed</t>
  </si>
  <si>
    <t>The extent to which terrestrial ecosystems can sequester carbon to mitigate climate change is a matter of debate. The stimulation of arbuscular mycorrhizal fungi (AMF) by elevated atmospheric carbon dioxide (CO2) has been assumed to be a major mechanism facilitating soil carbon sequestration by increasing carbon inputs to soil and by protecting organic carbon from decomposition via aggregation. We present evidence from four independent microcosm and field experiments demonstrating that CO2 enhancement of AMF results in considerable soil carbon losses. Our findings challenge the assumption that AMF protect against degradation of organic carbon in soil and raise questions about the current prediction of terrestrial ecosystem carbon balance under future climate-change scenarios.</t>
  </si>
  <si>
    <t>Kowalchuk G.A.</t>
  </si>
  <si>
    <t>Bad news for soil carbon sequestration?</t>
  </si>
  <si>
    <t>10.1126/science.1227303</t>
  </si>
  <si>
    <t>https://www.scopus.com/inward/record.uri?eid=2-s2.0-84865530393&amp;doi=10.1126%2fscience.1227303&amp;partnerID=40&amp;md5=e5c00f83c2491c08fd561f2dfcc7b132</t>
  </si>
  <si>
    <t>Arbuscular mycorrhizal fungi may stimulate additional decomposition of organic carbon in the soil, resulting in a net source of carbon dioxide.</t>
  </si>
  <si>
    <t>Wang L.-P., Zhang H., Qian K.-M., Li J.</t>
  </si>
  <si>
    <t>Role of arbuscular mycorrhizal fungi in reclaimed mine soil system carbon sequestration</t>
  </si>
  <si>
    <t>Zhongguo Kuangye Daxue Xuebao/Journal of China University of Mining and Technology</t>
  </si>
  <si>
    <t>https://www.scopus.com/inward/record.uri?eid=2-s2.0-84865348476&amp;partnerID=40&amp;md5=85c7f939d01f43645529537e83eba754</t>
  </si>
  <si>
    <t>A field experiment is carried out to evaluate the carbon sequestration capacity in reclaimed mine soil by adding sludge to the coal gangue substrate and inoculated arbuscular mycorrhizal fungi (AMF) to the rye grass. The inoculation situations of AMF to the roots of rye grass is compared, and the promotion to the carbon sequestration in soil is also investigated. The results show that mycorrhizal colonization rate of treatment with 30% weight sludge addition, inoculated with Glomus mosseae (G. m) is the highest, 66.67%. Soil organic carbon (SOC), easily extractable glomalin (EEG) and total glomalin (TG) and plants biomass of treatments inoculated with G. m were higher than those non-inoculated, and the increase of treatment with 30% weight sludge addition inoculated with G. m was the highest. Relativity of TG and SOC is 0.699.Therefore, AMF and glomalin-related soil protein (GRSP) have direct and effective contribution to carbon sequestration in reclaimed mine soil.</t>
  </si>
  <si>
    <t>Arbuscular mycorrhizal fungi; Carbon sequestration; Glomalin-related soil protein; Reclaimed mine soil; Sludge</t>
  </si>
  <si>
    <t>Qian K., Wang L., Yin N.</t>
  </si>
  <si>
    <t>Effects of AMF on soil enzyme activity and carbon sequestration capacity in reclaimed mine soil</t>
  </si>
  <si>
    <t>International Journal of Mining Science and Technology</t>
  </si>
  <si>
    <t>10.1016/j.ijmst.2012.01.019</t>
  </si>
  <si>
    <t>https://www.scopus.com/inward/record.uri?eid=2-s2.0-84865255685&amp;doi=10.1016%2fj.ijmst.2012.01.019&amp;partnerID=40&amp;md5=6beb6d0fae024d2eeefb970cc05815e3</t>
  </si>
  <si>
    <t>Arbuscular mycorrhizal fungi; Enzyme activity; Glomalin-related soil protein; Reclaimed mine soil; Soil organic carbon</t>
  </si>
  <si>
    <t>Matsuda Y., Shimizu S., Mori M., Ito S.-I., Selosse M.-A.</t>
  </si>
  <si>
    <t>Seasonal and environmental changes of mycorrhizal associations and heterotrophy levels in mixotrophic Pyrola japonica (Ericaceae) growing under different light environments</t>
  </si>
  <si>
    <t>10.3732/ajb.1100546</t>
  </si>
  <si>
    <t>https://www.scopus.com/inward/record.uri?eid=2-s2.0-84863871011&amp;doi=10.3732%2fajb.1100546&amp;partnerID=40&amp;md5=4bd9ec221a6e18b7956a23d3300ad57e</t>
  </si>
  <si>
    <t>Arbutoid mycorrhiza; Ericaceae; Hyphal coils; ITS barcoding; Partial mycoheterotrophy; Plant response to light; Pyrola japonica; Russula; Stable isotopes</t>
  </si>
  <si>
    <t>Jannoura R., Kleikamp B., Dyckmans J., Joergensen R.G.</t>
  </si>
  <si>
    <t>Impact of pea growth and arbuscular mycorrhizal fungi on the decomposition of 15N-labeled maize residues</t>
  </si>
  <si>
    <t>10.1007/s00374-011-0647-0</t>
  </si>
  <si>
    <t>https://www.scopus.com/inward/record.uri?eid=2-s2.0-84862659170&amp;doi=10.1007%2fs00374-011-0647-0&amp;partnerID=40&amp;md5=43006bc2eb1387dd8ed584f448ad37ae</t>
  </si>
  <si>
    <t>Chakraborty S., Pangga I.B., Roper M.M.</t>
  </si>
  <si>
    <t>Climate change and multitrophic interactions in soil: The primacy of plants and functional domains</t>
  </si>
  <si>
    <t>10.1111/j.1365-2486.2012.02667.x</t>
  </si>
  <si>
    <t>https://www.scopus.com/inward/record.uri?eid=2-s2.0-84861892542&amp;doi=10.1111%2fj.1365-2486.2012.02667.x&amp;partnerID=40&amp;md5=cbd40556df563eb9810518ca308645f8</t>
  </si>
  <si>
    <t>Biological control; Carbon sequestration; Endophyte; Mycorrhiza; Plant growth promotion; Rhizosphere; Soil borne plant pathogens; Soil food web; Soil health; Suppressive soil</t>
  </si>
  <si>
    <t>Campoe O.C., Stape J.L., Laclau J.-P., Marsden C., Nouvellon Y.</t>
  </si>
  <si>
    <t>10.1093/treephys/tps038</t>
  </si>
  <si>
    <t>https://www.scopus.com/inward/record.uri?eid=2-s2.0-84863010043&amp;doi=10.1093%2ftreephys%2ftps038&amp;partnerID=40&amp;md5=0593c2c019a718a783f3c25a9bb329e8</t>
  </si>
  <si>
    <t>carbon budget; carbon partitioning; Eucalyptus; gross and net primary productivity; soil CO2 efflux; total belowground carbon flux</t>
  </si>
  <si>
    <t>Interactive effects of elevated ozone and temperature on carbon allocation of silver birch (Betula pendula) genotypes in an open-air field exposure</t>
  </si>
  <si>
    <t>10.1093/treephys/tps005</t>
  </si>
  <si>
    <t>https://www.scopus.com/inward/record.uri?eid=2-s2.0-84862994999&amp;doi=10.1093%2ftreephys%2ftps005&amp;partnerID=40&amp;md5=87408707a5f77368dd29d50026b04ad4</t>
  </si>
  <si>
    <t>13C; carbon allocation; climate warming; pulse-chase labelling; silver birch; tropospheric ozone</t>
  </si>
  <si>
    <t>Warren J.M., Iversen C.M., Garten Jr. C.T., Norby R.J., Childs J., Brice D., Evans R.M., Gu L., Thornton P., Weston D.J.</t>
  </si>
  <si>
    <t>Timing and magnitude of C partitioning through a young loblolly pine (Pinus taeda L.) stand using 13C labeling and shade treatments</t>
  </si>
  <si>
    <t>10.1093/treephys/tpr129</t>
  </si>
  <si>
    <t>https://www.scopus.com/inward/record.uri?eid=2-s2.0-84862978219&amp;doi=10.1093%2ftreephys%2ftpr129&amp;partnerID=40&amp;md5=56663714c9086c07f1870ecbbd4b5729</t>
  </si>
  <si>
    <t>13CO2; carbon allocation; carbon partitioning; loblolly pine; Pinus taeda; respiration; shade; soil CO2 efflux</t>
  </si>
  <si>
    <t>Wu B., Maruyama H., Teramoto M., Hogetsu T.</t>
  </si>
  <si>
    <t>Structural and functional interactions between extraradical mycelia of ectomycorrhizal Pisolithus isolates</t>
  </si>
  <si>
    <t>10.1111/j.1469-8137.2012.04126.x</t>
  </si>
  <si>
    <t>https://www.scopus.com/inward/record.uri?eid=2-s2.0-84860489947&amp;doi=10.1111%2fj.1469-8137.2012.04126.x&amp;partnerID=40&amp;md5=448f348ccb52b725c10b973e67028f75</t>
  </si>
  <si>
    <t>Common mycorrhizal network (CMN); Extraradical mycelium; Hyphal anastomosis; Imaging plate; Incompatibility; Radioactive tracer; Sib genet; Time-course autoradiography</t>
  </si>
  <si>
    <t>Piao H., Liu C.</t>
  </si>
  <si>
    <t>Chinese Journal of Geochemistry</t>
  </si>
  <si>
    <t>10.1007/s11631-012-0557-3</t>
  </si>
  <si>
    <t>https://www.scopus.com/inward/record.uri?eid=2-s2.0-84859585296&amp;doi=10.1007%2fs11631-012-0557-3&amp;partnerID=40&amp;md5=295c4c1ff8e499361647dffd20be8d81</t>
  </si>
  <si>
    <t>Revista Brasileira de Ciencia do Solo</t>
  </si>
  <si>
    <t>10.1590/S0100-06832012000300005</t>
  </si>
  <si>
    <t>https://www.scopus.com/inward/record.uri?eid=2-s2.0-84865252670&amp;doi=10.1590%2fS0100-06832012000300005&amp;partnerID=40&amp;md5=9051268a9fd142e249c9d53d297cb7f3</t>
  </si>
  <si>
    <t>The arbuscular mycorrhizal association established between arbuscular mycorrhizal fungi (AMF-phylum Glomeromycota) and plant roots plays an essential role in plant survival and nutrition. In this review, the idea is outlined that the triad "riparian forestcarbon sequestration-arbuscular mycorrhizal fungi" should be taken into consideration as an environmentally compatible strategy for the recovery of areas formerly covered by riparian forests. We briefly discuss the soil classes found in riparian areas and the C input in terrestrial ecosystems. AMF play an important role in the carbon sequestration process, in view of their effects on plant nutrient uptake and biomass increase in woody species, mainly of those pioneer and late secondary species used in the revegetation of riparian forests. Moreover, external AMF hyphae affect the soil structure physically, through the physical binding of soil particles by hyphae, and biochemically, by the production of a glycoprotein. The structures differentiated by AMF as spores and hyphae also represent a C input in the soil by C-rich cell compounds. The restoration of riparian forests with woody species results in the emergence of a new environmental service: C fixation incremented with mycorrhizal inoculation of the seedlings for revegetation.</t>
  </si>
  <si>
    <t>Extraradical mycelium; Mycorrhiza; Plant growth; Soil aggregation; Soil classes</t>
  </si>
  <si>
    <t>Glanville H., Rousk J., Golyshin P., Jones D.L.</t>
  </si>
  <si>
    <t>Mineralization of low molecular weight carbon substrates in soil solution under laboratory and field conditions</t>
  </si>
  <si>
    <t>10.1016/j.soilbio.2012.01.015</t>
  </si>
  <si>
    <t>https://www.scopus.com/inward/record.uri?eid=2-s2.0-84863419789&amp;doi=10.1016%2fj.soilbio.2012.01.015&amp;partnerID=40&amp;md5=e3509796d657855421699e470871d425</t>
  </si>
  <si>
    <t>Decomposition; Dissolved organic carbon; DOC; SOM; Turnover rates</t>
  </si>
  <si>
    <t>Hannula S.E., Boschker H.T.S., de Boer W., van Veen J.A.</t>
  </si>
  <si>
    <t>13C pulse-labeling assessment of the community structure of active fungi in the rhizosphere of a genetically starch-modified potato (Solanum tuberosum) cultivar and its parental isoline</t>
  </si>
  <si>
    <t>10.1111/j.1469-8137.2012.04089.x</t>
  </si>
  <si>
    <t>https://www.scopus.com/inward/record.uri?eid=2-s2.0-84859617311&amp;doi=10.1111%2fj.1469-8137.2012.04089.x&amp;partnerID=40&amp;md5=bd279d1839f7ee888b58659643fdfd55</t>
  </si>
  <si>
    <t>Arbuscular mycorrhizal fungi (AMF); Ascomycota; Basidiomycota; Genetically modified (GM) crops; Phospholipid fatty acid analysis with stable isotope probing (PLFA-SIP); RNA-stable isotope probing (SIP); Stable isotope</t>
  </si>
  <si>
    <t>Karlsson A.E., Johansson T., Bengtson P.</t>
  </si>
  <si>
    <t>Archaeal abundance in relation to root and fungal exudation rates</t>
  </si>
  <si>
    <t>10.1111/j.1574-6941.2012.01298.x</t>
  </si>
  <si>
    <t>https://www.scopus.com/inward/record.uri?eid=2-s2.0-84859590144&amp;doi=10.1111%2fj.1574-6941.2012.01298.x&amp;partnerID=40&amp;md5=9596c6653e6f706bfded013a9133716e</t>
  </si>
  <si>
    <t>Archaea; Bacteria; Mycorrhiza; Rhizosphere; Root exudation; Soil</t>
  </si>
  <si>
    <t>Gaude N., Schulze W.X., Franken P., Krajinski F.</t>
  </si>
  <si>
    <t>Cell type-specific protein and transcription profiles implicate periarbuscular membrane synthesis as an important carbon sink in the mycorrhizal symbiosis</t>
  </si>
  <si>
    <t>10.4161/psb.19650</t>
  </si>
  <si>
    <t>https://www.scopus.com/inward/record.uri?eid=2-s2.0-84862867608&amp;doi=10.4161%2fpsb.19650&amp;partnerID=40&amp;md5=863c9ff1bfc5149c2438cdea5f2997d5</t>
  </si>
  <si>
    <t>Arbuscular mycorrhizal symbiosis (AM symbiosis); Laser capture microdissection (LCM); Liquid chromatography-tandem mass spectrometry (LC/MS/MS); Medicago truncatula; Proteomics</t>
  </si>
  <si>
    <t>Karasawa T., Hodge A., Fitter A.H.</t>
  </si>
  <si>
    <t>Growth, respiration and nutrient acquisition by the arbuscular mycorrhizal fungus Glomus mosseae and its host plant Plantago lanceolata in cooled soil</t>
  </si>
  <si>
    <t>Plant, Cell and Environment</t>
  </si>
  <si>
    <t>10.1111/j.1365-3040.2011.02455.x</t>
  </si>
  <si>
    <t>https://www.scopus.com/inward/record.uri?eid=2-s2.0-84858000047&amp;doi=10.1111%2fj.1365-3040.2011.02455.x&amp;partnerID=40&amp;md5=65a049e24d3817abee464fa8df5d1c0f</t>
  </si>
  <si>
    <t>Carbon allocation; Extraradical mycelium; Phosphorus uptake; Soil cooling; Symbiosis; Temperature</t>
  </si>
  <si>
    <t>Transfer of 14C-photosynthate to the sporocarp of an ectomycorrhizal fungus Laccaria amethystina</t>
  </si>
  <si>
    <t>10.1007/s00572-011-0395-x</t>
  </si>
  <si>
    <t>https://www.scopus.com/inward/record.uri?eid=2-s2.0-84857918092&amp;doi=10.1007%2fs00572-011-0395-x&amp;partnerID=40&amp;md5=c811d284d14a3da3583a78aec9802436</t>
  </si>
  <si>
    <t>14C-labelling; Autoradiography; Basidiocarp; Carbohydrate; ECM fungus; Fruit body; Sporophore; Translocation</t>
  </si>
  <si>
    <t>Herman D.J., Firestone M.K., Nuccio E., Hodge A.</t>
  </si>
  <si>
    <t>Interactions between an arbuscular mycorrhizal fungus and a soil microbial community mediating litter decomposition</t>
  </si>
  <si>
    <t>10.1111/j.1574-6941.2011.01292.x</t>
  </si>
  <si>
    <t>https://www.scopus.com/inward/record.uri?eid=2-s2.0-84857915987&amp;doi=10.1111%2fj.1574-6941.2011.01292.x&amp;partnerID=40&amp;md5=a7eda0df1585bc7d6d2b7b7e5571a42e</t>
  </si>
  <si>
    <t>13 C; 15 N; Glomus hoi; Phospholipid fatty acid; Plantago lanceolata</t>
  </si>
  <si>
    <t>Gude A., Kandeler E., Gleixner G.</t>
  </si>
  <si>
    <t>Input related microbial carbon dynamic of soil organic matter in particle size fractions</t>
  </si>
  <si>
    <t>10.1016/j.soilbio.2012.01.003</t>
  </si>
  <si>
    <t>https://www.scopus.com/inward/record.uri?eid=2-s2.0-84856282552&amp;doi=10.1016%2fj.soilbio.2012.01.003&amp;partnerID=40&amp;md5=693cdb1e63ba1f8506d8cef3f5358a8e</t>
  </si>
  <si>
    <t>Carbon isotopes; Carbon use efficiency; Fungi; Gram negativebacteria; Gram positivebacteria; Mycorrhiza; PLFA</t>
  </si>
  <si>
    <t>Bingham M.A., Simard S.</t>
  </si>
  <si>
    <t>Ectomycorrhizal Networks of Pseudotsuga menziesii var. glauca Trees Facilitate Establishment of Conspecific Seedlings Under Drought</t>
  </si>
  <si>
    <t>10.1007/s10021-011-9502-2</t>
  </si>
  <si>
    <t>https://www.scopus.com/inward/record.uri?eid=2-s2.0-84857724419&amp;doi=10.1007%2fs10021-011-9502-2&amp;partnerID=40&amp;md5=909b93945d6ea798f86683c38552302b</t>
  </si>
  <si>
    <t>climate change; climatic gradients; competition; Douglas-fir; ecophysiology; facilitation; mycorrhizal networks; plant water relations; reforestation; stress-gradient hypothesis</t>
  </si>
  <si>
    <t>Allocation of carbon to mycorrhiza in the grasses Koeleria glauca and Corynephorus canescens in sandy grasslands</t>
  </si>
  <si>
    <t>10.1016/j.apsoil.2011.12.006</t>
  </si>
  <si>
    <t>https://www.scopus.com/inward/record.uri?eid=2-s2.0-84856475234&amp;doi=10.1016%2fj.apsoil.2011.12.006&amp;partnerID=40&amp;md5=e24013a4da0007140faa760d7342d15e</t>
  </si>
  <si>
    <t>Fatty acids, natural gradient, in situ pulse labelling, calcareous grasslands, arbuscular mycorrhiza, pH</t>
  </si>
  <si>
    <t>Carbon availability triggers fungal nitrogen uptake and transport in arbuscular mycorrhizal symbiosis</t>
  </si>
  <si>
    <t>Proceedings of the National Academy of Sciences of the United States of America</t>
  </si>
  <si>
    <t>10.1073/pnas.1118650109</t>
  </si>
  <si>
    <t>https://www.scopus.com/inward/record.uri?eid=2-s2.0-84857128754&amp;doi=10.1073%2fpnas.1118650109&amp;partnerID=40&amp;md5=c3e502d4072774ec3155134f318177c8</t>
  </si>
  <si>
    <t>The arbuscular mycorrhizal (AM) symbiosis, formed between the majority of land plants and ubiquitous soil fungi of the phylum Glomeromycota, is responsible for massive nutrient transfer and global carbon sequestration. AM fungi take up nutrients from the soil and exchange them against photosynthetically fixed carbon (C) from the host. Recent studies have demonstrated that reciprocal reward strategies by plant and fungal partners guarantee a "fair trade" of phosphorus against C between partners [Kiers ET, et al. (2011) Science 333:880-882], but whether a similar reward mechanism also controls nitrogen (N) flux in the AM symbiosis is not known. Using mycorrhizal root organ cultures, we manipulated the C supply to the host and fungus and followed the uptake and transport of N sources in the AM symbiosis, the enzymatic activities of arginase and urease, and fungal gene expression in the extraradical and intraradical mycelium. We found that the C supply of the host plant triggers the uptake and transport of N in the symbiosis, and that the increase in N transport is orchestrated by changes in fungal gene expression. N transport in the symbiosis is stimulated only when the C is delivered by the host across the mycorrhizal interface, not when C is supplied directly to the fungal extraradical mycelium in the form of acetate. These findings support the importance of C flux from the root to the fungus as a key trigger for N uptake and transport and provide insight into the N transport regulation in the AM symbiosis.</t>
  </si>
  <si>
    <t>Arbuscular mycorrhiza; Arginine catabolism; Carbon transport; Glomus intraradices; Urea cycle</t>
  </si>
  <si>
    <t>Heinemeyer A., Wilkinson M., Vargas R., Subke J.-A., Casella E., Morison J.I.L., Ineson P.</t>
  </si>
  <si>
    <t>Exploring the overflow tap theory: Linking forest soil CO 2 fluxes and individual mycorrhizosphere components to photosynthesis</t>
  </si>
  <si>
    <t>10.5194/bg-9-79-2012</t>
  </si>
  <si>
    <t>https://www.scopus.com/inward/record.uri?eid=2-s2.0-84856372765&amp;doi=10.5194%2fbg-9-79-2012&amp;partnerID=40&amp;md5=33dc90c69a63d809165bc9f8c7a0ef60</t>
  </si>
  <si>
    <t>Fransson P.</t>
  </si>
  <si>
    <t>Elevated CO 2 impacts ectomycorrhiza-mediated forest soil carbon flow: Fungal biomass production, respiration and exudation</t>
  </si>
  <si>
    <t>10.1016/j.funeco.2011.10.001</t>
  </si>
  <si>
    <t>https://www.scopus.com/inward/record.uri?eid=2-s2.0-84155160619&amp;doi=10.1016%2fj.funeco.2011.10.001&amp;partnerID=40&amp;md5=e9cbffa778b0cd8b4b780277d8fdcbdc</t>
  </si>
  <si>
    <t>Biomass; Carbon cycling; Ectomycorrhiza; Elevated CO 2; Exudation; Forest; Global change; Microbial communities; Soil respiration</t>
  </si>
  <si>
    <t>The below-ground perspective of forest plants: Soil provides mainly organic nitrogen for plants and mycorrhizal fungi</t>
  </si>
  <si>
    <t>10.1111/j.1469-8137.2012.04169.x</t>
  </si>
  <si>
    <t>https://www.scopus.com/inward/record.uri?eid=2-s2.0-85027941776&amp;doi=10.1111%2fj.1469-8137.2012.04169.x&amp;partnerID=40&amp;md5=de2fcf35d1aa4d56ef0f98b7b6f33abf</t>
  </si>
  <si>
    <t>Amino acids; Diffusive flux; Microdialysis; Plant nutrition; Soil nutrients</t>
  </si>
  <si>
    <t>Ennis C.J., Evans A.G., Islam M., Ralebitso-Senior T.K., Senior E.</t>
  </si>
  <si>
    <t>Biochar: Carbon sequestration, land remediation, and impacts on soil microbiology</t>
  </si>
  <si>
    <t>10.1080/10643389.2011.574115</t>
  </si>
  <si>
    <t>https://www.scopus.com/inward/record.uri?eid=2-s2.0-84868249768&amp;doi=10.1080%2f10643389.2011.574115&amp;partnerID=40&amp;md5=dc6081c67ccf35c1506e38e56743e951</t>
  </si>
  <si>
    <t>biochar; microbial communities; molecular analysis; remediation</t>
  </si>
  <si>
    <t>Walder F., Niemann H., Natarajan M., Lehmann M.F., Boller T., Wiemken A.</t>
  </si>
  <si>
    <t>Mycorrhizal networks: Common goods of plants shared under unequal terms of trade</t>
  </si>
  <si>
    <t>Plant Physiology</t>
  </si>
  <si>
    <t>10.1104/pp.112.195727</t>
  </si>
  <si>
    <t>https://www.scopus.com/inward/record.uri?eid=2-s2.0-84861839184&amp;doi=10.1104%2fpp.112.195727&amp;partnerID=40&amp;md5=991144fa3da69930c08864b2444e131b</t>
  </si>
  <si>
    <t>Extraction of Glomalin and Associated Compounds with Two Chemical Solutions in Cultivated Tepetates of Mexico</t>
  </si>
  <si>
    <t>Communications in Soil Science and Plant Analysis</t>
  </si>
  <si>
    <t>10.1080/00103624.2012.631403</t>
  </si>
  <si>
    <t>https://www.scopus.com/inward/record.uri?eid=2-s2.0-84857025585&amp;doi=10.1080%2f00103624.2012.631403&amp;partnerID=40&amp;md5=f87106424c1e1afb51cbdb2e214c29ee</t>
  </si>
  <si>
    <t>Arbuscular mycorrhizal fungi; carbon sequestration; hardened volcanic soils</t>
  </si>
  <si>
    <t>Effect of raw humus under two adult Scots pine stands on ectomycorrhization, nutritional status, nitrogen uptake, phosphorus uptake and growth of Pinus sylvestris seedlings</t>
  </si>
  <si>
    <t>10.1093/treephys/tpr125</t>
  </si>
  <si>
    <t>https://www.scopus.com/inward/record.uri?eid=2-s2.0-84856298459&amp;doi=10.1093%2ftreephys%2ftpr125&amp;partnerID=40&amp;md5=b3b15f701cf4b3cc43f7299b8cf506a2</t>
  </si>
  <si>
    <t>arginine; growth; mycorrhization; N uptake; P uptake; Pinus sylvestris; raw humus; Rhizopogon luteolus; Suillus bovinus</t>
  </si>
  <si>
    <t>Beerling D.J., Taylor L.L., Bradshaw C.D.C., Lunt D.J., Valdes P.J., Banwart S.A., Pagani M., Leake J.R.</t>
  </si>
  <si>
    <t>Ecosystem CO 2 starvation and terrestrial silicate weathering: Mechanisms and global-scale quantification during the late Miocene</t>
  </si>
  <si>
    <t>10.1111/j.1365-2745.2011.01905.x</t>
  </si>
  <si>
    <t>https://www.scopus.com/inward/record.uri?eid=2-s2.0-83455217769&amp;doi=10.1111%2fj.1365-2745.2011.01905.x&amp;partnerID=40&amp;md5=5e9fcc8783680c651e377df974d92e8a</t>
  </si>
  <si>
    <t>Biological weathering; Miocene; Modelling; Mycorrhiza; Plant-climate interactions</t>
  </si>
  <si>
    <t>Yagame T., Orihara T., Selosse M.-A., Yamato M., Iwase K.</t>
  </si>
  <si>
    <t>Mixotrophy of Platanthera minor, an orchid associated with ectomycorrhiza-forming Ceratobasidiaceae fungi</t>
  </si>
  <si>
    <t>10.1111/j.1469-8137.2011.03896.x</t>
  </si>
  <si>
    <t>https://www.scopus.com/inward/record.uri?eid=2-s2.0-82955163190&amp;doi=10.1111%2fj.1469-8137.2011.03896.x&amp;partnerID=40&amp;md5=6b7f1409440c7843da7232716e7d4763</t>
  </si>
  <si>
    <t>Manns H.R.</t>
  </si>
  <si>
    <t>Increased soluble carbon from arbuscular mycorrhizal fungal colonization alters carbon and nitrogen mineralization</t>
  </si>
  <si>
    <t>Mycorrhizal Fungi: Soil, Agriculture and Environmental Implications</t>
  </si>
  <si>
    <t>https://www.scopus.com/inward/record.uri?eid=2-s2.0-84895412638&amp;partnerID=40&amp;md5=78d34cb8b38ee57e59a19ea64ddcadd5</t>
  </si>
  <si>
    <t>Mycorrhiza: Occurrence in Natural and Restored Environments</t>
  </si>
  <si>
    <t>https://www.scopus.com/inward/record.uri?eid=2-s2.0-84895324658&amp;partnerID=40&amp;md5=fd48aef83b2c63cdec82990ad3251cec</t>
  </si>
  <si>
    <t>Bingham M.A., Simard S.W.</t>
  </si>
  <si>
    <t>Do mycorrhizal network benefits to survival and growth of interior Douglas-fir seedlings increase with soil moisture stress?</t>
  </si>
  <si>
    <t>Ecology and Evolution</t>
  </si>
  <si>
    <t>10.1002/ece3.24</t>
  </si>
  <si>
    <t>https://www.scopus.com/inward/record.uri?eid=2-s2.0-84857773091&amp;doi=10.1002%2fece3.24&amp;partnerID=40&amp;md5=618b1f9a1e5d3edab69066f987b1f651</t>
  </si>
  <si>
    <t>Climate change; CO2; Competition; Drought; Ecophysiology; Ectomycorrhizal network; Facilitation; Glauca (interior Douglas-fir); Plant water relations; Pseudotsuga menziesii var; Stress-gradient hypothesis</t>
  </si>
  <si>
    <t>Lendenmann M., Thonar C., Barnard R.L., Salmon Y., Werner R.A., Frossard E., Jansa J.</t>
  </si>
  <si>
    <t>Symbiont identity matters: Carbon and phosphorus fluxes between Medicago truncatula and different arbuscular mycorrhizal fungi</t>
  </si>
  <si>
    <t>10.1007/s00572-011-0371-5</t>
  </si>
  <si>
    <t>https://www.scopus.com/inward/record.uri?eid=2-s2.0-80355132261&amp;doi=10.1007%2fs00572-011-0371-5&amp;partnerID=40&amp;md5=ed80c16fdb889b629a7124bcbfa5b308</t>
  </si>
  <si>
    <t>Gigaspora margarita; Glomus spp.; Isotope labeling; Sink strength stimulation; Symbiotic costs and benefits</t>
  </si>
  <si>
    <t>Soil disturbance alters plant community composition and decreases mycorrhizal carbon allocation in a sandy grassland</t>
  </si>
  <si>
    <t>10.1007/s00442-011-2020-2</t>
  </si>
  <si>
    <t>https://www.scopus.com/inward/record.uri?eid=2-s2.0-80054015080&amp;doi=10.1007%2fs00442-011-2020-2&amp;partnerID=40&amp;md5=0cc324f5c498077b552cb9b71a347460</t>
  </si>
  <si>
    <t>Carbon cycling; Fatty acid; Grassland; Soil fungi; Stable isotope</t>
  </si>
  <si>
    <t>Antoninka A., Reich P.B., Johnson N.C.</t>
  </si>
  <si>
    <t>Seven years of carbon dioxide enrichment, nitrogen fertilization and plant diversity influence arbuscular mycorrhizal fungi in a grassland ecosystem</t>
  </si>
  <si>
    <t>10.1111/j.1469-8137.2011.03776.x</t>
  </si>
  <si>
    <t>https://www.scopus.com/inward/record.uri?eid=2-s2.0-84920138743&amp;doi=10.1111%2fj.1469-8137.2011.03776.x&amp;partnerID=40&amp;md5=7690a91e123a9b1c3c29a85cdba4ebba</t>
  </si>
  <si>
    <t>Arbuscular mycorrhiza; CO 2 enrichment; Community composition; Grassland; Niche partitioning hypothesis; Nitrogen fertilization; Plant richness; Structural equation model</t>
  </si>
  <si>
    <t>Mehring M., Glaser B., De Camargo P.B., Zech W.</t>
  </si>
  <si>
    <t>Impact of forest organic farming change on soil microbial C turnover using 13C of phospholipid fatty acids</t>
  </si>
  <si>
    <t>Agronomy for Sustainable Development</t>
  </si>
  <si>
    <t>10.1007/s13593-011-0013-5</t>
  </si>
  <si>
    <t>https://www.scopus.com/inward/record.uri?eid=2-s2.0-84861798608&amp;doi=10.1007%2fs13593-011-0013-5&amp;partnerID=40&amp;md5=abd1423c7670a5ac2a5f87df90ce2ba7</t>
  </si>
  <si>
    <t>Gan Y., Liang C., Hamel C., Cutforth H., Wang H.</t>
  </si>
  <si>
    <t>Strategies for reducing the carbon footprint of field crops for semiarid areas. A review</t>
  </si>
  <si>
    <t>10.1007/s13593-011-0011-7</t>
  </si>
  <si>
    <t>https://www.scopus.com/inward/record.uri?eid=2-s2.0-84860280876&amp;doi=10.1007%2fs13593-011-0011-7&amp;partnerID=40&amp;md5=5b368d59ae816b72e76fd0b99bfbb706</t>
  </si>
  <si>
    <t>Biochar; Broadleaf crops; Carbon footprint; Carbon sequestration; Crop diversification; Input; Legumes; N-fixation; Oilseeds; Straw management</t>
  </si>
  <si>
    <t>Kristensen D.K., Kristensen E., Forchhammer M.C., Michelsen A., Schmidt N.M.</t>
  </si>
  <si>
    <t>Arctic herbivore diet can be inferred from stable carbon and nitrogen isotopes in C 3 plants, faeces, and wool</t>
  </si>
  <si>
    <t>Canadian Journal of Zoology</t>
  </si>
  <si>
    <t>10.1139/z11-073</t>
  </si>
  <si>
    <t>https://www.scopus.com/inward/record.uri?eid=2-s2.0-80055059813&amp;doi=10.1139%2fz11-073&amp;partnerID=40&amp;md5=9a341af6b2fb533334d7be9e4dc339ee</t>
  </si>
  <si>
    <t>Antoninka, A., Reich, P.B., Johnson, N.C.</t>
  </si>
  <si>
    <t>https://www.scopus.com/inward/record.uri?eid=2-s2.0-80052373681&amp;doi=10.1111%2fj.1469-8137.2011.03776.x&amp;partnerID=40&amp;md5=7444bef5250d11d85e1ffdfd99eb24f1</t>
  </si>
  <si>
    <t>Hasselquist N.J., Douhan G.W., Allen M.F.</t>
  </si>
  <si>
    <t>First report of the ectomycorrhizal status of boletes on the Northern Yucatan Peninsula, Mexico determined using isotopic methods</t>
  </si>
  <si>
    <t>10.1007/s00572-010-0355-x</t>
  </si>
  <si>
    <t>https://www.scopus.com/inward/record.uri?eid=2-s2.0-79960195052&amp;doi=10.1007%2fs00572-010-0355-x&amp;partnerID=40&amp;md5=ce9b9a8de09b8771d64e052ce7313b9f</t>
  </si>
  <si>
    <t>Ectomycorrhizae; Saprotrophic fungi; Stable isotopes; Tropical dry forest; Yucatan Peninsula</t>
  </si>
  <si>
    <t>Girlanda M., Segreto R., Cafasso D., Liebel H.T., Rodda M., Ercole E., Cozzolino S., Gebauer G., Perotto S.</t>
  </si>
  <si>
    <t>Photosynthetic Mediterranean meadow orchids feature partial mycoheterotrophy and specific mycorrhizal associations1</t>
  </si>
  <si>
    <t>10.3732/ajb.1000486</t>
  </si>
  <si>
    <t>https://www.scopus.com/inward/record.uri?eid=2-s2.0-84858394533&amp;doi=10.3732%2fajb.1000486&amp;partnerID=40&amp;md5=d9bf888bd19a18bad441ed037250c53d</t>
  </si>
  <si>
    <t>Ceratobasidium; Fungal diversity; Mycoheterotrophy; Orchid mycorrhiza; Orchidaceae; Sebacina; Tulasnella</t>
  </si>
  <si>
    <t>Koide R.T., Fernandez C.W., Peoples M.S.</t>
  </si>
  <si>
    <t>Can ectomycorrhizal colonization of Pinus resinosa roots affect their decomposition?</t>
  </si>
  <si>
    <t>10.1111/j.1469-8137.2011.03694.x</t>
  </si>
  <si>
    <t>https://www.scopus.com/inward/record.uri?eid=2-s2.0-79959832129&amp;doi=10.1111%2fj.1469-8137.2011.03694.x&amp;partnerID=40&amp;md5=5a5e84ffc206a94c888dc9b53fdc6d27</t>
  </si>
  <si>
    <t>Ectomycorrhizal fungal community structure; Ectomycorrhizal fungi; Fine root decomposition; Pinus resinosa; Soil carbon</t>
  </si>
  <si>
    <t>Leigh J., Fitter A.H., Hodge A.</t>
  </si>
  <si>
    <t>Growth and symbiotic effectiveness of an arbuscular mycorrhizal fungus in organic matter in competition with soil bacteria</t>
  </si>
  <si>
    <t>10.1111/j.1574-6941.2011.01066.x</t>
  </si>
  <si>
    <t>https://www.scopus.com/inward/record.uri?eid=2-s2.0-79954943923&amp;doi=10.1111%2fj.1574-6941.2011.01066.x&amp;partnerID=40&amp;md5=578d189590b3dfe60f2fe794096bce19</t>
  </si>
  <si>
    <t>13C; 15N; Microorganisms; Mycorrhizal symbiosis; Organic nitrogen</t>
  </si>
  <si>
    <t>De Deyn G.B., Quirk H., Oakley S., Ostle N., Bardgett R.D.</t>
  </si>
  <si>
    <t>Rapid transfer of photosynthetic carbon through the plant-soil system in differently managed species-rich grasslands</t>
  </si>
  <si>
    <t>10.5194/bg-8-1131-2011</t>
  </si>
  <si>
    <t>https://www.scopus.com/inward/record.uri?eid=2-s2.0-79956091014&amp;doi=10.5194%2fbg-8-1131-2011&amp;partnerID=40&amp;md5=fcfe3e1308c0004bbcd6b36158dbf054</t>
  </si>
  <si>
    <t>Barrett G., Campbell C.D., Fitter A.H., Hodge A.</t>
  </si>
  <si>
    <t>The arbuscular mycorrhizal fungus Glomus hoi can capture and transfer nitrogen from organic patches to its associated host plant at low temperature</t>
  </si>
  <si>
    <t>10.1016/j.apsoil.2011.02.002</t>
  </si>
  <si>
    <t>https://www.scopus.com/inward/record.uri?eid=2-s2.0-79954900134&amp;doi=10.1016%2fj.apsoil.2011.02.002&amp;partnerID=40&amp;md5=3b86339e56646039f750ea329dbdbdcb</t>
  </si>
  <si>
    <t>Arbuscular mycorrhizal fungi (AMF); Extra-radical mycelium (ERM); Mycorrhizal functioning; Nitrogen capture; Organic material; Temperature</t>
  </si>
  <si>
    <t>Coldest places on earth with angiosperm plant life</t>
  </si>
  <si>
    <t>Alpine Botany</t>
  </si>
  <si>
    <t>10.1007/s00035-011-0089-1</t>
  </si>
  <si>
    <t>https://www.scopus.com/inward/record.uri?eid=2-s2.0-84856224791&amp;doi=10.1007%2fs00035-011-0089-1&amp;partnerID=40&amp;md5=cd569fe65ac95e99c9b8a3f852b1eb12</t>
  </si>
  <si>
    <t>Bryophytes; Collembola; Fungi; Isotopes; Mites; Mountain climatology; Saxifraga</t>
  </si>
  <si>
    <t>Liebel H.T., Gebauer G.</t>
  </si>
  <si>
    <t>Stable isotope signatures confirm carbon and nitrogen gain through ectomycorrhizas in the ghost orchid Epipogium aphyllum Swartz</t>
  </si>
  <si>
    <t>Plant Biology</t>
  </si>
  <si>
    <t>10.1111/j.1438-8677.2010.00369.x</t>
  </si>
  <si>
    <t>https://www.scopus.com/inward/record.uri?eid=2-s2.0-79751518722&amp;doi=10.1111%2fj.1438-8677.2010.00369.x&amp;partnerID=40&amp;md5=2fc540a6be384d35caba629ee4a1e714</t>
  </si>
  <si>
    <t>Fungal DNA analysis; Mycoheterotrophy; Mycorrhiza; N concentration; Orchidaceae; Stable isotopes 13C and 15N</t>
  </si>
  <si>
    <t>Buyer J.S., Zuberer D.A., Nichols K.A., Franzluebbers A.J.</t>
  </si>
  <si>
    <t>Soil microbial community function, structure, and glomalin in response to tall fescue endophyte infection</t>
  </si>
  <si>
    <t>10.1007/s11104-010-0592-y</t>
  </si>
  <si>
    <t>https://www.scopus.com/inward/record.uri?eid=2-s2.0-78651436135&amp;doi=10.1007%2fs11104-010-0592-y&amp;partnerID=40&amp;md5=f3fc65dd2e853fa8e7affe07f91218a1</t>
  </si>
  <si>
    <t>Biolog; Community-level physiological profiles; Microbial diversity; Phospholipid fatty acids; Substrate utilization assay</t>
  </si>
  <si>
    <t>The degree of mycoheterotrophic carbon gain in green, variegated and vegetative albino individuals of Cephalanthera damasonium is related to leaf chlorophyll concentrations</t>
  </si>
  <si>
    <t>10.1111/j.1469-8137.2010.03510.x</t>
  </si>
  <si>
    <t>https://www.scopus.com/inward/record.uri?eid=2-s2.0-78651276681&amp;doi=10.1111%2fj.1469-8137.2010.03510.x&amp;partnerID=40&amp;md5=14c5d45719109db4b6c5f464a4ebe5c3</t>
  </si>
  <si>
    <t>13C natural abundance; Cephalanthera damasonium; Chlorophyll; Leaf carbon; Leaf nitrogen; Mycoheterotrophy; Mycorrhiza; Orchidaceae</t>
  </si>
  <si>
    <t>Orwin K.H., Kirschbaum M.U.F., St John M.G., Dickie I.A.</t>
  </si>
  <si>
    <t>Organic nutrient uptake by mycorrhizal fungi enhances ecosystem carbon storage: A model-based assessment</t>
  </si>
  <si>
    <t>10.1111/j.1461-0248.2011.01611.x</t>
  </si>
  <si>
    <t>https://www.scopus.com/inward/record.uri?eid=2-s2.0-84931749078&amp;doi=10.1111%2fj.1461-0248.2011.01611.x&amp;partnerID=40&amp;md5=f895d5755b669ed6a1c0d8cb87a9f855</t>
  </si>
  <si>
    <t>Ectomycorrhizas; Ericoid mycorrhizas; Microbial nutrient limitation; Model; Mycorrhizal traits; MySCaN; Organic nutrient uptake; Soil carbon storage</t>
  </si>
  <si>
    <t>Pagano M.C.</t>
  </si>
  <si>
    <t>Aboveground wood biomass and nutrients in Brazilian woody species and eucalyptus plantations</t>
  </si>
  <si>
    <t>Wood: Types, Properties, and Uses</t>
  </si>
  <si>
    <t>https://www.scopus.com/inward/record.uri?eid=2-s2.0-84892348994&amp;partnerID=40&amp;md5=46d6b3a9273f4612b411dc7467325bac</t>
  </si>
  <si>
    <t>Bai H., Bao X., Sun X., Jiang S.</t>
  </si>
  <si>
    <t>The effect of stocking rate on soil glomalin under traditional and mixed grazing systems in a temperate steppe</t>
  </si>
  <si>
    <t>Procedia Environmental Sciences</t>
  </si>
  <si>
    <t>PART B</t>
  </si>
  <si>
    <t>10.1016/j.proenv.2011.12.125</t>
  </si>
  <si>
    <t>https://www.scopus.com/inward/record.uri?eid=2-s2.0-84863156159&amp;doi=10.1016%2fj.proenv.2011.12.125&amp;partnerID=40&amp;md5=18f2f87ccdef3e1881e26b5041d05a80</t>
  </si>
  <si>
    <t>Easily extractable glomalin (EEG); Mixed system (MS); Total glomalin (TG); Traditional system (TS)</t>
  </si>
  <si>
    <t>Courty P.-E., Walder F., Boller T., Ineichen K., Wiemken A., Rousteau A., Selosse M.-A.</t>
  </si>
  <si>
    <t>Carbon and nitrogen metabolism in mycorrhizal networks and mycoheterotrophic plants of tropical forests: A stable isotope analysis</t>
  </si>
  <si>
    <t>10.1104/pp.111.177618</t>
  </si>
  <si>
    <t>https://www.scopus.com/inward/record.uri?eid=2-s2.0-79958031502&amp;doi=10.1104%2fpp.111.177618&amp;partnerID=40&amp;md5=2713c7bbab248d925472f1449ad6d712</t>
  </si>
  <si>
    <t>Epron D., Ngao J., Dannoura M., Bakker M.R., Zeller B., Bazot S., Bosc A., Plain C., Lata J.C., Priault P., Barthes L., Loustau D.</t>
  </si>
  <si>
    <t>Seasonal variations of belowground carbon transfer assessed by in situ 13CO2 pulse labelling of trees</t>
  </si>
  <si>
    <t>10.5194/bg-8-1153-2011</t>
  </si>
  <si>
    <t>https://www.scopus.com/inward/record.uri?eid=2-s2.0-79956191261&amp;doi=10.5194%2fbg-8-1153-2011&amp;partnerID=40&amp;md5=893bd7d266c6f899fa7f36cd93042966</t>
  </si>
  <si>
    <t>King G.M.</t>
  </si>
  <si>
    <t>Enhancing soil carbon storage for carbon remediation: Potential contributions and constraints by microbes</t>
  </si>
  <si>
    <t>Trends in Microbiology</t>
  </si>
  <si>
    <t>10.1016/j.tim.2010.11.006</t>
  </si>
  <si>
    <t>https://www.scopus.com/inward/record.uri?eid=2-s2.0-79952471651&amp;doi=10.1016%2fj.tim.2010.11.006&amp;partnerID=40&amp;md5=311cf7d19286c59cccb71497a493b155</t>
  </si>
  <si>
    <t>Subke J.-A., Voke N.R., Leronni V., Garnett M.H., Ineson P.</t>
  </si>
  <si>
    <t>Dynamics and pathways of autotrophic and heterotrophic soil CO2 efflux revealed by forest girdling</t>
  </si>
  <si>
    <t>10.1111/j.1365-2745.2010.01740.x</t>
  </si>
  <si>
    <t>https://www.scopus.com/inward/record.uri?eid=2-s2.0-78650338679&amp;doi=10.1111%2fj.1365-2745.2010.01740.x&amp;partnerID=40&amp;md5=d1aaf0ac5d81fb6507a5236fbb46621b</t>
  </si>
  <si>
    <t>14C; Autotrophic respiration; Below-ground interactions; Ectomycorrhiza; Forest girdling; Heterotrophic respiration; Litter decomposition; Rhizosphere priming effect; Soil CO2 efflux</t>
  </si>
  <si>
    <t>Aggarwal N.A., Gaur A., Bhalla E., Gupta S.R.</t>
  </si>
  <si>
    <t>Soil aggregate carbon and diversity of mycorrhiza as affected by tillage practices in a rice-wheat cropping system in Northern India</t>
  </si>
  <si>
    <t>International Journal of Ecology and Environmental Sciences</t>
  </si>
  <si>
    <t>https://www.scopus.com/inward/record.uri?eid=2-s2.0-79955092059&amp;partnerID=40&amp;md5=baaae7df1a0e8f6d06de89c8bf7ff6c7</t>
  </si>
  <si>
    <t>Am root colonization; Am spore density; Conventional tillage; Furrow irrigated raised bed tillage; Soil aggregates; Zero-Tillage</t>
  </si>
  <si>
    <t>Barto E.K., Alt F., Oelmann Y., Wilcke W., Rillig M.C.</t>
  </si>
  <si>
    <t>Contributions of biotic and abiotic factors to soil aggregation across a land use gradient</t>
  </si>
  <si>
    <t>10.1016/j.soilbio.2010.09.008</t>
  </si>
  <si>
    <t>https://www.scopus.com/inward/record.uri?eid=2-s2.0-78650208065&amp;doi=10.1016%2fj.soilbio.2010.09.008&amp;partnerID=40&amp;md5=cb5ec57250b536a14318ff8bbac89799</t>
  </si>
  <si>
    <t>Arbuscular mycorrhizal fungi; Carbon sequestration; Fertilization; Grazing; Hydrophobicity; Mowing; Soil aggregation; Structural equation modeling</t>
  </si>
  <si>
    <t>Atkinson C.J., Fitzgerald J.D., Hipps N.A.</t>
  </si>
  <si>
    <t>Potential mechanisms for achieving agricultural benefits from biochar application to temperate soils: A review</t>
  </si>
  <si>
    <t>10.1007/s11104-010-0464-5</t>
  </si>
  <si>
    <t>https://www.scopus.com/inward/record.uri?eid=2-s2.0-77953898204&amp;doi=10.1007%2fs11104-010-0464-5&amp;partnerID=40&amp;md5=cd6fac239409dd8979e62068fcedffcd</t>
  </si>
  <si>
    <t>Biochar; Black carbon; Carbon sequestration; Charcoal; Climate change</t>
  </si>
  <si>
    <t>Lekberg Y., Hammer E.C., Olsson P.A.</t>
  </si>
  <si>
    <t>Plants as resource islands and storage units - adopting the mycocentric viewofarbuscularmycorrhizal networks</t>
  </si>
  <si>
    <t>10.1111/j.1574-6941.2010.00956.x</t>
  </si>
  <si>
    <t>https://www.scopus.com/inward/record.uri?eid=2-s2.0-78649367125&amp;doi=10.1111%2fj.1574-6941.2010.00956.x&amp;partnerID=40&amp;md5=c140cdfda3d5837ba9d672d36cd94521</t>
  </si>
  <si>
    <t>Arbuscular mycorrhiza; Carbon limitation; Common mycorrhizal networks; Fatty acid; Phosphorus; Resource allocation</t>
  </si>
  <si>
    <t>Dearnaley J.D.W., Bougoure J.J.</t>
  </si>
  <si>
    <t>Isotopic and molecular evidence for saprotrophic Marasmiaceae mycobionts in rhizomes of Gastrodia sesamoides</t>
  </si>
  <si>
    <t>10.1016/j.funeco.2009.11.003</t>
  </si>
  <si>
    <t>https://www.scopus.com/inward/record.uri?eid=2-s2.0-77956896280&amp;doi=10.1016%2fj.funeco.2009.11.003&amp;partnerID=40&amp;md5=ad1124c40c1107b4ca803f808fbc1ba2</t>
  </si>
  <si>
    <t>Campanella; Gastrodia sesamoides; Marasmius; Obligate mycoheterotrophic orchid; Orchid mycorrhizas</t>
  </si>
  <si>
    <t>Ogawa M., Okimori Y.</t>
  </si>
  <si>
    <t>Pioneering works in biochar research, Japan</t>
  </si>
  <si>
    <t>Australian Journal of Soil Research</t>
  </si>
  <si>
    <t>10.1071/SR10006</t>
  </si>
  <si>
    <t>https://www.scopus.com/inward/record.uri?eid=2-s2.0-77957594362&amp;doi=10.1071%2fSR10006&amp;partnerID=40&amp;md5=99acc21fb1fd7655115fd2dd62d288d5</t>
  </si>
  <si>
    <t>arbuscular mycorrhiza; carbon sequestration.; ectomycorrhiza; rice husk charcoal; root nodule bacteria; wood charcoal; wood vinegar</t>
  </si>
  <si>
    <t>Pritchard S.G., Maier C.A., Johnsen K.H., Grabman A.J., Chalmers A.P., Burke M.K.</t>
  </si>
  <si>
    <t>Soil incorporation of logging residue affects fine-root and mycorrhizal root-tip dynamics of young loblolly pine clones</t>
  </si>
  <si>
    <t>10.1093/treephys/tpq067</t>
  </si>
  <si>
    <t>https://www.scopus.com/inward/record.uri?eid=2-s2.0-77958090947&amp;doi=10.1093%2ftreephys%2ftpq067&amp;partnerID=40&amp;md5=20e62adc454d38027fdf3d4a859f1701</t>
  </si>
  <si>
    <t>C sequestration; fine roots; loblolly pine; root turnover; soil management; survivorship</t>
  </si>
  <si>
    <t>Motomura H., Selosse M.-A., Martos F., Kagawa A., Yukawa T.</t>
  </si>
  <si>
    <t>Mycoheterotrophy evolved from mixotrophic ancestors: Evidence in Cymbidium (Orchidaceae)</t>
  </si>
  <si>
    <t>10.1093/aob/mcq156</t>
  </si>
  <si>
    <t>https://www.scopus.com/inward/record.uri?eid=2-s2.0-77957595041&amp;doi=10.1093%2faob%2fmcq156&amp;partnerID=40&amp;md5=d5e9c194998596ef9c478a58dfd41c4c</t>
  </si>
  <si>
    <t>15N and 13C natural abundance of two mycoheterotrophic and a putative partially mycoheterotrophic species associated with arbuscular mycorrhizal fungi</t>
  </si>
  <si>
    <t>10.1111/j.1469-8137.2010.03365.x</t>
  </si>
  <si>
    <t>https://www.scopus.com/inward/record.uri?eid=2-s2.0-77957150630&amp;doi=10.1111%2fj.1469-8137.2010.03365.x&amp;partnerID=40&amp;md5=f050fb9b8add913c970d6d8435fe296b</t>
  </si>
  <si>
    <t>Arbuscular mycorrhizal symbiosis; Burmanniaceae; Carbon transfer; Cheating; Gentianaceae; Glomeromycota; Mixotrophy; Mycoheterotrophy</t>
  </si>
  <si>
    <t>Carbon and nitrogen balance in beech roots under competitive pressure of soil-borne microorganisms induced by girdling, drought and glucose application</t>
  </si>
  <si>
    <t>Functional Plant Biology</t>
  </si>
  <si>
    <t>10.1071/FP09309</t>
  </si>
  <si>
    <t>https://www.scopus.com/inward/record.uri?eid=2-s2.0-77956315928&amp;doi=10.1071%2fFP09309&amp;partnerID=40&amp;md5=193f39e528ca8eda66a313cf85dea17d</t>
  </si>
  <si>
    <t>competition; ectomycorrhiza; Fagus sylvatica; microorganisms; root demography; stable isotopes</t>
  </si>
  <si>
    <t>Production of ectomycorrhizal mycelium peaks during canopy closure in Norway spruce forests</t>
  </si>
  <si>
    <t>10.1111/j.1469-8137.2010.03324.x</t>
  </si>
  <si>
    <t>https://www.scopus.com/inward/record.uri?eid=2-s2.0-77955777197&amp;doi=10.1111%2fj.1469-8137.2010.03324.x&amp;partnerID=40&amp;md5=7e17423956652c3ddb01047a5f825044</t>
  </si>
  <si>
    <t>454 sequencing; Chronosequence; Ectomycorrhiza; Ergosterol; External mycelia</t>
  </si>
  <si>
    <t>Heinonsalo J., Pumpanen J., Rasilo T., Hurme K.-R., Ilvesniemi H.</t>
  </si>
  <si>
    <t>Carbon partitioning in ectomycorrhizal Scots pine seedlings</t>
  </si>
  <si>
    <t>10.1016/j.soilbio.2010.06.003</t>
  </si>
  <si>
    <t>https://www.scopus.com/inward/record.uri?eid=2-s2.0-77955176470&amp;doi=10.1016%2fj.soilbio.2010.06.003&amp;partnerID=40&amp;md5=1742eb16f08eaf15579dac6521d182ff</t>
  </si>
  <si>
    <t>14C; Carbon allocation; Carbon budget; Ectomycorrhiza; Humus; Suillus variegatus</t>
  </si>
  <si>
    <t>Taylor D.L., Herriott I.C., Stone K.E., Mcfarland J.W., Booth M.G., Leigh M.B.</t>
  </si>
  <si>
    <t>Structure and resilience of fungal communities in alaskan boreal forest soils1</t>
  </si>
  <si>
    <t>10.1139/X10-081</t>
  </si>
  <si>
    <t>https://www.scopus.com/inward/record.uri?eid=2-s2.0-77955138275&amp;doi=10.1139%2fX10-081&amp;partnerID=40&amp;md5=e05088620634d449859825f681d9ef0b</t>
  </si>
  <si>
    <t>This paper outlines molecular analyses of soil fungi within the Bonanza Creek Long Term Ecological Research program. We examined community structure in three studies in mixed upland, black spruce (Picea mariana (Mill.) BSP), and white spruce (Picea glauca (Moench) Voss) forests and examined taxa involved in cellulose degradation at one upland site. We found that soil horizon was the factor by which fungal communities were most strongly structured and that predictable turnover in upland fungal species occurred through succession. Communities from consecutive summers were not significantly different, indicating that interannual variation was small in relation to differences between forest types and soil horizons, yet the community at a seasonal study site underwent significant changes within a year. In each study, mycorrhizal fungi dominated the community. Fungi rather than bacteria appeared to dominate [13C]cellulose degradation,with strongest growth in taxa that were not dominant members of the untreated community, including members of the genus Sebacina. Overall, our results point to considerable interannual resilience juxtaposed with narrow niche partitioning and the capacity of individual taxa in these hyperdiverse communities to respond strongly to resource inputs and changes in other abiotic environmental parameters such as temperature. Our data double the cumulative total of fungal sequences in GenBank and together achieve a better picture of fungal communities here than for any other ecosystem on earth at this time.</t>
  </si>
  <si>
    <t>Hodge A., Fitter A.H.</t>
  </si>
  <si>
    <t>Substantial nitrogen acquisition by arbuscular mycorrhizal fungi from organic material has implications for N cycling</t>
  </si>
  <si>
    <t>10.1073/pnas.1005874107</t>
  </si>
  <si>
    <t>https://www.scopus.com/inward/record.uri?eid=2-s2.0-77956380625&amp;doi=10.1073%2fpnas.1005874107&amp;partnerID=40&amp;md5=898ff63d7b2c0b9ab6b4a248522f2ed6</t>
  </si>
  <si>
    <t>Fitness; Nutrient capture; Organic patches; Stable isotopes</t>
  </si>
  <si>
    <t>Glomalin and carbon sequestration in cultivated tepetates [Glomalina y secuestro de carbono en tepetates cultivados]</t>
  </si>
  <si>
    <t>Agrociencia</t>
  </si>
  <si>
    <t>https://www.scopus.com/inward/record.uri?eid=2-s2.0-77956440370&amp;partnerID=40&amp;md5=4f43d91d1d8049023591185fba285215</t>
  </si>
  <si>
    <t>Agronomic management; Arbuscular micorrhyzic fungi; Carbon sequestration; Volcanic tuffs</t>
  </si>
  <si>
    <t>Quantification of effects of season and nitrogen supply on tree below-ground carbon transfer to ectomycorrhizal fungi and other soil organisms in a boreal pine forest</t>
  </si>
  <si>
    <t>10.1111/j.1469-8137.2010.03274.x</t>
  </si>
  <si>
    <t>https://www.scopus.com/inward/record.uri?eid=2-s2.0-77954165516&amp;doi=10.1111%2fj.1469-8137.2010.03274.x&amp;partnerID=40&amp;md5=269cdab32d31efd474739926766207ed</t>
  </si>
  <si>
    <t>13CO2 labelling; Boreal pine forest; Ectomycorrhizal (ECM) fungi; Nitrogen availability; Seasonality; Soil animals; Soil CO2 efflux; Soil microbial cytoplasm</t>
  </si>
  <si>
    <t>Bougoure J.J., Brundrett M.C., Grierson P.F.</t>
  </si>
  <si>
    <t>Carbon and nitrogen supply to the underground orchid, Rhizanthella gardneri</t>
  </si>
  <si>
    <t>10.1111/j.1469-8137.2010.03246.x</t>
  </si>
  <si>
    <t>https://www.scopus.com/inward/record.uri?eid=2-s2.0-77953942130&amp;doi=10.1111%2fj.1469-8137.2010.03246.x&amp;partnerID=40&amp;md5=0c47c73053f8f5da304548f88877c91b</t>
  </si>
  <si>
    <t>13C; 15N; Ceratobasidium; Common mycorrhizal networks; Glycine; Mycoheterotrophy; Orchid mycorrhiza; Rhizanthella gardneri</t>
  </si>
  <si>
    <t>Ryan M.G., Stape J.L., Binkley D., Fonseca S., Loos R.A., Takahashi E.N., Silva C.R., Silva S.R., Hakamada R.E., Ferreira J.M., Lima A.M.N., Gava J.L., Leite F.P., Andrade H.B., Alves J.M., Silva G.G.C.</t>
  </si>
  <si>
    <t>Factors controlling Eucalyptus productivity: How water availability and stand structure alter production and carbon allocation</t>
  </si>
  <si>
    <t>10.1016/j.foreco.2010.01.013</t>
  </si>
  <si>
    <t>https://www.scopus.com/inward/record.uri?eid=2-s2.0-77949658059&amp;doi=10.1016%2fj.foreco.2010.01.013&amp;partnerID=40&amp;md5=ab7399942c73de5987e7b788d8845914</t>
  </si>
  <si>
    <t>Wood production varies substantially with resource availability, and the variation in wood production can result from several mechanisms: increased photosynthesis, and changes in partitioning of photosynthesis to wood production, belowground flux, foliage production or respiration. An understanding of the mechanistic basis for patterns in wood production within a stand and across landscapes requires a complete annual carbon budget. We measured annual carbon flows to wood production, foliage production and total belowground carbon flux (the sum of root production, root respiration, and mycorrhizal production and respiration) from ages three to five years in clonal Eucalyptus plantations at four sites in Brazil to test if fertility, water availability and stand structure changed wood production and by what mechanism. We also quantified the patterns in light interception and the efficiency of light use to provide additional mechanistic insights into growth responses and to determine if light-use efficiency was related to changes in flux and partitioning. The routine level of forest fertilization at these four sites was high enough that further increases in nutrient supply did not increase wood growth. Irrigation increased wood net primary productivity (age three to five) from 1.45 to 1.84 kg m-2 year-1 of C (27%), because of increases in light interception (5%), photosynthetic efficiency (from 0.028 to 0.031 mol C/mol photons absorbed, 11%), gross primary productivity (from 3.62 to 4.28 m-2 year-1 of C, 18%), and partitioning to wood (from 0.397 to 0.430 of photosynthesis, 8%). These changes increased light-use efficiency by 20%. Annual flux belowground varied among sites from 0.43 to 1.0 m-2 year-1 of C but did not vary with water availability. Across the four sites for the irrigated and unirrigated treatments, light-use efficiency was positively correlated with gross primary productivity and partitioning to wood production. Increasing heterogeneity of stand structure (resulting from staggered timing of planting within plots) led to a 14% loss in wood biomass relative to uniform stand structure at age six. Light-use efficiency, gross primary productivity, and wood net primary productivity were lower, but not significantly so, in heterogeneous compared to uniform stands.</t>
  </si>
  <si>
    <t>Aboveground productivity; Allocation; Belowground; Carbon allocation; Carbon budget; Carbon partitioning; Carbon sequestration; Eucalyptus production; Irrigation; Light-use efficiency; Soil respiration</t>
  </si>
  <si>
    <t>Iversen C.M.</t>
  </si>
  <si>
    <t>Digging deeper: Fine-root responses to rising atmospheric CO2 concentration in forested ecosystems</t>
  </si>
  <si>
    <t>10.1111/j.1469-8137.2009.03122.x</t>
  </si>
  <si>
    <t>https://www.scopus.com/inward/record.uri?eid=2-s2.0-77954693073&amp;doi=10.1111%2fj.1469-8137.2009.03122.x&amp;partnerID=40&amp;md5=bcff6334b524368e6dcbd716867675ea</t>
  </si>
  <si>
    <t>Carbon storage; Depth distribution; Ecosystem model; Elevated [CO2]; Fine roots; Forests; Nutrient cycling; Turnover</t>
  </si>
  <si>
    <t>Olsson P.A., Rahm J., Aliasgharzad N.</t>
  </si>
  <si>
    <t>Carbon dynamics in mycorrhizal symbioses is linked to carbon costs and phosphorus benefits</t>
  </si>
  <si>
    <t>10.1111/j.1574-6941.2009.00833.x</t>
  </si>
  <si>
    <t>https://www.scopus.com/inward/record.uri?eid=2-s2.0-77949289135&amp;doi=10.1111%2fj.1574-6941.2009.00833.x&amp;partnerID=40&amp;md5=37e4ef4dff6f13296f40ac03b99dd0ed</t>
  </si>
  <si>
    <t>Arbuscular mycorrhiza (AM); Carbon-13; Glomus intraradices; Mycorrhizal networks; Phosphorus; Shading; Stable isotopes; Symbiotic costs</t>
  </si>
  <si>
    <t>Fungal carbohydrate support in the ectomycorrhizal symbiosis: A review</t>
  </si>
  <si>
    <t>10.1111/j.1438-8677.2009.00312.x</t>
  </si>
  <si>
    <t>https://www.scopus.com/inward/record.uri?eid=2-s2.0-77952521301&amp;doi=10.1111%2fj.1438-8677.2009.00312.x&amp;partnerID=40&amp;md5=6ce4e1f38eea3ccd4eb70039199267ad</t>
  </si>
  <si>
    <t>Apoplast; Dissection; Ectomycorrhiza; Poplar; Sugar metabolism</t>
  </si>
  <si>
    <t>McFarland J.W., Ruess R.W., Kielland K., Pregitzer K., Hendrick R., Allen M.</t>
  </si>
  <si>
    <t>Cross-ecosystem comparisons of in situ plant uptake of amino acid-N and NH4+</t>
  </si>
  <si>
    <t>10.1007/s10021-009-9309-6</t>
  </si>
  <si>
    <t>https://www.scopus.com/inward/record.uri?eid=2-s2.0-77951767441&amp;doi=10.1007%2fs10021-009-9309-6&amp;partnerID=40&amp;md5=c4fd99457cc384a840d91009aa37d1ad</t>
  </si>
  <si>
    <t>13C 15N; Ammonium; Arbuscular mycorrhizae; Boreal forest ecosystem; Ectomycorrhizae; Glycine; Microbial biomass N; Organic N uptake; Temperate forest ecosystem</t>
  </si>
  <si>
    <t>Johnson N.C., Wilson G.W.T., Bowker M.A., Wilson J.A., Miller R.M.</t>
  </si>
  <si>
    <t>Resource limitation is a driver of local adaptation in mycorrhizal symbioses</t>
  </si>
  <si>
    <t>10.1073/pnas.0906710107</t>
  </si>
  <si>
    <t>https://www.scopus.com/inward/record.uri?eid=2-s2.0-76649141524&amp;doi=10.1073%2fpnas.0906710107&amp;partnerID=40&amp;md5=93ebdb7afdaeebf49c7ce6c0070ae6da</t>
  </si>
  <si>
    <t>Symbioses may be important mechanisms of plant adaptation to their environment. We conducted a reciprocal inoculation experiment to test the hypothesis that soil fertility is a key driver of local adaptation in arbuscular mycorrhizal (AM) symbioses. Ecotypes of Andropogon gerardii from phosphorus-limited and nitrogenlimited grasslands were grown with all possible "home and away" combinations of soils and AM fungal communities. Our results indicate that Andropogon ecotypes adapt to their local soil and indigenousAMfungal communities such that mycorrhizal exchange of the most limiting resource is maximized. Grasses grown in home soil and inoculated with home AM fungi produced more arbuscules (symbiotic exchange structures) in their roots than those grown in away combinations. Also, regardless of the host ecotype, AM fungi produced more extraradical hyphae in their home soil, and locally adapted AM fungi were, therefore, able to sequester more carbon compared with nonlocal fungi. Locally adapted mycorrhizal associations were more mutualistic in the two phosphorus-limited sites and less parasitic at the nitrogen-limited site compared with novel combinations of plants, fungi, and soils. To our knowledge, these findings provide the strongest evidence to date that resource availability generates evolved geographic structure in symbioses among plants and soil organisms. Thus, edaphic origin of AM fungi should be considered when managing for their benefits in agriculture, ecosystem restoration, and soil-carbon sequestration.</t>
  </si>
  <si>
    <t>Coevolution; Geographic mosaics; Mutualism; Parasitism</t>
  </si>
  <si>
    <t>Alberton O., Kuyper T.W., Summerbell R.C.</t>
  </si>
  <si>
    <t>Dark septate root endophytic fungi increase growth of Scots pine seedlings under elevated CO2 through enhanced nitrogen use efficiency</t>
  </si>
  <si>
    <t>10.1007/s11104-009-0125-8</t>
  </si>
  <si>
    <t>https://www.scopus.com/inward/record.uri?eid=2-s2.0-77049088937&amp;doi=10.1007%2fs11104-009-0125-8&amp;partnerID=40&amp;md5=572c66ac20f41183dcd699adb1cfc74e</t>
  </si>
  <si>
    <t>Carbon and nitrogen allocation; Mycorrhiza; Pinus sylvestris</t>
  </si>
  <si>
    <t>Thompson P.L., Polebitski A.S.</t>
  </si>
  <si>
    <t>Effect of mycorrhizal fungi on the phytoremediation of hexahydro-1,3,5- trinitro-1,3,5-triazine (RDX)</t>
  </si>
  <si>
    <t>Environmental Science and Technology</t>
  </si>
  <si>
    <t>10.1021/es902950r</t>
  </si>
  <si>
    <t>https://www.scopus.com/inward/record.uri?eid=2-s2.0-75749145853&amp;doi=10.1021%2fes902950r&amp;partnerID=40&amp;md5=20a2857c385f83c89654a568d27e8cf3</t>
  </si>
  <si>
    <t>Comparison of organic and conventional stockless arable systems: A multidisciplinary approach to soil quality evaluation</t>
  </si>
  <si>
    <t>10.1016/j.apsoil.2009.11.001</t>
  </si>
  <si>
    <t>https://www.scopus.com/inward/record.uri?eid=2-s2.0-73149116409&amp;doi=10.1016%2fj.apsoil.2009.11.001&amp;partnerID=40&amp;md5=d88b5171cc0b5ad768a57c81007ef095</t>
  </si>
  <si>
    <t>Arbuscular mycorrhizal fungi; Organic farming; Soil C cycle; Soil microarthropods; Soil quality; Stockless arable systems</t>
  </si>
  <si>
    <t>Epron D.</t>
  </si>
  <si>
    <t>Separating autotrophic and heterotrophic components of soil respiration: Lessons learned from trenching and related root-exclusion experiments</t>
  </si>
  <si>
    <t>Soil Carbon Dynamics: An Integrated Methodology</t>
  </si>
  <si>
    <t>10.1017/CBO9780511711794.009</t>
  </si>
  <si>
    <t>https://www.scopus.com/inward/record.uri?eid=2-s2.0-84928757870&amp;doi=10.1017%2fCBO9780511711794.009&amp;partnerID=40&amp;md5=ca0b4cc0266018447bec85f2646e4e7f</t>
  </si>
  <si>
    <t>Apple M.E.</t>
  </si>
  <si>
    <t>Aspects of Mycorrhizae in desert plants</t>
  </si>
  <si>
    <t>Desert Plants: Biology and Biotechnology</t>
  </si>
  <si>
    <t>10.1007/978-3-642-02550-1_6</t>
  </si>
  <si>
    <t>https://www.scopus.com/inward/record.uri?eid=2-s2.0-84864289861&amp;doi=10.1007%2f978-3-642-02550-1_6&amp;partnerID=40&amp;md5=bb232e264709b2462065d5ca844cb928</t>
  </si>
  <si>
    <t>Zhu F., Wang G., Tian D., Yan W., Xiang W.</t>
  </si>
  <si>
    <t>Seasonal variation of soil respiration by root exclusion and its controlling factors in a Cunninghamia lanceolata plantation</t>
  </si>
  <si>
    <t>Shengtai Xuebao/ Acta Ecologica Sinica</t>
  </si>
  <si>
    <t>https://www.scopus.com/inward/record.uri?eid=2-s2.0-79952672043&amp;partnerID=40&amp;md5=c9f451e93c8cf67a1ed0cbbdcf1a38b3</t>
  </si>
  <si>
    <t>Cunninghamia lanceolata plantation; Root respiration; Temperature; Trenching method</t>
  </si>
  <si>
    <t>Thomas R.Q., Canham C.D., Weathers K.C., Goodale C.L.</t>
  </si>
  <si>
    <t>Increased tree carbon storage in response to nitrogen deposition in the US</t>
  </si>
  <si>
    <t>10.1038/ngeo721</t>
  </si>
  <si>
    <t>https://www.scopus.com/inward/record.uri?eid=2-s2.0-73449146006&amp;doi=10.1038%2fngeo721&amp;partnerID=40&amp;md5=89045c31a80500e723572278c47b89f0</t>
  </si>
  <si>
    <t>Abundance, production and stabilization of microbial biomass under conventional and reduced tillage</t>
  </si>
  <si>
    <t>10.1016/j.soilbio.2009.09.023</t>
  </si>
  <si>
    <t>https://www.scopus.com/inward/record.uri?eid=2-s2.0-70449525145&amp;doi=10.1016%2fj.soilbio.2009.09.023&amp;partnerID=40&amp;md5=65a472a87606da728404ff09c93ed28a</t>
  </si>
  <si>
    <t>Bacteria; Fungi; Microbial growth; Microbial residues; Mycorrhizae; Tillage</t>
  </si>
  <si>
    <t>Baum C., Leinweber P., Weih M., Lamersdorf N., Dimitriou L.</t>
  </si>
  <si>
    <t>Effects of short rotation coppice with willows and poplar on soil ecology</t>
  </si>
  <si>
    <t>Landbauforschung Volkenrode</t>
  </si>
  <si>
    <t>https://www.scopus.com/inward/record.uri?eid=2-s2.0-73349097899&amp;partnerID=40&amp;md5=812d5bdeb798f6e3699e972f4c22f04d</t>
  </si>
  <si>
    <t>Fast growing willow and poplar clones (Salix and Populus spp.) grown as short rotation coppice (SRC) on former arable soils lead to a long-term non-tillage' management with increased litter amounts. Additionally, the litter composition is changed (e.g. increased C/N ratios and lignin contents) and thereby the litter decomposition can be retarded. An increased C sequestration in the topsoil of former ploughed arable soils can result from these effects. The leaf litter recycles a high portion of nutrients. In contrast to other crops, willows and poplar can be colonised by ectomycorrhizal fungi. This leads to the introduction of ectomycorrhizal fungi into arable soils and to changes in the soil microbial colonization and activity. The non-tillage management and the high litter supply can change the abundance and diversity of the soil fauna, e.g. increase the abundance of earthworms (Lumbricidae) and in spite of an increased diversity decrease the abundance of carabids (Carabidae). Willow and poplar clones are highly suitable for phytoremediation of contaminated soils (e.g. extraction of Cd, Zn and degradation of organic pollution) caused by their high biomass production in combination with high fine root density. Several soil ecological advantages of short rotation coppice compared to former arable soils with annual crops can be stated, however, more research-based knowledge is needed especially on the fundamentals of long-term effects and on the sustainability of effects after return to their former commercial arable use.</t>
  </si>
  <si>
    <t>Carbon sequestration; Mycorrhiza; Phytoremediation; Soil; Soil organic matter; Soil organisms</t>
  </si>
  <si>
    <t>Scandellari F., Hobbie E.A., Ouimette A.P., Stucker V.K.</t>
  </si>
  <si>
    <t>Tracing metabolic pathways of lipid biosynthesis in ectomycorrhizal fungi from position-specific 13C-labelling in glucose</t>
  </si>
  <si>
    <t>10.1111/j.1462-2920.2009.02013.x</t>
  </si>
  <si>
    <t>https://www.scopus.com/inward/record.uri?eid=2-s2.0-71249109822&amp;doi=10.1111%2fj.1462-2920.2009.02013.x&amp;partnerID=40&amp;md5=87a5710311b5656ae0fe50f96090bb69</t>
  </si>
  <si>
    <t>Martos F., Dulormne M., Pailler T., Bonfante P., Faccio A., Fournel J., Dubois M.-P., Selosse M.-A.</t>
  </si>
  <si>
    <t>Independent recruitment of saprotrophic fungi as mycorrhizal partners by tropical achlorophyllous orchids</t>
  </si>
  <si>
    <t>10.1111/j.1469-8137.2009.02987.x</t>
  </si>
  <si>
    <t>https://www.scopus.com/inward/record.uri?eid=2-s2.0-70350126235&amp;doi=10.1111%2fj.1469-8137.2009.02987.x&amp;partnerID=40&amp;md5=483a08dc5864eadeb8619d32358ac689</t>
  </si>
  <si>
    <t>Mycoheterotrophy; Mycorrhizas; Orchids; Rainforests; Saprotrophic fungi; Stable isotopes</t>
  </si>
  <si>
    <t>Crow S.E., Lajtha K., Bowden R.D., Yano Y., Brant J.B., Caldwell B.A., Sulzman E.W.</t>
  </si>
  <si>
    <t>Increased coniferous needle inputs accelerate decomposition of soil carbon in an old-growth forest</t>
  </si>
  <si>
    <t>10.1016/j.foreco.2009.01.014</t>
  </si>
  <si>
    <t>https://www.scopus.com/inward/record.uri?eid=2-s2.0-70349761651&amp;doi=10.1016%2fj.foreco.2009.01.014&amp;partnerID=40&amp;md5=3fc8563294b25e55e6488952d8bcf826</t>
  </si>
  <si>
    <t>Andisol; Carbon balance; Coniferous forest; Priming effect; Soil priming</t>
  </si>
  <si>
    <t>Podila G.K., Sreedasyam A., Muratet M.A.</t>
  </si>
  <si>
    <t>Populus rhizosphere and the ectomycorrhizal interactome</t>
  </si>
  <si>
    <t>Critical Reviews in Plant Sciences</t>
  </si>
  <si>
    <t>10.1080/07352680903241220</t>
  </si>
  <si>
    <t>https://www.scopus.com/inward/record.uri?eid=2-s2.0-77449084911&amp;doi=10.1080%2f07352680903241220&amp;partnerID=40&amp;md5=bdee2fd7ea21713ae19e75bad5f98f66</t>
  </si>
  <si>
    <t>Carbon sequestration; Ectomycorrhizae; Laccaria bicolor; Populus</t>
  </si>
  <si>
    <t>Oburger E., Jones D.L.</t>
  </si>
  <si>
    <t>Substrate mineralization studies in the laboratory show different microbial C partitioning dynamics than in the field</t>
  </si>
  <si>
    <t>10.1016/j.soilbio.2009.06.020</t>
  </si>
  <si>
    <t>https://www.scopus.com/inward/record.uri?eid=2-s2.0-68849118452&amp;doi=10.1016%2fj.soilbio.2009.06.020&amp;partnerID=40&amp;md5=67820b9b53385486f68bc3cba873c1db</t>
  </si>
  <si>
    <t>Biodegradation; Carbon models; Decomposition; Dissolved organic carbon; DOC; Land use management; Mineralization; SOM</t>
  </si>
  <si>
    <t>Chapin III F.S., McFarland J., David McGuire A., Euskirchen E.S., Ruess R.W., Kielland K.</t>
  </si>
  <si>
    <t>The changing global carbon cycle: Linking plant-soil carbon dynamics to global consequences</t>
  </si>
  <si>
    <t>10.1111/j.1365-2745.2009.01529.x</t>
  </si>
  <si>
    <t>https://www.scopus.com/inward/record.uri?eid=2-s2.0-68849118270&amp;doi=10.1111%2fj.1365-2745.2009.01529.x&amp;partnerID=40&amp;md5=c4ea55d2e8f39187d6b9ede96e4fea06</t>
  </si>
  <si>
    <t>Carbon cycle; Climate change; Decomposition; Heterotrophic respiration; Mycorrhizas; Net ecosystem production; Net primary production; Roots; Soil carbon</t>
  </si>
  <si>
    <t>Microbial response to exudates in the rhizosphere of young beech trees (Fagus sylvatica L.) after dormancy</t>
  </si>
  <si>
    <t>10.1016/j.soilbio.2009.07.002</t>
  </si>
  <si>
    <t>https://www.scopus.com/inward/record.uri?eid=2-s2.0-68849086104&amp;doi=10.1016%2fj.soilbio.2009.07.002&amp;partnerID=40&amp;md5=ac1a04c27f9135ae8d7403e396737b1b</t>
  </si>
  <si>
    <t>13C labelling; Beech; C dynamics; Cmic; Chilling; Dormancy; Microbial biomass; PLFA; Rhizodeposition; Rhizosphere</t>
  </si>
  <si>
    <t>Roy M., Watthana S., Stier A., Richard F., Vessabutr S., Selosse M.-A.</t>
  </si>
  <si>
    <t>Two mycoheterotrophic orchids from Thailand tropical dipterocarpacean forests associate with a broad diversity of ectomycorrhizal fungi</t>
  </si>
  <si>
    <t>BMC Biology</t>
  </si>
  <si>
    <t>10.1186/1741-7007-7-51</t>
  </si>
  <si>
    <t>https://www.scopus.com/inward/record.uri?eid=2-s2.0-70350028638&amp;doi=10.1186%2f1741-7007-7-51&amp;partnerID=40&amp;md5=7fad72aa8558c7c92b3a5c710be18756</t>
  </si>
  <si>
    <t>Liebel H.T., Preiss K., Gebauer G.</t>
  </si>
  <si>
    <t>Blyttia</t>
  </si>
  <si>
    <t>https://www.scopus.com/inward/record.uri?eid=2-s2.0-67849119608&amp;partnerID=40&amp;md5=38ae35e2fb053989e5d8dbf26508951d</t>
  </si>
  <si>
    <t>Several forest orchid species live in close association with ectomycorrhizal fungi which provide organic nutrients to them. Some orchids do not contain chlorophyll anymore and rely completely on their fungal partners (mycoheterotrophy) whereas others still partly depend on photosynthesis (partial mycoheterotrophy) or live autotrophically. The same ecological phenomenon has recently been described also for wintergreen species from North America, Estonia and Germany. House Serrated Wintergreen Orthilia secunda and Common Wintergreen Pyrola minorfmm the Trondheims-fjorden area (Central Norway) were investigated with the help of stable isotope abundances of 15N and 13C in plant leaf material. The results show that both species get organic compounds from mycorrhizal partners. For this reason these wintergreen species can still exist in forests with limited irradiation. Similar mechanisms can be expected for the red list species Umbellate Wintergreen Chimaphila umbellata in Norway which was reported to disappear from sites after intensive logging. If trees are cut around partial or fully mycoheterotrophic wintergreen species or forest orchids they might lose their connection to their fungal partners and their advantage against soil covering plant species. This might be the reason for their disappearance at many places.</t>
  </si>
  <si>
    <t>Druebert C., Lang C., Valtanen K., Polle A.</t>
  </si>
  <si>
    <t>Beech carbon productivity as driver of ectomycorrhizal abundance and diversity</t>
  </si>
  <si>
    <t>10.1111/j.1365-3040.2009.01983.x</t>
  </si>
  <si>
    <t>https://www.scopus.com/inward/record.uri?eid=2-s2.0-67650473673&amp;doi=10.1111%2fj.1365-3040.2009.01983.x&amp;partnerID=40&amp;md5=b4f851d546e153b4f9919ed22087c2d4</t>
  </si>
  <si>
    <t>Beech; Diversity; Invisibility; Nitrogen; Productivity; Understory ecology</t>
  </si>
  <si>
    <t>Cameron D.D., Preiss K., Gebauer G., Read D.J.</t>
  </si>
  <si>
    <t>The chlorophyll-containing orchid Corallorhiza trifida derives little carbon through photosynthesis</t>
  </si>
  <si>
    <t>10.1111/j.1469-8137.2009.02853.x</t>
  </si>
  <si>
    <t>https://www.scopus.com/inward/record.uri?eid=2-s2.0-67649511955&amp;doi=10.1111%2fj.1469-8137.2009.02853.x&amp;partnerID=40&amp;md5=7e71ef30191cce108762fe0c6d4d1175</t>
  </si>
  <si>
    <t>Chlorophyll; Isotope tracers; Myco-heterotrophy; Mycorrhiza; Orchid</t>
  </si>
  <si>
    <t>Pumpanen J.S., Heinonsalo J., Rasilo T., Hurme K.-R., Ilvesniemi H.</t>
  </si>
  <si>
    <t>Carbon balance and allocation of assimilated CO2 in Scots pine, Norway spruce, and Silver birch seedlings determined with gas exchange measurements and 14C pulse labelling</t>
  </si>
  <si>
    <t>10.1007/s00468-008-0306-8</t>
  </si>
  <si>
    <t>https://www.scopus.com/inward/record.uri?eid=2-s2.0-67649990265&amp;doi=10.1007%2fs00468-008-0306-8&amp;partnerID=40&amp;md5=8e112324621b101d5e522ca6687c89e4</t>
  </si>
  <si>
    <t>14C labelling; Allocation; Carbon; Photosynthesis; Root and rhizosphere respiration</t>
  </si>
  <si>
    <t>Olsrud M., Michelsen A.</t>
  </si>
  <si>
    <t>Effects of shading on photosynthesis, plant organic nitrogen uptake, and root fungal colonization in a subarctic mire ecosystem</t>
  </si>
  <si>
    <t>10.1139/B09-021</t>
  </si>
  <si>
    <t>https://www.scopus.com/inward/record.uri?eid=2-s2.0-67249092864&amp;doi=10.1139%2fB09-021&amp;partnerID=40&amp;md5=40d9208f1faccc1b112969218a9abfb6</t>
  </si>
  <si>
    <t>Arctic dwarf shrub ecosystems are predicted to be exposed to lower light intensity in a changing climate where mountain birch forests are expanding. We investigated how shading at 0%, 65%, and 97% affects photosynthesis, organic N uptake, C and N allocation patterns in plants, and root fungal colonization in an ericoid dwarf shrub ecosystem. The ecosystem was labeled by injection of [2-13C,15N]glycine into the soil, and the uptake of 15N and 13C in roots and leaves 24 h later was analysed. Fungal colonization in hair roots was determined visually. Hair root 13C:15N ratios showed that dwarf shrub ecosystems are capable of taking up organic N as intact glycine both under high irradiance levels and under shaded conditions when photosynthesis is strongly reduced. The allocation of 15N to green leaves of Rubus chamaemorus L. increased with shading, whereas the allocation of 13C to leaves of both deciduous and evergreen plant species decreased. Species dominance was correlated with uptake of 13C, i.e., the most productive species also took up the highest amount of glycine. The ecosystem exhibited a tendency towards lower colonization by ericoid mycorrhizal fungi and dark septate endophytes in hair roots when shaded. Thus, shading has implications for processes central to both C and N cycling in subarctic ecosystems. This should be considered in projections of ecosystem responses to climate change and expanding mountain birch forests.</t>
  </si>
  <si>
    <t>Dark septate endophytes; Dual-labeled glycine; Ericoid mycorrhiza; Nitrogen uptake; Photosynthesis; Shading; Subarctic mire</t>
  </si>
  <si>
    <t>Hynson N.A., Preiss K., Gebauer G., Bruns T.D.</t>
  </si>
  <si>
    <t>Isotopic evidence of full and partial myco-heterotrophy in the plant tribe Pyroleae (Ericaceae)</t>
  </si>
  <si>
    <t>10.1111/j.1469-8137.2009.02781.x</t>
  </si>
  <si>
    <t>https://www.scopus.com/inward/record.uri?eid=2-s2.0-65249131068&amp;doi=10.1111%2fj.1469-8137.2009.02781.x&amp;partnerID=40&amp;md5=1a2c4f5c3a863dd0de863bc1ef65b40b</t>
  </si>
  <si>
    <t>15N and 13C; Ericaceae; Mixotrophy; Myco-heterotrophy; Mycorrhiza; Pyrola; Pyroleae; Pyroloids</t>
  </si>
  <si>
    <t>Wilson G.W.T., Rice C.W., Rillig M.C., Springer A., Hartnett D.C.</t>
  </si>
  <si>
    <t>Soil aggregation and carbon sequestration are tightly correlated with the abundance of arbuscular mycorrhizal fungi: Results from long-term field experiments</t>
  </si>
  <si>
    <t>10.1111/j.1461-0248.2009.01303.x</t>
  </si>
  <si>
    <t>https://www.scopus.com/inward/record.uri?eid=2-s2.0-64149127091&amp;doi=10.1111%2fj.1461-0248.2009.01303.x&amp;partnerID=40&amp;md5=ddd5fddbfce6912d91836d20d1a0cab0</t>
  </si>
  <si>
    <t>Annual burning; Extramatrical hyphae; Fungicide; Glomalin; Grasslands; N enrichment; Tallgrass prairie</t>
  </si>
  <si>
    <t>Wu N., Huang H., Zhang S., Zhu Y.-G., Christie P., Zhang Y.</t>
  </si>
  <si>
    <t>Phenanthrene uptake by Medicago sativa L. under the influence of an arbuscular mycorrhizal fungus</t>
  </si>
  <si>
    <t>10.1016/j.envpol.2008.12.022</t>
  </si>
  <si>
    <t>https://www.scopus.com/inward/record.uri?eid=2-s2.0-63249128538&amp;doi=10.1016%2fj.envpol.2008.12.022&amp;partnerID=40&amp;md5=b9d68b0e3f966949079c20b3b337fbcb</t>
  </si>
  <si>
    <t>Glomus etunicatum; Lucerne (alfalfa); Nuclear magnetic resonance spectroscopy (NMR); Phenanthrene; Phytoremediation; Two-photon excitation microscopy (TPEM)</t>
  </si>
  <si>
    <t>Jin H.R.</t>
  </si>
  <si>
    <t>Arginine bi-directional translocation and breakdown into ornithine along the arbuscular mycorrhizal mycelium</t>
  </si>
  <si>
    <t>Science in China, Series C: Life Sciences</t>
  </si>
  <si>
    <t>10.1007/s11427-009-0044-1</t>
  </si>
  <si>
    <t>https://www.scopus.com/inward/record.uri?eid=2-s2.0-67650252225&amp;doi=10.1007%2fs11427-009-0044-1&amp;partnerID=40&amp;md5=7570fcfdf58cee90981bdc676b8105a5</t>
  </si>
  <si>
    <t>15N labeling; Arbuscular mycorrhiza; Arginine; In vitro culture; Ornithine; Urea cycle</t>
  </si>
  <si>
    <t>Grelet G.-A., Johnson D., Paterson E., Anderson I.C., Alexander I.J.</t>
  </si>
  <si>
    <t>Reciprocal carbon and nitrogen transfer between an ericaceous dwarf shrub and fungi isolated from Piceirhiza bicolorata ectomycorrhizas</t>
  </si>
  <si>
    <t>10.1111/j.1469-8137.2009.02813.x</t>
  </si>
  <si>
    <t>https://www.scopus.com/inward/record.uri?eid=2-s2.0-63449116115&amp;doi=10.1111%2fj.1469-8137.2009.02813.x&amp;partnerID=40&amp;md5=0a9aa8cb5e51846ea2e92e7b590613e8</t>
  </si>
  <si>
    <t>Ectomycorrhiza; Ericoid mycorrhiza; Hymenoscyphus ericae aggregate; Meliniomyces spp.; Piceirhiza bicolorata; Stable isotopes</t>
  </si>
  <si>
    <t>Arbuscular mycorrhizal fungi contribute to 13C and 15N enrichment of soil organic matter in forest soils</t>
  </si>
  <si>
    <t>10.1016/j.soilbio.2009.01.018</t>
  </si>
  <si>
    <t>https://www.scopus.com/inward/record.uri?eid=2-s2.0-62049083521&amp;doi=10.1016%2fj.soilbio.2009.01.018&amp;partnerID=40&amp;md5=9e92f318de6e66b22d25726b08168379</t>
  </si>
  <si>
    <t>Antoninka A., Wolf J.E., Bowker M., Classen A.T., Johnson N.C.</t>
  </si>
  <si>
    <t>Linking above- and belowground responses to global change at community and ecosystem scales</t>
  </si>
  <si>
    <t>10.1111/j.1365-2486.2008.01760.x</t>
  </si>
  <si>
    <t>https://www.scopus.com/inward/record.uri?eid=2-s2.0-61549117550&amp;doi=10.1111%2fj.1365-2486.2008.01760.x&amp;partnerID=40&amp;md5=5fee458465fc6b791b03d908be5b64e7</t>
  </si>
  <si>
    <t>Arbuscular mycorrhizal fungi; CO2 enrichment; Community composition; Ecosystem responses; Grassland; Nitrogen enrichment; Soil communities; Soil organic matter; Structural equation model</t>
  </si>
  <si>
    <t>Wheatley R.</t>
  </si>
  <si>
    <t>Impact of genetically modified crops on soil and water ecology</t>
  </si>
  <si>
    <t>Environmental Impact of Genetically Modified Crops</t>
  </si>
  <si>
    <t>https://www.scopus.com/inward/record.uri?eid=2-s2.0-84890191790&amp;partnerID=40&amp;md5=3be8bc9b25dd5fa0ee00694fc155a513</t>
  </si>
  <si>
    <t>Biodiversity; DNA dissemination; Ecosystem functioning; Nutrient cycling; Primary production; System drivers</t>
  </si>
  <si>
    <t>Ogura-Tsujita Y., Gebauer G., Hashimoto T., Umata H., Yukawa T.</t>
  </si>
  <si>
    <t>Evidence for novel and specialized mycorrhizal parasitism: The orchid Gastrodia confusa gains carbon from saprotrophic Mycena</t>
  </si>
  <si>
    <t>10.1098/rspb.2008.1225</t>
  </si>
  <si>
    <t>https://www.scopus.com/inward/record.uri?eid=2-s2.0-58249101035&amp;doi=10.1098%2frspb.2008.1225&amp;partnerID=40&amp;md5=273a143a33b17b7ff921dfab4ae20b42</t>
  </si>
  <si>
    <t>Mycenaceae; Myco-heterotrophy; Parasite; Stable isotope</t>
  </si>
  <si>
    <t>Sakagami N.</t>
  </si>
  <si>
    <t>Analysis on formation factor of sclerotia of cenococcum geophilum in picea abies forest, Harz Mts., Germany</t>
  </si>
  <si>
    <t>Geographical review of Japan series B</t>
  </si>
  <si>
    <t>https://www.scopus.com/inward/record.uri?eid=2-s2.0-84875930253&amp;partnerID=40&amp;md5=98e09cc34f14873ecdeec3fe856bf412</t>
  </si>
  <si>
    <t>Cenococcum geophilum; Ectomycorrhiza; Exchangeable aluminum; Sclerotia</t>
  </si>
  <si>
    <t>Joanisse G.D., Bradley R.L., Preston C.M., Bending G.D.</t>
  </si>
  <si>
    <t>Sequestration of soil nitrogen as tannin-protein complexes may improve the competitive ability of sheep laurel (Kalmia angustifolia) relative to black spruce (Picea mariana)</t>
  </si>
  <si>
    <t>10.1111/j.1469-8137.2008.02622.x</t>
  </si>
  <si>
    <t>https://www.scopus.com/inward/record.uri?eid=2-s2.0-57449096218&amp;doi=10.1111%2fj.1469-8137.2008.02622.x&amp;partnerID=40&amp;md5=85d657f5794237c68ca16ea31cf5b586</t>
  </si>
  <si>
    <t>Black spruce (Picea mariana); Condensed tannins; Kalmia angustifolia; Mycorrhiza; Nutrient competition; Soil N sequestration; Tannic acid; Tannin-protein complexes</t>
  </si>
  <si>
    <t>Denef K., Roobroeck D., Manimel Wadu M.C.W., Lootens P., Boeckx P.</t>
  </si>
  <si>
    <t>Microbial community composition and rhizodeposit-carbon assimilation in differently managed temperate grassland soils</t>
  </si>
  <si>
    <t>10.1016/j.soilbio.2008.10.008</t>
  </si>
  <si>
    <t>https://www.scopus.com/inward/record.uri?eid=2-s2.0-56949085366&amp;doi=10.1016%2fj.soilbio.2008.10.008&amp;partnerID=40&amp;md5=6d44deb06b013236a240a6be65b7ba12</t>
  </si>
  <si>
    <t>13C; Fertilization; Grassland; Microbial community structure; Mowing; PLFA; Pulse-labeling</t>
  </si>
  <si>
    <t>Preiss K., Gebauer G.</t>
  </si>
  <si>
    <t>A methodological approach to improve estimates of nutrient gains by partially myco-heterotrophic plants</t>
  </si>
  <si>
    <t>Isotopes in Environmental and Health Studies</t>
  </si>
  <si>
    <t>10.1080/10256010802507458</t>
  </si>
  <si>
    <t>https://www.scopus.com/inward/record.uri?eid=2-s2.0-57549106921&amp;doi=10.1080%2f10256010802507458&amp;partnerID=40&amp;md5=028e75ceaed394e79d1ce1d596c841ca</t>
  </si>
  <si>
    <t>Carbon-13; Enrichment factor; Ericaceae; Linear mixing model; Method; Myco-heterotrophy; Natural isotope abundance; Nitrogen-15; Orchidaceae</t>
  </si>
  <si>
    <t>Elevated CO 2 affects the content of glomalin related soil protein in xeric temperate loess and temperate semi-desert sand grasslands</t>
  </si>
  <si>
    <t>Community Ecology</t>
  </si>
  <si>
    <t>SUPPL. 1</t>
  </si>
  <si>
    <t>10.1556/ComEc.9.2008.S.21</t>
  </si>
  <si>
    <t>https://www.scopus.com/inward/record.uri?eid=2-s2.0-84867381452&amp;doi=10.1556%2fComEc.9.2008.S.21&amp;partnerID=40&amp;md5=fd8155660ce3e8c1d931e26900b234fa</t>
  </si>
  <si>
    <t>Carbon sequestration; Global change; Grassland; Mycorrhiza; Soil organic matter</t>
  </si>
  <si>
    <t>Carbon routes from decomposing plant residues and living roots into soil food webs assessed with 13C labelling</t>
  </si>
  <si>
    <t>10.1016/j.soilbio.2008.06.013</t>
  </si>
  <si>
    <t>https://www.scopus.com/inward/record.uri?eid=2-s2.0-51549088993&amp;doi=10.1016%2fj.soilbio.2008.06.013&amp;partnerID=40&amp;md5=7005b45c456547d70dbaa016be3b556d</t>
  </si>
  <si>
    <t>Allium porrum L.; Compound-specific stable isotope ratio analysis; Decomposers; Grazers; Phospholipid fatty acid; Soil fauna; Trifolium pratense L.</t>
  </si>
  <si>
    <t>Cameron D.D., Johnson I., Read D.J., Leake J.R.</t>
  </si>
  <si>
    <t>Giving and receiving: Measuring the carbon cost of mycorrhizas in the green orchid, Goodyera repens</t>
  </si>
  <si>
    <t>10.1111/j.1469-8137.2008.02533.x</t>
  </si>
  <si>
    <t>https://www.scopus.com/inward/record.uri?eid=2-s2.0-51249085818&amp;doi=10.1111%2fj.1469-8137.2008.02533.x&amp;partnerID=40&amp;md5=1498d7be1e96e864812fe6471e0c975a</t>
  </si>
  <si>
    <t>14C; Autotrophy; Carbon budget; Myco-heterotrophy; Net carbon fluxes; Orchid; Radio-isotope</t>
  </si>
  <si>
    <t>Seguel A., Rubio R., Carrillo R., Espinosa A., Borie F.</t>
  </si>
  <si>
    <t>Bosque</t>
  </si>
  <si>
    <t>https://www.scopus.com/inward/record.uri?eid=2-s2.0-51149109168&amp;partnerID=40&amp;md5=2e6edd65c00fe668b039031087f2ba13</t>
  </si>
  <si>
    <t>Andisol; Arbuscular mycorrhizal fungi; Carbon storage; Glomalin</t>
  </si>
  <si>
    <t>Green L.E., Porras-Alfaro A., Sinsabaugh R.L.</t>
  </si>
  <si>
    <t>Translocation of nitrogen and carbon integrates biotic crust and grass production in desert grassland</t>
  </si>
  <si>
    <t>10.1111/j.1365-2745.2008.01388.x</t>
  </si>
  <si>
    <t>https://www.scopus.com/inward/record.uri?eid=2-s2.0-42149148751&amp;doi=10.1111%2fj.1365-2745.2008.01388.x&amp;partnerID=40&amp;md5=ac8422cdd13848b9c5e7b6d4617579f3</t>
  </si>
  <si>
    <t>Arbuscular mycorrhizal fungi; Biological soil crust; Bouteloua; Carbon translocation; Dark septate endophytes; Desert grassland; Islands of fertility; Nitrogen translocation</t>
  </si>
  <si>
    <t>Voets L., Goubau I., Olsson P.A., Merckx R., Declerck S.</t>
  </si>
  <si>
    <t>Absence of carbon transfer between Medicago truncatula plants linked by a mycorrhizal network, demonstrated in an experimental microcosm</t>
  </si>
  <si>
    <t>10.1111/j.1574-6941.2008.00503.x</t>
  </si>
  <si>
    <t>https://www.scopus.com/inward/record.uri?eid=2-s2.0-47249110728&amp;doi=10.1111%2fj.1574-6941.2008.00503.x&amp;partnerID=40&amp;md5=966d06d2a8ac32dfd3cea6bd7a7d6e5a</t>
  </si>
  <si>
    <t>13C; Arbuscular mycorrhizal symbiosis; Autotrophic plants; Carbon transfer; In vitro; Lipid</t>
  </si>
  <si>
    <t>Treseder K.K., Czimczik C.I., Trumbore S.E., Allison S.D.</t>
  </si>
  <si>
    <t>Uptake of an amino acid by ectomycorrhizal fungi in a boreal forest</t>
  </si>
  <si>
    <t>10.1016/j.soilbio.2008.02.010</t>
  </si>
  <si>
    <t>https://www.scopus.com/inward/record.uri?eid=2-s2.0-46549084304&amp;doi=10.1016%2fj.soilbio.2008.02.010&amp;partnerID=40&amp;md5=3a819363cbd1c6035a37bb3d3c09c864</t>
  </si>
  <si>
    <t>Alanine; Decomposition; Isotopic labeling; Nutrient uptake; Organic nitrogen; Soil carbon dioxide respiration; Sporocarp</t>
  </si>
  <si>
    <t>Pritchard S.G., Strand A.E., Mccormack M.L., Davis M.A., Oren R.</t>
  </si>
  <si>
    <t>Mycorrhizal and rhizomorph dynamics in a loblolly pine forest during 5 years of free-air-CO2-enrichment</t>
  </si>
  <si>
    <t>10.1111/j.1365-2486.2008.01567.x</t>
  </si>
  <si>
    <t>https://www.scopus.com/inward/record.uri?eid=2-s2.0-43349083224&amp;doi=10.1111%2fj.1365-2486.2008.01567.x&amp;partnerID=40&amp;md5=4b2052bd370033af1ea37d737a056e14</t>
  </si>
  <si>
    <t>Elevated CO2; Minirhizotrons; Mycorrhiza; Rhizomorph; Survivorship</t>
  </si>
  <si>
    <t>Hawkes C.V., Hartley I.P., Ineson P., Fitter A.H.</t>
  </si>
  <si>
    <t>Soil temperature affects carbon allocation within arbuscular mycorrhizal networks and carbon transport from plant to fungus</t>
  </si>
  <si>
    <t>10.1111/j.1365-2486.2007.01535.x</t>
  </si>
  <si>
    <t>https://www.scopus.com/inward/record.uri?eid=2-s2.0-42949140806&amp;doi=10.1111%2fj.1365-2486.2007.01535.x&amp;partnerID=40&amp;md5=82d2272d6fec0fa78d1b411f4fb57a8c</t>
  </si>
  <si>
    <t>13C pulse label; Carbon cycle; Climate change; Extraradical mycelia; Plantago lanceolata; Root length colonization; Soil respiration</t>
  </si>
  <si>
    <t>Paterson E., Osler G., Dawson L.A., Gebbing T., Sim A., Ord B.</t>
  </si>
  <si>
    <t>Labile and recalcitrant plant fractions are utilised by distinct microbial communities in soil: Independent of the presence of roots and mycorrhizal fungi</t>
  </si>
  <si>
    <t>10.1016/j.soilbio.2007.12.003</t>
  </si>
  <si>
    <t>https://www.scopus.com/inward/record.uri?eid=2-s2.0-41549160316&amp;doi=10.1016%2fj.soilbio.2007.12.003&amp;partnerID=40&amp;md5=76dada6b42101b2890a93a422441350d</t>
  </si>
  <si>
    <t>13C labelling; Decomposition pathways; Rhizodeposition; Soil microbial diversity; Soil respiration</t>
  </si>
  <si>
    <t>Zimmer K., Meyer C., Gebauer G.</t>
  </si>
  <si>
    <t>The ectomycorrhizal specialist orchid Corallorhiza trifida is a partial myco-heterotroph</t>
  </si>
  <si>
    <t>10.1111/j.1469-8137.2007.02362.x</t>
  </si>
  <si>
    <t>https://www.scopus.com/inward/record.uri?eid=2-s2.0-41149180058&amp;doi=10.1111%2fj.1469-8137.2007.02362.x&amp;partnerID=40&amp;md5=4f01c69f35b522228752ab174160295b</t>
  </si>
  <si>
    <t>Chlorophyll content; Corallorhiza trifida; Ectomycorrhiza; Myco-heterotrophy; Orchidaceae; Stable isotopes; Tomentella</t>
  </si>
  <si>
    <t>Site-dependent N uptake from N-form mixtures by arctic plants, soil microbes and ectomycorrhizal fungi</t>
  </si>
  <si>
    <t>10.1007/s00442-008-0962-9</t>
  </si>
  <si>
    <t>https://www.scopus.com/inward/record.uri?eid=2-s2.0-41149086128&amp;doi=10.1007%2fs00442-008-0962-9&amp;partnerID=40&amp;md5=c1ffd3888ca9092bd30c56ec2e238659</t>
  </si>
  <si>
    <t>13C; 15N; Betula nana (dwarf birch); Microbial biomass; Mycelial ingrowth bags</t>
  </si>
  <si>
    <t>Rhizosphere bacterial community composition responds to arbuscular mycorrhiza, but not to reductions in microbial activity induced by foliar cutting</t>
  </si>
  <si>
    <t>10.1111/j.1574-6941.2008.00447.x</t>
  </si>
  <si>
    <t>https://www.scopus.com/inward/record.uri?eid=2-s2.0-40549083407&amp;doi=10.1111%2fj.1574-6941.2008.00447.x&amp;partnerID=40&amp;md5=e3f385d717b0be0d7f15ef058194de19</t>
  </si>
  <si>
    <t>13C-labelling; Arbuscular mycorrhiza; Bacterial community composition; Defoliation; DGGE; Rhizodeposition</t>
  </si>
  <si>
    <t>Re-examining the glomalin-purity of glomalin-related soil protein fractions through immunochemical, lectin-affinity and soil labelling experiments</t>
  </si>
  <si>
    <t>10.1016/j.soilbio.2007.10.019</t>
  </si>
  <si>
    <t>https://www.scopus.com/inward/record.uri?eid=2-s2.0-39149083052&amp;doi=10.1016%2fj.soilbio.2007.10.019&amp;partnerID=40&amp;md5=f89283238d36a963c9e880061a83f9ff</t>
  </si>
  <si>
    <t>14C soil labeling; Crossed immuno- and lectin affinity electrophoresis; Glomalin; GRSP; Liquid chromatography-mass spectrometry; Polyclonal antibody; Western and lectin blot</t>
  </si>
  <si>
    <t>Garcia M.O., Ovasapyan T., Greas M., Treseder K.K.</t>
  </si>
  <si>
    <t>Mycorrhizal dynamics under elevated CO2 and nitrogen fertilization in a warm temperate forest</t>
  </si>
  <si>
    <t>10.1007/s11104-007-9509-9</t>
  </si>
  <si>
    <t>https://www.scopus.com/inward/record.uri?eid=2-s2.0-38749148447&amp;doi=10.1007%2fs11104-007-9509-9&amp;partnerID=40&amp;md5=ea1d027dd69ca973b22d4fc048446566</t>
  </si>
  <si>
    <t>Free air CO2 enrichment; Glomalin; Mycorrhizal fungi; Nitrogen fertilization; Temperate forest</t>
  </si>
  <si>
    <t>Soil Ecology</t>
  </si>
  <si>
    <t>Encyclopedia of Ecology, Five-Volume Set</t>
  </si>
  <si>
    <t>10.1016/B978-008045405-4.00850-8</t>
  </si>
  <si>
    <t>https://www.scopus.com/inward/record.uri?eid=2-s2.0-85034979180&amp;doi=10.1016%2fB978-008045405-4.00850-8&amp;partnerID=40&amp;md5=9dc9e8f782e697884cac66c979d2cfab</t>
  </si>
  <si>
    <t>Shamshiri M.H., Usha K., Singh B.</t>
  </si>
  <si>
    <t>Acta Horticulturae</t>
  </si>
  <si>
    <t>10.17660/actahortic.2008.773.39</t>
  </si>
  <si>
    <t>https://www.scopus.com/inward/record.uri?eid=2-s2.0-70450162178&amp;doi=10.17660%2factahortic.2008.773.39&amp;partnerID=40&amp;md5=6ee29c99c9bc69034a4f522155b32d69</t>
  </si>
  <si>
    <t>A pot culture experiment using steam-sterilized soil was conducted to study the translocation and partitioning of photosynthates in mycorrhizal Kinnow plants by direct feeding of 14CO2 in a plexi-glass chamber and the results was compared with uninoculated (non-mycorrhizal control) plants. One-year old Kinnow plants budded on Jatti Katti (Citrus jambhiri) were inoculated with Glomus manihotis, Glomus mosseae and Gigaspora gigantea separately and in combination, each with four replications. The distribution of radioactivity in the roots, shoots and leaves of mycorrhizal plants showed higher rate of recovery over the control. The maximum amount of labeled 14C fixation in the root was observed with G. manihotis followed by combined treatment, G. mosseae and G. gigantea with 81.5, 52.8, 32.3 and 21.6% more than the control respectively. The same pattern was followed in the leaves but with higher rate of total radioactivity recovery (23.9, 20.2, 13.2 and 4.7% more than control), and the difference between the treatments and the control was smaller. The results show that the rate of carbon assimilation, the export of photosynthates from the leaves, and the sink strength of roots increased in colonized plants compared with the control.</t>
  </si>
  <si>
    <t>Arbuscular mycorrhiza; Carbon sink; Citrus jambhiri; Isotope; Photosynthesis</t>
  </si>
  <si>
    <t>Saprotrophic versus symbiotic strategy during truffle ascocarp development under holm oak. A response based on 13C and 15N natural abundance</t>
  </si>
  <si>
    <t>Annals of Forest Science</t>
  </si>
  <si>
    <t>10.1051/forest:2008037</t>
  </si>
  <si>
    <t>https://www.scopus.com/inward/record.uri?eid=2-s2.0-51649094235&amp;doi=10.1051%2fforest%3a2008037&amp;partnerID=40&amp;md5=edb2f8ba7f4cf7a99928cb8399fe6d0e</t>
  </si>
  <si>
    <t>13C; 15N; Ascocarps development; Tuber brumale; Tuber melanosporum; Tuber rufum</t>
  </si>
  <si>
    <t>Grazing effects on fungal root symbionts and carbon and nitrogen storage in a shortgrass steppe in Central Mexico</t>
  </si>
  <si>
    <t>Journal of Arid Environments</t>
  </si>
  <si>
    <t>10.1016/j.jaridenv.2007.07.005</t>
  </si>
  <si>
    <t>https://www.scopus.com/inward/record.uri?eid=2-s2.0-39649093192&amp;doi=10.1016%2fj.jaridenv.2007.07.005&amp;partnerID=40&amp;md5=8815eb453ff8a2a1e095ca639cae11cc</t>
  </si>
  <si>
    <t>Arbuscular mycorrhiza; Dark septate endophytes; Overgrazing; Semiarid grassland; Soil carbon and nitrogen stock</t>
  </si>
  <si>
    <t>Warnock D.D., Lehmann J., Kuyper T.W., Rillig M.C.</t>
  </si>
  <si>
    <t>Mycorrhizal responses to biochar in soil - Concepts and mechanisms</t>
  </si>
  <si>
    <t>10.1007/s11104-007-9391-5</t>
  </si>
  <si>
    <t>https://www.scopus.com/inward/record.uri?eid=2-s2.0-35748976260&amp;doi=10.1007%2fs11104-007-9391-5&amp;partnerID=40&amp;md5=381e4d08ae50ccc53a74e17cb93c73c9</t>
  </si>
  <si>
    <t>Arbuscular mycorrhiza; Biochar; Carbon storage; Ectomycorrhiza; Restoration; Terra preta</t>
  </si>
  <si>
    <t>Phillips R.P., Fahey T.J.</t>
  </si>
  <si>
    <t>Fertilization effects on fineroot biomass, rhizosphere microbes and respiratory fluxes in hardwood forest soils</t>
  </si>
  <si>
    <t>10.1111/j.1469-8137.2007.02204.x</t>
  </si>
  <si>
    <t>https://www.scopus.com/inward/record.uri?eid=2-s2.0-35448979130&amp;doi=10.1111%2fj.1469-8137.2007.02204.x&amp;partnerID=40&amp;md5=fa5fb661ab012493ce4f809ae807453a</t>
  </si>
  <si>
    <t>Forest fertilization; Northern red oak (Quercus rubra); Nutrient availability; Rhizodeposition; Root exudates; Soil respiration; Sugar maple (Acer saccharum); Yellow birch (Betula allegheniensis)</t>
  </si>
  <si>
    <t>Active root-inhabiting microbes identified by rapid incorporation of plant-derived carbon into RNA</t>
  </si>
  <si>
    <t>10.1073/pnas.0705902104</t>
  </si>
  <si>
    <t>https://www.scopus.com/inward/record.uri?eid=2-s2.0-36749043174&amp;doi=10.1073%2fpnas.0705902104&amp;partnerID=40&amp;md5=d0f532e2f0e57a1e58f9a3f488b2936c</t>
  </si>
  <si>
    <t>Arbuscular mycorrhiza; Endophytes; Ribosomal RNA; Stable isotope probing; Symbiosis</t>
  </si>
  <si>
    <t>Artz R.R.E., Anderson I.C., Chapman S.J., Hagn A., Schloter M., Potts J.M., Campbell C.D.</t>
  </si>
  <si>
    <t>Changes in fungal community composition in response to vegetational succession during the natural regeneration of cutover peatlands</t>
  </si>
  <si>
    <t>10.1007/s00248-007-9220-7</t>
  </si>
  <si>
    <t>https://www.scopus.com/inward/record.uri?eid=2-s2.0-35148853590&amp;doi=10.1007%2fs00248-007-9220-7&amp;partnerID=40&amp;md5=ffac1f7a0e229d2d39780af759baf6be</t>
  </si>
  <si>
    <t>Finzi A.C., Norby R.J., Calfapietra C., Gallet-Budynek A., Gielen B., Holmes W.E., Hoosbeek M.R., Iversen C.M., Jackson R.B., Kubiske M.E., Ledford J., Liberloo M., Oren R., Polle A., Pritchard S., Zak D.R., Schlesinger W.H., Ceulemans R.</t>
  </si>
  <si>
    <t>Increases in nitrogen uptake rather than nitrogen-use efficiency support higher rates of temperate forest productivity under elevated CO2</t>
  </si>
  <si>
    <t>10.1073/pnas.0706518104</t>
  </si>
  <si>
    <t>https://www.scopus.com/inward/record.uri?eid=2-s2.0-35348893206&amp;doi=10.1073%2fpnas.0706518104&amp;partnerID=40&amp;md5=700809a2cb3cdf5fa4883f36d3e936fd</t>
  </si>
  <si>
    <t>Global change; Net primary production</t>
  </si>
  <si>
    <t>Heinemeyer A., Hartley I.P., Evans S.P., Carreira De La Fuente J.A., Ineson P.</t>
  </si>
  <si>
    <t>Forest soil CO2 flux: Uncovering the contribution and environmental responses of ectomycorrhizas</t>
  </si>
  <si>
    <t>10.1111/j.1365-2486.2007.01383.x</t>
  </si>
  <si>
    <t>https://www.scopus.com/inward/record.uri?eid=2-s2.0-34547821492&amp;doi=10.1111%2fj.1365-2486.2007.01383.x&amp;partnerID=40&amp;md5=145e2256fcb187487052e13bf42c2e51</t>
  </si>
  <si>
    <t>Ectomycorrhizas; Lodgepole pine; Mesh collar; Mycorrhizal respiration; Q10; Root respiration; Soil moisture; Soil respiration; Substrate supply; Temperature</t>
  </si>
  <si>
    <t>The underestimated importance of belowground carbon input for forest soil animal food webs</t>
  </si>
  <si>
    <t>10.1111/j.1461-0248.2007.01064.x</t>
  </si>
  <si>
    <t>https://www.scopus.com/inward/record.uri?eid=2-s2.0-34347249895&amp;doi=10.1111%2fj.1461-0248.2007.01064.x&amp;partnerID=40&amp;md5=f33433eeedc4e7fa8444824a4ff23635</t>
  </si>
  <si>
    <t>13C; 15N; Carbon flux; Forest; Mycorrhiza; Stable isotopes</t>
  </si>
  <si>
    <t>Hobbie E.A., Rygiewicz P.T., Johnson M.G., Moldenke A.R.</t>
  </si>
  <si>
    <t>13C and 15N in microarthropods reveal little response of Douglas-fir ecosystems to climate change</t>
  </si>
  <si>
    <t>10.1111/j.1365-2486.2007.01379.x</t>
  </si>
  <si>
    <t>https://www.scopus.com/inward/record.uri?eid=2-s2.0-34447530824&amp;doi=10.1111%2fj.1365-2486.2007.01379.x&amp;partnerID=40&amp;md5=f46b0235bddd70d4bbdcfc1551be70ed</t>
  </si>
  <si>
    <t>Ecosystem response; Food webs; Global change; Soil carbon; Stable isotopes</t>
  </si>
  <si>
    <t>Treseder K.K., Turner K.M.</t>
  </si>
  <si>
    <t>Glomalin in ecosystems</t>
  </si>
  <si>
    <t>10.2136/sssaj2006.0377</t>
  </si>
  <si>
    <t>https://www.scopus.com/inward/record.uri?eid=2-s2.0-34447530611&amp;doi=10.2136%2fsssaj2006.0377&amp;partnerID=40&amp;md5=517ab4a2021c8fd4d8962c45b493ca9d</t>
  </si>
  <si>
    <t>Alberton O., Kuyper T.W., Gorissen A.</t>
  </si>
  <si>
    <t>Competition for nitrogen between Pinus sylvestris and ectomycorrhizal fungi generates potential for negative feedback under elevated CO2</t>
  </si>
  <si>
    <t>10.1007/s11104-007-9306-5</t>
  </si>
  <si>
    <t>https://www.scopus.com/inward/record.uri?eid=2-s2.0-34447340622&amp;doi=10.1007%2fs11104-007-9306-5&amp;partnerID=40&amp;md5=9a9e94d54e7c09285b4d16dd58c12e9b</t>
  </si>
  <si>
    <t>Carbon and nitrogen allocation; Ectomycorrhizal fungi; Elevated CO 2; Extraradical hyphae; Mycocentric; N immobilization; Pinus sylvestris; Progressive nitrogen limitation</t>
  </si>
  <si>
    <t>Millard P., Sommerkorn M., Grelet G.-A.</t>
  </si>
  <si>
    <t>Environmental change and carbon limitation in trees: A biochemical, ecophysiological and ecosystem appraisal</t>
  </si>
  <si>
    <t>10.1111/j.1469-8137.2007.02079.x</t>
  </si>
  <si>
    <t>https://www.scopus.com/inward/record.uri?eid=2-s2.0-34249814904&amp;doi=10.1111%2fj.1469-8137.2007.02079.x&amp;partnerID=40&amp;md5=ed708c97030ec844d0929683cfb23f7a</t>
  </si>
  <si>
    <t>Carbon priming; Ecosystem carbon cycling; Mycorrhizal fungi; Nitrogen (N) storage; Rubisco; Soil organic matter; Soil respiration</t>
  </si>
  <si>
    <t>Zimmer K., Hynson N.A., Gebauer G., Allen E.B., Allen M.F., Read D.J.</t>
  </si>
  <si>
    <t>Wide geographical and ecological distribution of nitrogen and carbon gains from fungi in pyroloids and monotropoids (Ericaceae) and in orchids</t>
  </si>
  <si>
    <t>10.1111/j.1469-8137.2007.02065.x</t>
  </si>
  <si>
    <t>https://www.scopus.com/inward/record.uri?eid=2-s2.0-34249793685&amp;doi=10.1111%2fj.1469-8137.2007.02065.x&amp;partnerID=40&amp;md5=d69ae772beb5f060ac230baa4ddbcd85</t>
  </si>
  <si>
    <t>Carbon (C) and nitrogen (N) nutrition; Ericaceae; Monotropoids; Mycorrhiza; Orchids; Partial and full myco-heterotrophy; Pyrola; Stable isotopes</t>
  </si>
  <si>
    <t>Nakano-Hylander A., Olsson P.A.</t>
  </si>
  <si>
    <t>Carbon allocation in mycelia of arbuscular mycorrhizal fungi during colonisation of plant seedlings</t>
  </si>
  <si>
    <t>10.1016/j.soilbio.2006.12.031</t>
  </si>
  <si>
    <t>https://www.scopus.com/inward/record.uri?eid=2-s2.0-34247198423&amp;doi=10.1016%2fj.soilbio.2006.12.031&amp;partnerID=40&amp;md5=b2ce79cb118dc7c65d28aedba73b96b2</t>
  </si>
  <si>
    <t>13C; Arbuscular mycorrhizal (AM) fungi; C allocation; Fatty acid; Lipid; Mycelial network</t>
  </si>
  <si>
    <t>Zeller B., Brechet C., Maurice J.-P., Le Tacon F.</t>
  </si>
  <si>
    <t>13C and15N isotopic fractionation in trees, soils and fungi in a natural forest stand and a Norway spruce plantation</t>
  </si>
  <si>
    <t>10.1051/forest:2007019</t>
  </si>
  <si>
    <t>https://www.scopus.com/inward/record.uri?eid=2-s2.0-34547491872&amp;doi=10.1051%2fforest%3a2007019&amp;partnerID=40&amp;md5=53c880a31234e368fccf282db1ba58bd</t>
  </si>
  <si>
    <t>13C; 15N; Ectomycorrhizal fungi; Forest stands; Saprotrophic fungi</t>
  </si>
  <si>
    <t>Rains K.C., Bledsoe C.S.</t>
  </si>
  <si>
    <t>Rapid uptake of 15N-ammonium and glycine-13C, 15N by arbuscular and ericoid mycorrhizal plants native to a Northern California coastal pygmy forest</t>
  </si>
  <si>
    <t>10.1016/j.soilbio.2006.11.019</t>
  </si>
  <si>
    <t>https://www.scopus.com/inward/record.uri?eid=2-s2.0-33847668025&amp;doi=10.1016%2fj.soilbio.2006.11.019&amp;partnerID=40&amp;md5=29c1039615ddbe2a1cfaee57e69a4a08</t>
  </si>
  <si>
    <t>15N ammonium; Amino acid uptake; Arbuscular mycorrhiza; Cupressaceae; Dark septate endophyte; Ericaceae; Ericoid mycorrhiza; Glycine; Nitrogen cycle; Nitrogen uptake; Organic nitrogen; Pygmy forest; Stable isotope</t>
  </si>
  <si>
    <t>Soil sustainability indicators following conservation tillage practices under subtropical maize and bean crops</t>
  </si>
  <si>
    <t>Soil and Tillage Research</t>
  </si>
  <si>
    <t>10.1016/j.still.2006.05.001</t>
  </si>
  <si>
    <t>https://www.scopus.com/inward/record.uri?eid=2-s2.0-33846806093&amp;doi=10.1016%2fj.still.2006.05.001&amp;partnerID=40&amp;md5=4df932751e282caf831817ee1b88724d</t>
  </si>
  <si>
    <t>Aggregate stability; Arbuscular mycorrhizal fungi; C sequestration; Dehydrogenase activity; Glomalin related soil protein; Microbial biomass; No tillage</t>
  </si>
  <si>
    <t>Usuki F., Narisawa K.</t>
  </si>
  <si>
    <t>A mutualistic symbiosis between a dark septate endophytic fungus, Heteroconium chaetospira, and a nonmycorrhizal plant, Chinese cabbage</t>
  </si>
  <si>
    <t>Mycologia</t>
  </si>
  <si>
    <t>10.3852/mycologia.99.2.175</t>
  </si>
  <si>
    <t>https://www.scopus.com/inward/record.uri?eid=2-s2.0-34547186634&amp;doi=10.3852%2fmycologia.99.2.175&amp;partnerID=40&amp;md5=4f66e92a68e700464128da26e3889a17</t>
  </si>
  <si>
    <t>Chinese cabbage; Dark septate endophytic fungi; Heteroconium chaetospira; Mutualistic symbiosis; Nutrient transfer</t>
  </si>
  <si>
    <t>Fransson P.M.A., Anderson I.C., Alexander I.J.</t>
  </si>
  <si>
    <t>Does carbon partitioning in ectomycorrhizal pine seedlings under elevated CO2 vary with fungal species?</t>
  </si>
  <si>
    <t>10.1007/s11104-007-9203-y</t>
  </si>
  <si>
    <t>https://www.scopus.com/inward/record.uri?eid=2-s2.0-34248369750&amp;doi=10.1007%2fs11104-007-9203-y&amp;partnerID=40&amp;md5=d42620d0ec0b3ca005eccc8a829b49ac</t>
  </si>
  <si>
    <t>14CO2 labelling; Boreal forest; Elevated CO2; Fungal respiration; Mycelium; Mycorrhizas</t>
  </si>
  <si>
    <t>Leake J.R.</t>
  </si>
  <si>
    <t>Mycorrhizas and the terrestrial carbon cycle: Roles in global carbon sequestration and plant community composition</t>
  </si>
  <si>
    <t>Fungi in the Environment</t>
  </si>
  <si>
    <t>10.1017/CBO9780511541797.009</t>
  </si>
  <si>
    <t>https://www.scopus.com/inward/record.uri?eid=2-s2.0-67649362410&amp;doi=10.1017%2fCBO9780511541797.009&amp;partnerID=40&amp;md5=f737235f84f3d37fd35262f77d1e233f</t>
  </si>
  <si>
    <t>Community shifts and carbon translocation within metabolicalh-active rhizosphere microorganisms in grasslands under elevated CO2</t>
  </si>
  <si>
    <t>10.5194/bg-4-769-2007</t>
  </si>
  <si>
    <t>https://www.scopus.com/inward/record.uri?eid=2-s2.0-34848922438&amp;doi=10.5194%2fbg-4-769-2007&amp;partnerID=40&amp;md5=17398dee6fea94dc02b44a07f8483bf7</t>
  </si>
  <si>
    <t>Ford C.R., Wurzburger N., Hendrick R.L., Teskey R.O.</t>
  </si>
  <si>
    <t>Soil DIC uptake and fixation in Pinus taeda seedlings and its C contribution to plant tissues and ectomycorrhizal fungi</t>
  </si>
  <si>
    <t>10.1093/treephys/27.3.375</t>
  </si>
  <si>
    <t>https://www.scopus.com/inward/record.uri?eid=2-s2.0-34047168672&amp;doi=10.1093%2ftreephys%2f27.3.375&amp;partnerID=40&amp;md5=960c9aac2383b8233117660102da2e6a</t>
  </si>
  <si>
    <t>Anaplerotic fixation; Carbon cycling; Carbon dioxide; Corticular photosynthesis; Dissolved inorganic carbon; Stable isotope</t>
  </si>
  <si>
    <t>Treseder K.K., Turner K.M., Mack M.C.</t>
  </si>
  <si>
    <t>Mycorrhizal responses to nitrogen fertilization in boreal ecosystems: Potential consequences for soil carbon storage</t>
  </si>
  <si>
    <t>10.1111/j.1365-2486.2006.01279.x</t>
  </si>
  <si>
    <t>https://www.scopus.com/inward/record.uri?eid=2-s2.0-33846253579&amp;doi=10.1111%2fj.1365-2486.2006.01279.x&amp;partnerID=40&amp;md5=ff13af70ba91566c0795211f26e3be5f</t>
  </si>
  <si>
    <t>Global change; Glomalin; Hyphae; Minirhizotron images; Root length density; Soil carbon sequestration</t>
  </si>
  <si>
    <t>Spatial separation of litter decomposition and mycorrhizal nitrogen uptake in a boreal forest</t>
  </si>
  <si>
    <t>10.1111/j.1469-8137.2006.01936.x</t>
  </si>
  <si>
    <t>https://www.scopus.com/inward/record.uri?eid=2-s2.0-33846184630&amp;doi=10.1111%2fj.1469-8137.2006.01936.x&amp;partnerID=40&amp;md5=164debfd5dde0ed8059a2e49eb91004f</t>
  </si>
  <si>
    <t>Carbon; Community; Fungi; Nutrient cycling; Podzol; Soil; Terminal restriction fragment length polymorphism (T-RFLP)</t>
  </si>
  <si>
    <t>Schindler F.V., Mercer E.J., Rice J.A.</t>
  </si>
  <si>
    <t>Chemical characteristics of glomalin-related soil protein (GRSP) extracted from soils of varying organic matter content</t>
  </si>
  <si>
    <t>10.1016/j.soilbio.2006.08.017</t>
  </si>
  <si>
    <t>https://www.scopus.com/inward/record.uri?eid=2-s2.0-33750963339&amp;doi=10.1016%2fj.soilbio.2006.08.017&amp;partnerID=40&amp;md5=e96397dcd553303e669889b21e61d2db</t>
  </si>
  <si>
    <t>13C DPMAS NMR; Elemental analysis; Glomalin; Glomalin-related soil protein; Glycoprotein; Humic acid; Soil organic matter</t>
  </si>
  <si>
    <t>Canopy CO2 enrichment permits tracing the fate of recently assimilated carbon in a mature deciduous forest</t>
  </si>
  <si>
    <t>10.1111/j.1469-8137.2006.01831.x</t>
  </si>
  <si>
    <t>https://www.scopus.com/inward/record.uri?eid=2-s2.0-33748793655&amp;doi=10.1111%2fj.1469-8137.2006.01831.x&amp;partnerID=40&amp;md5=8792dee8af090bf1382c305cfcfc0880</t>
  </si>
  <si>
    <t>Carbon allocation; Free-air CO2 enrichment (FACE); Fungi; Rhizosphere; Roots; Soil; Soil respiration; Stable isotopes</t>
  </si>
  <si>
    <t>Manning P., Newington J.E., Robson H.R., Saunders M., Eggers T., Bradford M.A., Bardgett R.D., Bonkowski M., Ellis R.J., Gange A.C., Grayston S.J., Kandeler E., Marhan S., Reid E., Tscherko D., Godfray H.C.J., Rees M.</t>
  </si>
  <si>
    <t>Decoupling the direct and indirect effects of nitrogen deposition on ecosystem function</t>
  </si>
  <si>
    <t>10.1111/j.1461-0248.2006.00959.x</t>
  </si>
  <si>
    <t>https://www.scopus.com/inward/record.uri?eid=2-s2.0-33747623276&amp;doi=10.1111%2fj.1461-0248.2006.00959.x&amp;partnerID=40&amp;md5=5939d8a0217d688fb9d6fabdb10ef875</t>
  </si>
  <si>
    <t>Arbuscular mycorrhizal fungi; Biodiversity; Evapotranspiration; Frequency dependence; Mineral-associated carbon; Mineralization; Net ecosystem productivity; Plant community composition; Soil decomposer community; Soil enzyme activity</t>
  </si>
  <si>
    <t>Leake J.R., Ostle N.J., Rangel-Castro J.I., Johnson D.</t>
  </si>
  <si>
    <t>Carbon fluxes from plants through soil organisms determined by field 13CO2 pulse-labelling in an upland grassland</t>
  </si>
  <si>
    <t>10.1016/j.apsoil.2006.03.001</t>
  </si>
  <si>
    <t>https://www.scopus.com/inward/record.uri?eid=2-s2.0-33745738838&amp;doi=10.1016%2fj.apsoil.2006.03.001&amp;partnerID=40&amp;md5=b37935f07e4c6189c9863b6d8fe03395</t>
  </si>
  <si>
    <t>Carbon isotope pulse-labelling; Food webs; Mycorrhiza; Mycorrhizosphere; Rhizosphere; Soil respiration</t>
  </si>
  <si>
    <t>Clemmensen K.E., Michelsen A., Jonasson S., Shaver G.R.</t>
  </si>
  <si>
    <t>Increased ectomycorrhizal fungal abundance after long-term fertilization and warming of two arctic tundra ecosystems</t>
  </si>
  <si>
    <t>10.1111/j.1469-8137.2006.01778.x</t>
  </si>
  <si>
    <t>https://www.scopus.com/inward/record.uri?eid=2-s2.0-33745224727&amp;doi=10.1111%2fj.1469-8137.2006.01778.x&amp;partnerID=40&amp;md5=aad712e9c55bf71d40da3b1cec7219db</t>
  </si>
  <si>
    <t>13C natural abundance; 15N natural abundance; Betula nana (dwarf birch); Ergosterol; External mycelium; Fertilization; Stable isotopes; Warming</t>
  </si>
  <si>
    <t>Cameron D.D., Leake J.R., Read D.J.</t>
  </si>
  <si>
    <t>Mutualistic mycorrhiza in orchids: Evidence from plant-fungus carbon and nitrogen transfers in the green-leaved terrestrial orchid Goodyera repens</t>
  </si>
  <si>
    <t>10.1111/j.1469-8137.2006.01767.x</t>
  </si>
  <si>
    <t>https://www.scopus.com/inward/record.uri?eid=2-s2.0-33745200725&amp;doi=10.1111%2fj.1469-8137.2006.01767.x&amp;partnerID=40&amp;md5=f8902f7bf77366a8e96d5c5eabc9d9d1</t>
  </si>
  <si>
    <t>15N 13C and 14C; Autotrophy; Goodyera repens; Myco-heterotrophy; Nutrition; Orchid; Stable isotopes</t>
  </si>
  <si>
    <t>Heinemeyer A., Ineson P., Ostle N., Fitter A.H.</t>
  </si>
  <si>
    <t>Respiration of the external mycelium in the arbuscular mycorrhizal symbiosis shows strong dependence on recent photosynthates and acclimation to temperature</t>
  </si>
  <si>
    <t>10.1111/j.1469-8137.2006.01730.x</t>
  </si>
  <si>
    <t>https://www.scopus.com/inward/record.uri?eid=2-s2.0-33744937917&amp;doi=10.1111%2fj.1469-8137.2006.01730.x&amp;partnerID=40&amp;md5=85d083ccd9c24e1bd67e997ac71b22c6</t>
  </si>
  <si>
    <t>13C pulse label; Arbuscular mycorrhiza (AM); Below-ground carbon allocation; Compartment experiment; Mycelial growth; Mycelial respiration; Plantago lanceolata; Temperature acclimation of respiration</t>
  </si>
  <si>
    <t>Tu C., Booker F.L., Watson D.M., Chen X., Rufty T.W., Shi W., Hu S.</t>
  </si>
  <si>
    <t>Mycorrhizal mediation of plant N acquisition and residue decomposition: Impact of mineral N inputs</t>
  </si>
  <si>
    <t>10.1111/j.1365-2486.2006.01149.x</t>
  </si>
  <si>
    <t>https://www.scopus.com/inward/record.uri?eid=2-s2.0-33745968014&amp;doi=10.1111%2fj.1365-2486.2006.01149.x&amp;partnerID=40&amp;md5=0959d543a1d9ec4a635ea6d4408f1bcc</t>
  </si>
  <si>
    <t>13C tracer; 15N tracer; Arbuscular mycorrhizal fungi; Decomposition; Hyphal N transport; Mineral N inputs; Particulate organic C; Plant N acquisition; Soil C</t>
  </si>
  <si>
    <t>Hobbie E.A.</t>
  </si>
  <si>
    <t>Carbon allocation to ectomycorrhizal fungi correlates with belowground allocation in culture studies</t>
  </si>
  <si>
    <t>10.1890/05-0755</t>
  </si>
  <si>
    <t>https://www.scopus.com/inward/record.uri?eid=2-s2.0-33646131412&amp;doi=10.1890%2f05-0755&amp;partnerID=40&amp;md5=42792ac5b4c8a24ee0def11ce4b25188</t>
  </si>
  <si>
    <t>Belowground NPP; Carbon flux; Culture vs. field studies; Ectomycorrhizae; Forest ecosystems; Fungal C allocation; Net primary production; Nutrient limitation; Pinus spp.; Root C allocation</t>
  </si>
  <si>
    <t>GintAMT1 encodes a functional high-affinity ammonium transporter that is expressed in the extraradical mycelium of Glomus intraradices</t>
  </si>
  <si>
    <t>Fungal Genetics and Biology</t>
  </si>
  <si>
    <t>10.1016/j.fgb.2005.10.005</t>
  </si>
  <si>
    <t>https://www.scopus.com/inward/record.uri?eid=2-s2.0-32444447684&amp;doi=10.1016%2fj.fgb.2005.10.005&amp;partnerID=40&amp;md5=d35a8de323362177355fce462ad611e3</t>
  </si>
  <si>
    <t>Ammonium transport; Arbuscular mycorrhizal fungi; Nitrogen nutrition; Root organ culture</t>
  </si>
  <si>
    <t>Cheng X., Baumgartner K.</t>
  </si>
  <si>
    <t>Effects of mycorrhizal roots and extraradical hyphae on 15N uptake from vineyard cover crop litter and the soil microbial community</t>
  </si>
  <si>
    <t>10.1016/j.soilbio.2006.03.023</t>
  </si>
  <si>
    <t>https://www.scopus.com/inward/record.uri?eid=2-s2.0-34548120156&amp;doi=10.1016%2fj.soilbio.2006.03.023&amp;partnerID=40&amp;md5=9ff85de19326d68c675130befbb07d33</t>
  </si>
  <si>
    <t>The objectives of this study were to evaluate the contribution of arbuscular mycorrhizal (AM) fungal hyphae to 15N uptake from vineyard cover crop litter (Medicago polymorpha), and to examine the soil microbial community under the influence of mycorrhizal roots and extraradical hyphae. Mycorrhizal grapevines (Vitis vinifera) were grown in specially designed containers, within which a polyvinyl chloride (PVC) mesh core was inserted. Different sizes of mesh allowed mycorrhizal roots (mycorrhizosphere treatment) or extraradical hyphae (hyphosphere treatment) to access dual labeled 15N and 13C cover crop litter that was placed inside the cores after 4 months of grapevine growth. Mesh cores in the bulk soil treatment, which served as a negative control, had the same mesh size as the hyphosphere treatment, but frequent rotation prevented extraradical hyphae from accessing the litter. Grapevines and soils were harvested 0, 7, 14, and 28 days after addition of the cover crop litter and examined for the presence of 15N. Soil microbial biomass and the soil microbial community inside the mesh cores were examined using phospholipid fatty acid analysis. 15N concentrations in grapevines in the hyphosphere treatment were twice that of grapevines in the bulk soil treatment, suggesting that extraradical hyphae extending from mycorrhizal grapevine roots may have a role in nutrient utilization from decomposing vineyard cover crops in the field. Nonetheless, grapevines in the mycorrhizosphere treatment had the highest 15N concentrations, thus highlighting the importance of a healthy grapevine root system in nutrient uptake. We detected similar peaks in soil microbial biomass in the mycorrhizosphere and hyphosphere treatments after addition of the litter, despite significantly lower microbial biomass in the hyphosphere treatment initially. Our results suggest that although grapevine roots play a dominant role in the uptake of nutrients from a decomposing cover crop, AM hyphae may have a more important role in maintaining soil microbial communities associated with nutrient cycling.</t>
  </si>
  <si>
    <t>Arbuscular mycorrhizae; Decomposition; Hyphosphere; Medicago polymorpha; Mycorrhizosphere; N uptake; PLFA; Vitis vinifera</t>
  </si>
  <si>
    <t>Kamath R., Schnoor J.L., Alvarez P.J.J.</t>
  </si>
  <si>
    <t>A model for the effect of rhizodeposition on the fate of phenanthrene in aged contaminated soil</t>
  </si>
  <si>
    <t>10.1021/es0506861</t>
  </si>
  <si>
    <t>https://www.scopus.com/inward/record.uri?eid=2-s2.0-29244449335&amp;doi=10.1021%2fes0506861&amp;partnerID=40&amp;md5=86f73f80bc823acaacec039bcae906fa</t>
  </si>
  <si>
    <t>Diouf D., Duponnois R., Ba A.T., Neyra M., Lesueur D.</t>
  </si>
  <si>
    <t>Symbiosis of Acacia auriculiformis and Acacia mangium with mycorrhizal fungi and Bradyrhizobium spp. improves salt tolerance in greenhouse conditions</t>
  </si>
  <si>
    <t>10.1071/FP04069</t>
  </si>
  <si>
    <t>https://www.scopus.com/inward/record.uri?eid=2-s2.0-28644435679&amp;doi=10.1071%2fFP04069&amp;partnerID=40&amp;md5=50838a5677878dfd91ff21426e753da8</t>
  </si>
  <si>
    <t>Acacia; Microsymbionts; Proline accumulation; Salt stress</t>
  </si>
  <si>
    <t>Olsson P.A., Burleigh S.H., Van Aarle I.M.</t>
  </si>
  <si>
    <t>The influence of external nitrogen on carbon allocation to Glomus intraradices in monoxenic arbuscular mycorrhiza</t>
  </si>
  <si>
    <t>10.1111/j.1469-8137.2005.01532.x</t>
  </si>
  <si>
    <t>https://www.scopus.com/inward/record.uri?eid=2-s2.0-33645865559&amp;doi=10.1111%2fj.1469-8137.2005.01532.x&amp;partnerID=40&amp;md5=7db96e7f881934acb11a5ce4b7d79063</t>
  </si>
  <si>
    <t>Carbon allocation; GiPT; Metabolic activity; Monoxenic arbuscular mycorrhiza (AM) cultures; Nitrogen (N); Phosphate transporter; Phosphorus (P)</t>
  </si>
  <si>
    <t>Jin H., Pfeffer P.E., Douds D.D., Piotrowski E., Lammers P.J., Shachar-Hill Y.</t>
  </si>
  <si>
    <t>The uptake, metabolism, transport and transfer of nitrogen in an arbuscular mycorrhizal symbiosis</t>
  </si>
  <si>
    <t>10.1111/j.1469-8137.2005.01536.x</t>
  </si>
  <si>
    <t>https://www.scopus.com/inward/record.uri?eid=2-s2.0-33645854364&amp;doi=10.1111%2fj.1469-8137.2005.01536.x&amp;partnerID=40&amp;md5=e5e8e8f2da576e058014f926ea76b1b5</t>
  </si>
  <si>
    <t>13C labeling; 15N labeling; Arbuscular mycorrhiza (AM); Arginine (arg); Glomus intraradices; In vitro mycorrhizal culture; Mass spectrometry; Urea cycle</t>
  </si>
  <si>
    <t>Olsson P.A., Johnson N.C.</t>
  </si>
  <si>
    <t>Tracking carbon from the atmosphere to the rhizosphere</t>
  </si>
  <si>
    <t>10.1111/j.1461-0248.2005.00831.x</t>
  </si>
  <si>
    <t>https://www.scopus.com/inward/record.uri?eid=2-s2.0-28644446225&amp;doi=10.1111%2fj.1461-0248.2005.00831.x&amp;partnerID=40&amp;md5=cfbc981ae6852618e1d9c019c79b6846</t>
  </si>
  <si>
    <t>13C; Arbuscular mycorrhiza; Bacteria; Carbon cycling; Glomus intraradices; Plantago lanceolata; Signature fatty acids; Stable isotope</t>
  </si>
  <si>
    <t>King J.S., Pregitzer K.S., Zak D.R., Holmes W.E., Schmidt K.</t>
  </si>
  <si>
    <t>Fine root chemistry and decomposition in model communities of north-temperate tree species show little response to elevated atmospheric CO2 and varying soil resource availability</t>
  </si>
  <si>
    <t>10.1007/s00442-005-0191-4</t>
  </si>
  <si>
    <t>https://www.scopus.com/inward/record.uri?eid=2-s2.0-27544501680&amp;doi=10.1007%2fs00442-005-0191-4&amp;partnerID=40&amp;md5=910e20bbbb0025048f416f65152e3f64</t>
  </si>
  <si>
    <t>Carbon-based secondary compounds; Soil C cycling; Sugar maple; Trembling aspen</t>
  </si>
  <si>
    <t>Chen G.-S., Yang Y.-S., Qian W., Gao R., Niu Z.-P., Han Y.-G., Zhang Y.-L.</t>
  </si>
  <si>
    <t>Total belowground carbon allocation in Castanopsis kawakamii and Chinese fir plantations in subtropical area of China</t>
  </si>
  <si>
    <t>Acta Ecologica Sinica</t>
  </si>
  <si>
    <t>https://www.scopus.com/inward/record.uri?eid=2-s2.0-28944431927&amp;partnerID=40&amp;md5=b1eb02d914330c5b7f911eda320c6f3e</t>
  </si>
  <si>
    <t>Castanopsis kawakamii; Chinese fir; Root production; Root respiration; Total belowground carbon allocation (TBCA)</t>
  </si>
  <si>
    <t>Bazot S., Mikola J., Nguyen C., Robin C.</t>
  </si>
  <si>
    <t>Defoliation-induced changes in carbon allocation and root soluble carbon concentration in field-grown Lolium perenne plants: Do they affect carbon availability, microbes and animal trophic groups in soil?</t>
  </si>
  <si>
    <t>10.1111/j.1365-2435.2005.01037.x</t>
  </si>
  <si>
    <t>https://www.scopus.com/inward/record.uri?eid=2-s2.0-33646567689&amp;doi=10.1111%2fj.1365-2435.2005.01037.x&amp;partnerID=40&amp;md5=d85907b18260e23504958e540ed3eed6</t>
  </si>
  <si>
    <t>Grassland; Nematodes; Root-released carbon; Soil community; Soil microbes</t>
  </si>
  <si>
    <t>Temperature constraints on the growth and functioning of root organ cultures with arbuscular mycorrhizal fungi</t>
  </si>
  <si>
    <t>10.1111/j.1469-8137.2005.01481.x</t>
  </si>
  <si>
    <t>https://www.scopus.com/inward/record.uri?eid=2-s2.0-32944466773&amp;doi=10.1111%2fj.1469-8137.2005.01481.x&amp;partnerID=40&amp;md5=6f3ba52ea9a2a707e6501b4265c8d349</t>
  </si>
  <si>
    <t>Arbuscular mycorrhizal fungi (AMF); Carbon; Growth; Mycorrhiza; Phosphorus; Temperature; Translocation; Uptake</t>
  </si>
  <si>
    <t>Dependence of arbuscular-mycorrhizal fungi on their plant host for palmitic acid synthesis</t>
  </si>
  <si>
    <t>10.1128/AEM.71.9.5341-5347.2005</t>
  </si>
  <si>
    <t>https://www.scopus.com/inward/record.uri?eid=2-s2.0-25144496237&amp;doi=10.1128%2fAEM.71.9.5341-5347.2005&amp;partnerID=40&amp;md5=eb976ae83280dca38590ef3dd1a789a2</t>
  </si>
  <si>
    <t>Lesueur D., Duponnois R.</t>
  </si>
  <si>
    <t>Relations between rhizobial nodulation and root colonization of Acacia crassicarpa provenances by an arbuscular mycorrhizal fungus, Glomus intraradices Schenk and Smith or an ectomycorrhizal fungus, Pisolithus tinctorius Coker &amp; Couch</t>
  </si>
  <si>
    <t>10.1051/forest:2005043</t>
  </si>
  <si>
    <t>https://www.scopus.com/inward/record.uri?eid=2-s2.0-24944493596&amp;doi=10.1051%2fforest%3a2005043&amp;partnerID=40&amp;md5=2ce6039cb9634a18616a7bc65a115019</t>
  </si>
  <si>
    <t>Acacia crassicarpa; Arbuscular mycorrhizas; Ectomycorrhizas; Rhizobium</t>
  </si>
  <si>
    <t>Ectomycorrhizal symbiosis enhanced the efficiency of inoculation with two Bradyrhizobium strains and Acacia holosericea growth</t>
  </si>
  <si>
    <t>10.1007/s00572-004-0340-3</t>
  </si>
  <si>
    <t>https://www.scopus.com/inward/record.uri?eid=2-s2.0-22144469153&amp;doi=10.1007%2fs00572-004-0340-3&amp;partnerID=40&amp;md5=0e7245cc6d16cae1185d718999be0add</t>
  </si>
  <si>
    <t>Acacia; Ectomycorrhizas; Microbial interaction; Rhizobia</t>
  </si>
  <si>
    <t>Lovelock C.E., Ewel J.J.</t>
  </si>
  <si>
    <t>Links between tree species, symbiotic fungal diversity and ecosystem functioning in simplified tropical ecosystems</t>
  </si>
  <si>
    <t>10.1111/j.1469-8137.2005.01402.x</t>
  </si>
  <si>
    <t>https://www.scopus.com/inward/record.uri?eid=2-s2.0-21244497377&amp;doi=10.1111%2fj.1469-8137.2005.01402.x&amp;partnerID=40&amp;md5=de10bd18e5305df0770c96eb350bbe94</t>
  </si>
  <si>
    <t>Acaulospora morrowiae; Acaulospora scrobiculata; Acaulospora spinosa; Arbuscular mycorrihzas; Cedrela odorata; Cordia alliodora; Hyeronima alchorneoides; Tropical trees</t>
  </si>
  <si>
    <t>Patterns of rhizosphere carbon flux in sugar maple (Acer saccharum) and yellow birch (Betula allegheniensis) saplings</t>
  </si>
  <si>
    <t>10.1111/j.1365-2486.2005.00959.x</t>
  </si>
  <si>
    <t>https://www.scopus.com/inward/record.uri?eid=2-s2.0-20044378711&amp;doi=10.1111%2fj.1365-2486.2005.00959.x&amp;partnerID=40&amp;md5=26f6e000748f48760f3df0268d766b64</t>
  </si>
  <si>
    <t>Mycorrhizae; Pulse labeling; Rhizodeposition; Root exudation; Trees</t>
  </si>
  <si>
    <t>Olsson P.A., Van Aarle I.M., Gavito M.E., Bengtson P., Bengtsson G.</t>
  </si>
  <si>
    <t>13C incorporation into signature fatty acids as an assay for carbon allocation in arbuscular mycorrhiza</t>
  </si>
  <si>
    <t>10.1128/AEM.71.5.2592-2599.2005</t>
  </si>
  <si>
    <t>https://www.scopus.com/inward/record.uri?eid=2-s2.0-18444375576&amp;doi=10.1128%2fAEM.71.5.2592-2599.2005&amp;partnerID=40&amp;md5=43d3357397551091d4c23acb137891ab</t>
  </si>
  <si>
    <t>Julou T., Burghardt B., Gebauer G., Berveiller D., Damesin C., Selosse M.-A.</t>
  </si>
  <si>
    <t>Mixotrophy in orchids: Insights from a comparative study of green individuals and nonphotosynthetic individuals of Cephalanthera damasonium</t>
  </si>
  <si>
    <t>10.1111/j.1469-8137.2005.01364.x</t>
  </si>
  <si>
    <t>https://www.scopus.com/inward/record.uri?eid=2-s2.0-17644417835&amp;doi=10.1111%2fj.1469-8137.2005.01364.x&amp;partnerID=40&amp;md5=e2d520087f1bd232ed454b0520df04ce</t>
  </si>
  <si>
    <t>13C; 15N; Cephalanthera damasonium; Mixotrophy; Mycoheterotrophy; Mycorrhizas; Orchids; Photosynthesis</t>
  </si>
  <si>
    <t>Weber J., Ducousso M., Tham F.Y., Nourissier-Mountou S., Galiana A., Prin Y., Lee S.K.</t>
  </si>
  <si>
    <t>Co-inoculation of Acacia mangium with Glomus intraradices and Bradyrhizobium sp. in aeroponic culture</t>
  </si>
  <si>
    <t>10.1007/s00374-005-0833-z</t>
  </si>
  <si>
    <t>https://www.scopus.com/inward/record.uri?eid=2-s2.0-17644397411&amp;doi=10.1007%2fs00374-005-0833-z&amp;partnerID=40&amp;md5=78cd11471a92deb910335bacd375b0e3</t>
  </si>
  <si>
    <t>Arbuscular mycorrhizas; Bare root; Legume tree; Nitrogen fixation; Tropical forestry</t>
  </si>
  <si>
    <t>Ryan M.G., Law B.E.</t>
  </si>
  <si>
    <t>Interpreting, measuring, and modeling soil respiration</t>
  </si>
  <si>
    <t>10.1007/s10533-004-5167-7</t>
  </si>
  <si>
    <t>https://www.scopus.com/inward/record.uri?eid=2-s2.0-21244489689&amp;doi=10.1007%2fs10533-004-5167-7&amp;partnerID=40&amp;md5=bdc4c2b394d1f93b686f222aa7072621</t>
  </si>
  <si>
    <t>Belowground carbon allocation; Carbon cycling; Carbon dioxide; CO2; Infrared gas analyzers; Methods; Soil carbon; Terrestrial ecosystems</t>
  </si>
  <si>
    <t>Bronick C.J., Lal R.</t>
  </si>
  <si>
    <t>Soil structure and management: A review</t>
  </si>
  <si>
    <t>10.1016/j.geoderma.2004.03.005</t>
  </si>
  <si>
    <t>https://www.scopus.com/inward/record.uri?eid=2-s2.0-9344256654&amp;doi=10.1016%2fj.geoderma.2004.03.005&amp;partnerID=40&amp;md5=b91a5115d4c0a17bb2abd2fa702ba2af</t>
  </si>
  <si>
    <t>Aggregate dynamics; AMF; arbuscular mycorrhizal fungi; C mic; CI; CL; Carbon sequestration; cation exchange capacity; CEC; Cl; clay; inert carbon; labile fraction; Land use management; Soil aggregation; Soil structure</t>
  </si>
  <si>
    <t>Does Biological Complexity Relate to Functional Attributes of Soil Food Webs?</t>
  </si>
  <si>
    <t>Dynamic Food Webs</t>
  </si>
  <si>
    <t>10.1016/B978-012088458-2/50030-8</t>
  </si>
  <si>
    <t>https://www.scopus.com/inward/record.uri?eid=2-s2.0-84882830841&amp;doi=10.1016%2fB978-012088458-2%2f50030-8&amp;partnerID=40&amp;md5=d73be47208cd6cdf788fbee47c2c8aec</t>
  </si>
  <si>
    <t>Fractional contributions by autotrophic and heterotrophic respiration to soil-surface CO2 efflux in Boreal forests.</t>
  </si>
  <si>
    <t>SEB experimental biology series</t>
  </si>
  <si>
    <t>https://www.scopus.com/inward/record.uri?eid=2-s2.0-34748862407&amp;partnerID=40&amp;md5=b0a4738228f519809549f75b861c767b</t>
  </si>
  <si>
    <t>Soil-surface CO2 efflux ('soil respiration') accounts for roughly two-thirds of forest ecosystem respiration, and can be divided into heterotrophic and autotrophic components. Conventionally, the latter is defined as respiration by plant roots. In Boreal forests, however, fine roots of trees are invariably covered by ectomycorrhizal fungi, which by definition are heterotrophs, but like the roots, receive sugars derived from photosynthesis. There is also a significant leaching of labile carbon compounds from the ectomycorrhizal roots. It is, therefore, more meaningful in the context of carbon balance studies to include mycorrhizal fungi and other mycorrhizosphere organisms, dependent on the direct flux of labile carbon from photosynthesis, in the autotrophic component. Hence, heterotrophic activity becomes reserved for the decomposition of more complex organic molecules in litter and other forms of soil organic matter. In reality, the complex situation is perhaps best described as a continuum from strict autotrophy to strict heterotrophy. As a result of this, and associated methodological problems, estimates of the contribution of autotrophic respiration to total soil respiration have been highly variable. Based on recent stand-scale tree girdling experiments we have estimated that autotrophic respiration in boreal forest accounts for up to 50-65% of soil respiration during the snow-free part of the year. Girdling experiments and studies of the delta(13)C of the soil CO2 efflux show that there is a lag of a few days between the carbon uptake by photosynthesis and the release by autotrophic soil respiration of the assimilated carbon. In contrast, estimates of 'bomb 14C' and other approaches have suggested that it takes years to decades between carbon uptake via photosynthesis and the bulk of soil heterotrophic activity. Temperature is normally used as a driver in models of soil processes and it is often assumed that autotrophic soil activity is more sensitive to temperature than is heterotrophic activity, but this is questionable. It is inherently difficult to make a precise separation of autotrophic and heterotrophic respiration from soils. The partitioning between these two components is highly variable in space and time, and taxonomic autotrophs and heterotrophs may perform the function of the other group to some degree. Care should be taken to disturb as little as possible the delicate plant-microbe-soil system, and this speaks for non-intrusive isotopic methods. There are, however, problems in modelling the flux of isotopes through this complex system. Girdling of tree stands is a very robust alternative approach to make the distinction between autotrophic and heterotrophic activities, but ultimately kills the trees and cannot, therefore, always be used. A further development would be to block the phloem sugar transport reversibly. We propose that thus assumption needs further critical testing.</t>
  </si>
  <si>
    <t>Allen M.F., Klironomos J.N., Treseder K.K., Oechel A.W.C.</t>
  </si>
  <si>
    <t>Responses of soil biota to elevated CO2 in a chaparral ecosystem</t>
  </si>
  <si>
    <t>10.1890/03-5425</t>
  </si>
  <si>
    <t>https://www.scopus.com/inward/record.uri?eid=2-s2.0-26044461168&amp;doi=10.1890%2f03-5425&amp;partnerID=40&amp;md5=4462639c1c17619606f033a06e11ef31</t>
  </si>
  <si>
    <t>Carbon sequestration; Chaparral; Decomposers; Elevated CO2; Mycorrhizae; Soil energy channel; Soil fauna</t>
  </si>
  <si>
    <t>Fitter A.H., Gilligan C.A., Hollingworth K., Kleczkowski A., Twyman R.M., Pitchford J.W.</t>
  </si>
  <si>
    <t>Biodiversity and ecosystem function in soil</t>
  </si>
  <si>
    <t>10.1111/j.0269-8463.2005.00969.x</t>
  </si>
  <si>
    <t>https://www.scopus.com/inward/record.uri?eid=2-s2.0-16844362592&amp;doi=10.1111%2fj.0269-8463.2005.00969.x&amp;partnerID=40&amp;md5=c754a87fa1d452791cdb8504c1bd043f</t>
  </si>
  <si>
    <t>13C; Bacteria; Carbon flux; Fungi; Models; Resilience; Soil fauna; Sourhope</t>
  </si>
  <si>
    <t>Phosphate uptake, transport and transfer by the arbuscular mycorrhizal fungus Glomus intraradices is stimulated by increased carbohydrate availability</t>
  </si>
  <si>
    <t>10.1111/j.1469-8137.2004.01274.x</t>
  </si>
  <si>
    <t>https://www.scopus.com/inward/record.uri?eid=2-s2.0-14244269520&amp;doi=10.1111%2fj.1469-8137.2004.01274.x&amp;partnerID=40&amp;md5=c7aadb10a6c2727193e6dc9b28b3b872</t>
  </si>
  <si>
    <t>Arbuscular mycorrhiza; Glomus intraradices; Interface; Nutrient exchange; Phosphate; Polyphosphate</t>
  </si>
  <si>
    <t>Role of nutrient level and defoliation on symbiotic function: Experimental evidence by tracing 14C/15N exchange in mycorrhizal birch seedlings</t>
  </si>
  <si>
    <t>10.1007/s00572-004-0337-y</t>
  </si>
  <si>
    <t>https://www.scopus.com/inward/record.uri?eid=2-s2.0-12844280723&amp;doi=10.1007%2fs00572-004-0337-y&amp;partnerID=40&amp;md5=81d332a93270c74e88d51d485d824767</t>
  </si>
  <si>
    <t>Ectomycorrhiza; Herbivory; Nitrogen; Phosphorus</t>
  </si>
  <si>
    <t>Hobbie E.A., Colpaert J.V.</t>
  </si>
  <si>
    <t>Nitrogen availability and mycorrhizal colonization influence water use efficiency and carbon isotope patterns in Pinus sylvestris</t>
  </si>
  <si>
    <t>10.1111/j.1469-8137.2004.01187.x</t>
  </si>
  <si>
    <t>https://www.scopus.com/inward/record.uri?eid=2-s2.0-9244233385&amp;doi=10.1111%2fj.1469-8137.2004.01187.x&amp;partnerID=40&amp;md5=75c1eea6e2ab238bf60c3d05c7bec965</t>
  </si>
  <si>
    <t>Compound-specific; Ecosystem respiration; Exponential growth; Scots pine (Pinus sylvestris); Suillus luteus; Thelephora terrestris</t>
  </si>
  <si>
    <t>Entry J.A., Fuhrmann J.J., Sojka R.E., Shewmaker G.E.</t>
  </si>
  <si>
    <t>Influence of irrigated agriculture on soil carbon and microbial community structure</t>
  </si>
  <si>
    <t>Environmental Management</t>
  </si>
  <si>
    <t>S363</t>
  </si>
  <si>
    <t>S373</t>
  </si>
  <si>
    <t>10.1007/s00267-003-9145-y</t>
  </si>
  <si>
    <t>https://www.scopus.com/inward/record.uri?eid=2-s2.0-27544510303&amp;doi=10.1007%2fs00267-003-9145-y&amp;partnerID=40&amp;md5=1a303cc0938f9468d595a28a1c22df5e</t>
  </si>
  <si>
    <t>Arbuscular mycorrhizae; Biolog; Fatty acid methyl esters; Microbial biomass</t>
  </si>
  <si>
    <t>Bennett J.N., Prescott C.E.</t>
  </si>
  <si>
    <t>Organic and inorganic nitrogen nutrition of western red cedar, western hemlock and salal in mineral N-limited cedar-hemlock forests</t>
  </si>
  <si>
    <t>10.1007/s00442-004-1622-3</t>
  </si>
  <si>
    <t>https://www.scopus.com/inward/record.uri?eid=2-s2.0-16644385393&amp;doi=10.1007%2fs00442-004-1622-3&amp;partnerID=40&amp;md5=0126436ab5996e1e323cdf6ba1516a0b</t>
  </si>
  <si>
    <t>Isotope; Mycorrhizae; Protein; Tannin</t>
  </si>
  <si>
    <t>Taylor A.F.S., Gebauer G., Read D.J.</t>
  </si>
  <si>
    <t>Uptake of nitrogen and carbon from double-labelled (15N and 13C) glycine by mycorrhizal pine seedlings</t>
  </si>
  <si>
    <t>10.1111/j.1469-8137.2004.01164.x</t>
  </si>
  <si>
    <t>https://www.scopus.com/inward/record.uri?eid=2-s2.0-6344260677&amp;doi=10.1111%2fj.1469-8137.2004.01164.x&amp;partnerID=40&amp;md5=aa44a65034164d4f57275fc78e66bbc8</t>
  </si>
  <si>
    <t>Amino acid; Carbon; Ectomycorrhiza; Nitrogen; Organic nutrients</t>
  </si>
  <si>
    <t>Cole L., Staddon P.L., Sleep D., Bardgett R.D.</t>
  </si>
  <si>
    <t>Soil animals influence microbial abundance, but not plant-microbial competition for soil organic nitrogen</t>
  </si>
  <si>
    <t>10.1111/j.0269-8463.2004.00894.x</t>
  </si>
  <si>
    <t>https://www.scopus.com/inward/record.uri?eid=2-s2.0-5344275951&amp;doi=10.1111%2fj.0269-8463.2004.00894.x&amp;partnerID=40&amp;md5=f84bf3c86466a326f3be9d36a52f2609</t>
  </si>
  <si>
    <t>1. In a microcosm experiment we examined the effects of individual species of microarthropods, and variations in microarthropod diversity of up to eight species, on soil microbial properties and the short-term partitioning of a dual-labelled organic nitrogen source (glycine-2-13C-15N) between a grassland plant, Agrostis capillaris, and the soil microbial biomass, to determine how soil fauna and their diversity influence plant-microbial competition for organic N. 2. We hypothesized that variations in the diversity of animals would influence the partitioning of 15N inputs between plants and the microbial biomass, due to the effect of animal grazing on the microbial biomass, and hence its ability to sequester N. 3. Certain individual species of Collembola influenced the microbial community of the soil. Folsomia quadrioculata reduced microbial biomass, whereas Mesaphorura macrochaeta enhanced arbuscular mycorrhizal (AM) colonization of A. capillaris roots. Effects of increasing species richness of microarthropods on microbial biomass and AM colonization were detected, but these effects could be interpreted in relation to the presence or absence of individual species. 4. Microbial uptake of added 15N was not affected by the presence of any of the individual species of animal in the monoculture treatments. Similarly, increasing diversity of microarthropods had no detectable effect on microbial 15N. 5. Root and shoot uptake of 15N was also largely unaffected by both single species and variations in diversity of microarthropods. However, one collembolan species, Ceratophysella denticulata, reduced root 15N capture when present in monoculture. We did not detect 13C in plant tissue under any experimental treatments, indicating that all N was taken up by plants after mineralization. 6. Our data suggest that, while single species and variations in diversity of microarthropods influence microbial abundance in soil, there is no effect on microbial or plant uptake of N. Overall, these data provide little support for the notion that microbial-feeding soil animals are regulators of microbial-plant competition for N.</t>
  </si>
  <si>
    <t>Glycine; Microarthropods; Organic nitrogen uptake; Plant-microbial competition; Soil animal diversity</t>
  </si>
  <si>
    <t>Pimienta-Barrios E., Pimienta-Barrios E., Nobel P.S.</t>
  </si>
  <si>
    <t>Ecophysiology of the pitayo de Queretaro (Stenocereus queretaroensis)</t>
  </si>
  <si>
    <t>10.1016/j.jaridenv.2004.01.005</t>
  </si>
  <si>
    <t>https://www.scopus.com/inward/record.uri?eid=2-s2.0-3042766011&amp;doi=10.1016%2fj.jaridenv.2004.01.005&amp;partnerID=40&amp;md5=3d6aa5d39dd5e38b181fcf57a4bb2857</t>
  </si>
  <si>
    <t>Cactus; Carbohydrates; Mycorrhizae; Phenology; Photosynthesis; Reproductive growth; Vegetative growth</t>
  </si>
  <si>
    <t>Tiwari M., Singh S.P., Pande N., Singh R.P.</t>
  </si>
  <si>
    <t>Carbon transfer between Quercus leucotrichophora and Pinus roxburghii through ectomycorrhizal mycelial connections</t>
  </si>
  <si>
    <t>Both pine and oak received carbon isotopes from their neighbours, indicating that C transfer between pine and oak was bidirectional. Pine received 57% more 14C and 88% more 13C from oak than vice versa. Bidirectional C transfer between oak and pine was 10 times higher in mycorrhizal seedlings than nonmycorrhizal ones. Severing had significant effect on the amount of isotope transferred between oak and pine seedlings and 50% reduction in isotope transfer between oak and pine was observed in severing treatment over that where hyphae were left intact. In nonmycorrhizal treatment, net transfer was more towards oak and in mycorrhizal treatment, both severed and intact, towards pine. Net transfer was about 15 times greater where hyphae were left intact than where they were severed.</t>
  </si>
  <si>
    <t>Neeraj, Gupta S.R., Malik V., Kaur B., Neelam</t>
  </si>
  <si>
    <t>Plant diversity, carbon dynamics and soil biological activity in tropical successional grassland systems at Kurukshetra</t>
  </si>
  <si>
    <t>https://www.scopus.com/inward/record.uri?eid=2-s2.0-60049097723&amp;partnerID=40&amp;md5=d4d194f7421b4a552d87196adb8fccea</t>
  </si>
  <si>
    <t>AM fungi; Biomass; Carbon dynamics; Nitrogen mineralization; Productivity; Resource quality; Soil aggregates; Soil carbon; Soil microbial biomass; Species diversity</t>
  </si>
  <si>
    <t>Genney D.R., Alexander I.J., Killham K., Meharg A.A.</t>
  </si>
  <si>
    <t>Degradation of the polycyclic aromatic hydrocarbon (PAH) fluorene is retarded in a Scots pine ectomycorrhizosphere</t>
  </si>
  <si>
    <t>10.1111/j.1469-8137.2004.01131.x</t>
  </si>
  <si>
    <t>https://www.scopus.com/inward/record.uri?eid=2-s2.0-4143136475&amp;doi=10.1111%2fj.1469-8137.2004.01131.x&amp;partnerID=40&amp;md5=2cf3dd2815a437d3e42fd598b2af36c9</t>
  </si>
  <si>
    <t>Degradation; Ectomycorrhizal fungus; Gadgil-effect; PAH; Pinus sylvestris</t>
  </si>
  <si>
    <t>The fungus does not transfer carbon to or between roots in an arbuscular mycorrhizal symbiosis</t>
  </si>
  <si>
    <t>10.1111/j.1469-8137.2004.01152.x</t>
  </si>
  <si>
    <t>https://www.scopus.com/inward/record.uri?eid=2-s2.0-4143112478&amp;doi=10.1111%2fj.1469-8137.2004.01152.x&amp;partnerID=40&amp;md5=27c6816808f3334fd9c657a8e1e7e858</t>
  </si>
  <si>
    <t>Arbuscular mycorrhizal symbiosis; Carbon translocation; GCMS; Glomus intraradices; NMR; Ri T-DNA carrot (Daucus carota) roots</t>
  </si>
  <si>
    <t>Read D.J., Leake J.R., Perez-Moreno J.</t>
  </si>
  <si>
    <t>Mycorrhizal fungi as drivers of ecosystem processes in heathland and boreal forest biomes</t>
  </si>
  <si>
    <t>Canadian Journal of Botany</t>
  </si>
  <si>
    <t>10.1139/B04-123</t>
  </si>
  <si>
    <t>https://www.scopus.com/inward/record.uri?eid=2-s2.0-8644287628&amp;doi=10.1139%2fB04-123&amp;partnerID=40&amp;md5=6da12e7076c2957ba276623940d1d8f7</t>
  </si>
  <si>
    <t>The importance of mycorrhizas in heathland and boreal forest biomes, which together cover much of the landmass of the Northern Hemisphere and store most of the global stocks of carbon, is reviewed. The taxonomic affinities of the organisms forming these symbiotic partnerships are assessed, and the distinctive structural features of the ericoid mycorrhizas of heathland dwarf shrubs and the ectomycorrhizas of boreal forest trees are described. It is stressed that neither in terms of the geographical distribution of the plants nor in terms of the occurrence of their characteristic mycorrhizas in the soil profile should these biomes be considered to be mutually exclusive. What unites them is their apparent affinity for acidic organic soils of inherently low accessibility of the major nutrients nitrogen (N) and phosphorus (P). These properties relate directly to the nature of the nutrient-poor recalcitrant litter produced by their host plants and through positive-feedback mechanisms that are reinforced by selective removal of labile nutrients by the mycorrhizas. We suggest that coevolution of these plant litter traits with mycorrhizal associations that are adapted to them has been one of the defining features of these ecosystems. Ericoid and ectomycorrhizal fungi have biochemical and physiological attributes that make them highly efficient at scavenging for organic sources of N and P in surface soil horizons. In so doing, they restrict supplies of these elements to the decomposer communities. Case studies involving exploitation of N and P in defined organic substrates are described. In both biomes the dominant plants depend upon the abilities of their fungal partners to recover nutrients, so the symbioses control nutrient cycles, productivity, species composition, and functioning of these ecosystems. It is in this context that the fungal symbionts are here considered to be drivers of nutritional processes in their respective biomes. Through their influences upon the quality of carbon residues mycorrhizal fungi must also affect the sink-source balance for this key element in soil. There is an urgent need for the evaluation of the relative contributions of symbiotic and saprotrophic components of the microflora to the processes of carbon storage and cycling in these biomes, particularly in the context of global climate change and impacts of anthropogenic pollutant N deposition.</t>
  </si>
  <si>
    <t>C/N ratios; Carbon and nutrient cycles; Carbon sequestration; Peatlands</t>
  </si>
  <si>
    <t>Rillig M.C.</t>
  </si>
  <si>
    <t>Arbuscular mycorrhizae and terrestrial ecosystem processes</t>
  </si>
  <si>
    <t>10.1111/j.1461-0248.2004.00620.x</t>
  </si>
  <si>
    <t>https://www.scopus.com/inward/record.uri?eid=2-s2.0-3843095943&amp;doi=10.1111%2fj.1461-0248.2004.00620.x&amp;partnerID=40&amp;md5=5363a8f4e4f7493230f0a59a4e9df922</t>
  </si>
  <si>
    <t>Arbuscular mycorrhizal fungi (AMF; phylum Glomeromycota) are ubiquitous in terrestrial ecosystems. Despite their acknowledged importance in ecology, most research on AMF has focused on effects on individual plant hosts, with more recent efforts aimed at the level of the plant community. Research at the ecosystem level is less prominent, but potentially very promising. Numerous human-induced disturbances (including global change and agro-ecosystem management) impinge on AMF functioning; hence study of this symbiosis from the ecosystem perspective seems timely and crucial. In this paper, I discuss four (interacting) routes via which AMF can influence ecosystem processes. These include indirect pathways (through changes in plant and soil microbial community composition), and direct pathways (effects on host physiology and resource capture, and direct mycelium effects). I use the case study of carbon cycling to illustrate the potentially pervasive influence of AMF on ecosystem processes. A limited amount of published research on AMF ecology is suited for direct integration into ecosystem studies (because of scale mismatch or ill-adaptation to the 'pools and flux' paradigm of ecosystem ecology); I finish with an assessment of the tools (experimental designs, response variables) available for studying mycorrhizae at the ecosystem scale.</t>
  </si>
  <si>
    <t>Arbuscular mycorrhizae; Carbon storage; Glomalin; Microbial community; Net primary production; Plant community; Restoration; Soil; Soil aggregation</t>
  </si>
  <si>
    <t>Giardina C.P., Binkley D., Ryan M.G., Fownes J.H., Senock R.S.</t>
  </si>
  <si>
    <t>Belowground carbon cycling in a humid tropical forest decreases with fertilization</t>
  </si>
  <si>
    <t>10.1007/s00442-004-1552-0</t>
  </si>
  <si>
    <t>https://www.scopus.com/inward/record.uri?eid=2-s2.0-2942597466&amp;doi=10.1007%2fs00442-004-1552-0&amp;partnerID=40&amp;md5=60b06c40831a92fd30428aba0040b890</t>
  </si>
  <si>
    <t>Ecosystem carbon cycling; Hawaii; Rhizosphere respiration; Soil carbon formation; Soil surface CO2 efflux</t>
  </si>
  <si>
    <t>Response of ericoid mycorrhizal colonization and functioning to global change factors</t>
  </si>
  <si>
    <t>10.1111/j.1469-8137.2004.01049.x</t>
  </si>
  <si>
    <t>Pendall E., Bridgham S., Hanson P.J., Hungate B., Kicklighter D.W., Johnson D.W., Law B.E., Luo Y., Megonigal J.P., Olsrud M., Ryan M.G., Wan S.</t>
  </si>
  <si>
    <t>Below-ground process responses to elevated CO2 and temperature: A discussion of observations, measurement methods, and models</t>
  </si>
  <si>
    <t>10.1111/j.1469-8137.2004.01053.x</t>
  </si>
  <si>
    <t>https://www.scopus.com/inward/record.uri?eid=2-s2.0-11144353702&amp;doi=10.1111%2fj.1469-8137.2004.01053.x&amp;partnerID=40&amp;md5=60b8e1c7507a3aa407e9dad8ed8f29fc</t>
  </si>
  <si>
    <t>Carbon sequestration; CO2 fertilization; Mycorrhizas; Nutrient cycling; Rhizosphere; Soil carbon; Soil respiration; Soil warming</t>
  </si>
  <si>
    <t>Stevens R.E., Hedges R.E.M.</t>
  </si>
  <si>
    <t>Carbon and nitrogen stable isotope analysis of northwest European horse bone and tooth collagen, 40,000 BP-present: Palaeoclimatic interpretations</t>
  </si>
  <si>
    <t>Quaternary Science Reviews</t>
  </si>
  <si>
    <t>10.1016/j.quascirev.2003.06.024</t>
  </si>
  <si>
    <t>https://www.scopus.com/inward/record.uri?eid=2-s2.0-1642359305&amp;doi=10.1016%2fj.quascirev.2003.06.024&amp;partnerID=40&amp;md5=51ea56777dcb8cde2443a06841ea17b6</t>
  </si>
  <si>
    <t>Production, standing biomass and natural abundance of 15N and 13C in ectomycorrhizal mycelia collected at different soil depths in two forest types</t>
  </si>
  <si>
    <t>10.1007/s00442-003-1477-z</t>
  </si>
  <si>
    <t>https://www.scopus.com/inward/record.uri?eid=2-s2.0-3142750093&amp;doi=10.1007%2fs00442-003-1477-z&amp;partnerID=40&amp;md5=ada3f3a406977768cdc288bc3e80f425</t>
  </si>
  <si>
    <t>13C abundance; 15N abundance; Mycorrhizal fungi; Picea abies; Quercus robur</t>
  </si>
  <si>
    <t>Heinonsalo J., Hurme K.-R., Sen R.</t>
  </si>
  <si>
    <t>Recent 14C-labelled assimilate allocation to Scots pine seedling root and mycorrhizosphere compartments developed on reconstructed podzol humus, E- and B- mineral horizons</t>
  </si>
  <si>
    <t>10.1023/B:PLSO.0000020939.64205.c4</t>
  </si>
  <si>
    <t>https://www.scopus.com/inward/record.uri?eid=2-s2.0-1842658978&amp;doi=10.1023%2fB%3aPLSO.0000020939.64205.c4&amp;partnerID=40&amp;md5=0fc4aa747e529531c6f7e299f9849755</t>
  </si>
  <si>
    <t>In northern boreal forests, podzolic soils prevail that comprise of a distinct upper organic humus/mor (O) horizon that is supported by underlying eluvial (E) and illuvial (B) mineral horizons. The dominant tree species, Scots pine (Pinus sylvestris L.), is known to be highly dependent on root symbiosis with ectomycorrhizal fungi that develop in constituent podzol horizons for growth in these nutrient limited soils. The aim of this microcosm-based study was a quantification of photosynthetically fixed 14C allocation, following standard pulse-feeding of 7-month-old Scots pine seedling shoots, to respective root and mycorrhizosphere compartments that developed in the reconstructed podzol (O, E and B) profile, Biomass of roots and mycorrhiza.s decreased with increasing soil depth but no soil origin, control forest vs. clear-cut area, related differences were observed. Similarly, no major soil origin- or podzol horizon-related differences in categorised ectomycorrhizal morphotypes and number of mycorrhizas, in relation to pooled root and mycorrhiza biomass, were detected. However, the total recovery of 14C-label was significantly higher in clear-cut soil microcosms compared to control counterparts. A significant finding was equivalent 14C-carbon allocation to roots and ectomycorrhizas in all three major, organic and mineral, podzol profile horizons studied. These carbon allocation data provide additional support for direct (or indirect) roles of roots and symbiotic mycorrhizal fungi in mineral weathering and biodegradation of organic ligands that are central for plant acquisition of growth limiting nutrients and the podzolization process in boreal forest ecosystems.</t>
  </si>
  <si>
    <t>14C; Carbon allocation; Clear-cut; Ectomycorrhiza; Horizon; Podzol</t>
  </si>
  <si>
    <t>Hobbie E.A., Johnson M.G., Rygiewicz P.T., Tingey D.T., Olszyk D.M.</t>
  </si>
  <si>
    <t>Isotopic estimates of new carbon inputs into litter and soils in a four-year climate change experiment with Douglas-fir</t>
  </si>
  <si>
    <t>10.1023/B:PLSO.0000020975.75850.ca</t>
  </si>
  <si>
    <t>https://www.scopus.com/inward/record.uri?eid=2-s2.0-1842636329&amp;doi=10.1023%2fB%3aPLSO.0000020975.75850.ca&amp;partnerID=40&amp;md5=3477bb2f765e2dbffbe126c99697796a</t>
  </si>
  <si>
    <t>Elevated carbon dioxide; Elevated temperature; Global change; Isotopic discrimination; Mesocosms; Soil carbon turnover; Stable isotopes</t>
  </si>
  <si>
    <t>Treseder K.K., Masiello C.A., Lansing J.L., Allen M.F.</t>
  </si>
  <si>
    <t>Species-specific measurements of ectomycorrhizal turnover under N-fertilization: Combining isotopic and genetic approaches</t>
  </si>
  <si>
    <t>10.1007/s00442-003-1441-y</t>
  </si>
  <si>
    <t>https://www.scopus.com/inward/record.uri?eid=2-s2.0-1342331053&amp;doi=10.1007%2fs00442-003-1441-y&amp;partnerID=40&amp;md5=b3bcfcba88b6ef62fa86d4652dc15b73</t>
  </si>
  <si>
    <t>Ectomycorrhizal fungi play a significant role in the transfer of nutrients between plant and soil pools. Here we combine natural abundance 14C measurements with restriction fragment length polymorphism (RPLP) to study the effects of nitrogen fertilization on the residence time of carbon within ectomycorrhizal species. We show that the carbon in ectomycorrhizal fungi turns over every 4-5 years, indicating that these fungi are relatively long-lived. Moreover, ectomycorrhizal fungi responded in a species-specific way to fertilization. Cenococcum geophilum contained younger carbon on average in nitrogen-fertilized plots than in control plots, even though turnover rates of the community as a whole did not shift significantly. Our results suggest that the response of ectomycorrhizal fungi to N availability is complex, and alterations in tissue turnover within this microbial pool may vary depending on community structure.</t>
  </si>
  <si>
    <t>Anthropogenic nitrogen deposition; Community composition; Pinus edulis; Radiocarbon; RFLP</t>
  </si>
  <si>
    <t>Qu L.Y., Shinano T., Quoreshi A.M., Tamai Y., Osaki M., Koike T.</t>
  </si>
  <si>
    <t>Allocation of 14C-carbon in two species of larch seedlings infected with ectomycorrhizal fungi</t>
  </si>
  <si>
    <t>10.1093/treephys/24.12.1369</t>
  </si>
  <si>
    <t>https://www.scopus.com/inward/record.uri?eid=2-s2.0-9244230631&amp;doi=10.1093%2ftreephys%2f24.12.1369&amp;partnerID=40&amp;md5=9e81c125b0ec328231e3047431a7c58e</t>
  </si>
  <si>
    <t>The flow of labeled carbon in ectomycorrhizal and non-ectomycorrhizal seedlings of Japanese larch (Larix kaempferi Sarg.) and its F1 hybrid (Larix gmelinii Rupr. x L. kaempferi) was studied. Larch seedlings were grown in a greenhouse for 110 days with larch forest soil (FM) or Suillus grevillei (SM) inoculum, or in the absence of ectomycorrhizal fungi (NM). Shoots of colonized and NM seedlings were exposed to a pulse of 14CO2 for 1 h under natural light. Seedlings were harvested following 0, 6 and 24 h of exposure to 14CO2. At the final harvest, SM seedlings of Japanese larch and hybrid larch allocated 2.6 and 2.5% more 14C, respectively, to roots than NM seedlings. In contrast, FM seedlings of Japanese larch and hybrid larch allocated 6.5 and 18.0% more 14C, respectively, to the stem than NM seedlings. Of the total 14C detected in needle, stem and root fractions, FM and SM seedlings allocated a greater proportion than NM seedlings, perhaps because FM and SM seedlings had significantly (P &amp;lt; 0.05) higher photosynthetic rates than NM seedlings. As a result, FM and SM seedlings had greater dry masses than NM seedlings. Concentrations of nitrogen and phosphorus in FM and SM seedlings were significantly (P &amp;lt; 0.05) higher than in NM seedlings, as was stomatal conductance.</t>
  </si>
  <si>
    <t>14C; Hybrid larch; Japanese larch; Photosynthate allocation; Suillus grevillei</t>
  </si>
  <si>
    <t>Carbon use, nitrogen use, and isotopic fractionation of ectomycorrhizal and saprotrophic fungi in natural abundance and 13C-labelled cultures</t>
  </si>
  <si>
    <t>Mycological Research</t>
  </si>
  <si>
    <t>10.1017/S0953756204000590</t>
  </si>
  <si>
    <t>https://www.scopus.com/inward/record.uri?eid=2-s2.0-4344570229&amp;doi=10.1017%2fS0953756204000590&amp;partnerID=40&amp;md5=837c264a0e9b4df2d9dcaa041fd965f3</t>
  </si>
  <si>
    <t>Treseder K.K., Mack M.C., Cross A.</t>
  </si>
  <si>
    <t>Relationships among fires, fungi, and soil dynamics in Alaskan boreal forests</t>
  </si>
  <si>
    <t>10.1890/03-5133</t>
  </si>
  <si>
    <t>https://www.scopus.com/inward/record.uri?eid=2-s2.0-10944273051&amp;doi=10.1890%2f03-5133&amp;partnerID=40&amp;md5=a6185ee7bc294a4cb8819feb80b4aa28</t>
  </si>
  <si>
    <t>Fires are critical pathways of carbon loss from boreal forest soils, whereas microbial communities form equally critical controls over carbon accumulation between fires. We used a chronosequence in Alaska to test Read's hypothesis that arbuscular mycorrhizal fungi should dominate ecosystems with low accumulation of surface litter, and ectomycorrhizal fungi should proliferate where organic horizons are well-developed. This pattern is expected because ectomycorrhizal fungi display a greater capacity to mineralize organic compounds than do arbuscular mycorrhizal fungi. The sites were located in upland forests near Delta Junction, Alaska, and represent stages at 3, 15, 45, and 80 years following fire. Soil organic matter accumulated 2.8-fold over time. Fire did not noticeably reduce the abundance of arbuscular mycorrhizal fungi. In contrast, ectomycorrhizal colonization required up to 15 years to return to pre-fire levels. As a result, dominant mycorrhizal groups shifted from arbuscular to ectomycorrhizal fungi as succession progressed. Bacterial functional diversity was greatest in the oldest sites. Altogether, microbes that can mineralize organic compounds (i.e., ectomycorrhizae and bacteria) recovered more slowly than those that cannot (i.e., arbuscular mycorrhizae). Potential net N mineralization and standing pools of ammonium-N were relatively low in the youngest site. In addition, glomalin stocks were positively correlated with arbuscular mycorrhizal hyphal length, peaking early in the chronosequence. Our results indicate that microbial succession may influence soil carbon and nitrogen dynamics in the first several years following fire, by augmenting carbon storage in glomalin while inhibiting mineralization of organic compounds.</t>
  </si>
  <si>
    <t>Alaskan boreal forest; Biolog; Chronosequence; External hyphae; Fire and soil microbes; Glomalin; Microbial community; Mineralization; Mycorrhizal fungi; Organic material; Soil carbon and nitrogen; Succession</t>
  </si>
  <si>
    <t>Butler J.L., Williams M.A., Bottomley P.J., Myrold D.D.</t>
  </si>
  <si>
    <t>Microbial Community Dynamics Associated with Rhizosphere Carbon Flow</t>
  </si>
  <si>
    <t>10.1128/AEM.69.11.6793-6800.2003</t>
  </si>
  <si>
    <t>https://www.scopus.com/inward/record.uri?eid=2-s2.0-0242657437&amp;doi=10.1128%2fAEM.69.11.6793-6800.2003&amp;partnerID=40&amp;md5=3b736b21e547efe95c8f3b44f4457971</t>
  </si>
  <si>
    <t>Weigelt A., King R., Bol R., Bardgett R.D.</t>
  </si>
  <si>
    <t>Inter-specific variability in organic nitrogen uptake of three temperate grassland species</t>
  </si>
  <si>
    <t>Journal of Plant Nutrition and Soil Science</t>
  </si>
  <si>
    <t>10.1002/jpln.200320322</t>
  </si>
  <si>
    <t>https://www.scopus.com/inward/record.uri?eid=2-s2.0-0242339533&amp;doi=10.1002%2fjpln.200320322&amp;partnerID=40&amp;md5=5e047286b164ee7f1d90819d22d14130</t>
  </si>
  <si>
    <t>We tested the inter-specific variability in the ability of three dominant grasses of temperate grasslands to take up organic nitrogen (N) in the form of amino acids in soils of differing fertility. Amino acid uptake was determined by injecting dual labeled glycine-2-13C-15N into the soil, and then measuring the enrichment of both 13C and 15N in plant tissue after 50 hours. We found enrichment of both 13C and 15N in root and shoot material of all species in both soils, providing first evidence for direct uptake of glycine. We show that there was considerable inter-specific variability in amino acid uptake in the low fertility soil. Here, direct uptake of amino acid was greater in the grass Agrostis capillaris, which typically dominates low fertility grassland, than Lolium perenne, which inhabits more fertile sites. Direct uptake of amino acid for Holcus lanatus was intermediate between the above two species. Unlike in the low fertility soil, there was no difference in uptake of either 13C or 15N by grasses in the high fertility soil, where uptake of mineral N is thought to be the major mechanism of N uptake of these grasses. Overall, our findings may contribute to our understanding of differences in competitive interactions between grasses in soils of different fertility status.</t>
  </si>
  <si>
    <t>13C; 15N; Arbuscular mycorrhiza; Glycine; Grasses; Stable isotopes</t>
  </si>
  <si>
    <t>Nitrogen acquisition from inorganic and organic sources by boreal forest plants in the field</t>
  </si>
  <si>
    <t>10.1007/s00442-003-1334-0</t>
  </si>
  <si>
    <t>https://www.scopus.com/inward/record.uri?eid=2-s2.0-0142091362&amp;doi=10.1007%2fs00442-003-1334-0&amp;partnerID=40&amp;md5=3c947bd25eeb69a5a389ec663b9b8dfb</t>
  </si>
  <si>
    <t>A wide range of recent studies have indicated that organic nitrogen may be of great importance to plant nitrogen (N) nutrition. Most of these studies have, however, been conducted in laboratory settings, excluding important factors for actual plant uptake, such as competition, mycorrhizal associations and soil interactions. In order to accurately evaluate the importance of different N compounds to plant N nutrition, field studies are crucial. In this study, we investigated short- as well as long-term plant nitrogen uptake by Deschampsia flexuosa, Picea abies and Vaccinium myrtillus from 15NO 3-, 15NH4+ and (U- 13C, 15N) arginine, glycine or peptides. Root N uptake was analysed after 6 h and 64 days following injections. Our results show that all three species, irrespective of their type of associated mycorrhiza (arbuscular, ecto- or ericoid, respectively) rapidly acquired similar amounts of N from the entire range of added N sources. After 64 days, P. abies and V. myrtillus had acquired similar amounts of N from all N sources, while for D. flexuosa, the uptake from all N sources except ammonium was significantly lower than that from nitrate. Furthermore, soil analyses indicate that glycine was rapidly decarboxylated after injections, while other organic compounds exhibited slower turnover. In all, these results suggest that a wide range of N compounds may be of importance for the N nutrition of these boreal forest plants, and that the type of mycorrhiza may be of great importance for N scavenging, but less important to the N uptake capacity of plants.</t>
  </si>
  <si>
    <t>Ammonium; Nitrate; Nutrition; Organic nitrogen; Soil respiration</t>
  </si>
  <si>
    <t>Hodge A.</t>
  </si>
  <si>
    <t>N capture by Plantago lanceolata and Brassica napus from organic material: The influence of spatial dispersion, plant competition and an arbuscular mycorrhizal fungus</t>
  </si>
  <si>
    <t>10.1093/jxb/erg249</t>
  </si>
  <si>
    <t>https://www.scopus.com/inward/record.uri?eid=2-s2.0-0141872410&amp;doi=10.1093%2fjxb%2ferg249&amp;partnerID=40&amp;md5=c12c5f1f05295efff82436c538e2a4b6</t>
  </si>
  <si>
    <t>This study investigated N capture by Plantago lanceolata L. and Brassica napus L. from complex organic material (dual-labelled with 15N/ 13C) added either as a thin concentrated layer (discrete patch treatment) or dispersed uniformly with the background sand:soil mix in a 10 cm band (dispersed treatment) when grown in monoculture or in interspecific competition and in the presence or absence of a mycorrhizal inoculum (Glomus mosseae). No 13C enrichments from the organic material were detected in the plant tissues, but 15N enrichments were present. Total plant uptake of N from the organic material on a microcosm basis was not affected by the spatial placement of the organic material, but Plantago monocultures captured less N than the species in interspecific competition (i.e. 23% versus 38% of the N originally added). N capture from Brassica monocultures was no different to either Plantago monocultures or both species in mixture. However, N capture from the organic material by both individual Plantago and Brassica plants was reduced when grown with Brassica plants (by 10-fold and by more than half, respectively). N capture from the organic material was directly related to the estimated root length produced in the sections containing the organic material: the individual that produced the greatest root length captured most N. Strikingly, when the organic material was added as a discrete patch the N captured by Brassica, a non-mycorrhizal species, actually increased when the G. mosseae inoculum was present compared to when G. mosseae was absent (i.e. 35% versus 19% of the N originally added).</t>
  </si>
  <si>
    <t>Arbuscular mycorrhizal fungus; Brassica napus L.; Decomposition; Nitrogen capture; Organic material; Plantago lanceolata L.; Root demography</t>
  </si>
  <si>
    <t>Gebauer G., Meyer M.</t>
  </si>
  <si>
    <t>15N and 13C natural abundance of autotrophic and myco-heterotrophic orchids provides insight into nitrogen and carbon gain from fungal association</t>
  </si>
  <si>
    <t>10.1046/j.1469-8137.2003.00872.x</t>
  </si>
  <si>
    <t>https://www.scopus.com/inward/record.uri?eid=2-s2.0-0141677908&amp;doi=10.1046%2fj.1469-8137.2003.00872.x&amp;partnerID=40&amp;md5=188e65eabb7725a11b9b280f7a071aef</t>
  </si>
  <si>
    <t>Zhu Y.-G., Miller R.M.</t>
  </si>
  <si>
    <t>Carbon cycling by arbuscular mycorrhizal fungi in soil-plant systems</t>
  </si>
  <si>
    <t>Trends in Plant Science</t>
  </si>
  <si>
    <t>10.1016/S1360-1385(03)00184-5</t>
  </si>
  <si>
    <t>https://www.scopus.com/inward/record.uri?eid=2-s2.0-0141726799&amp;doi=10.1016%2fS1360-1385%2803%2900184-5&amp;partnerID=40&amp;md5=a0f43b786094d3cd4249f0fc2ee7841e</t>
  </si>
  <si>
    <t>Arbuscular mycorrhizal fungi (AMF) play an important role in regulating carbon fluxes between the biosphere and the atmosphere. A recent study showed that live hyphae can turn over rapidly, in five to six days on average, suggesting that carbon flow to AMF hyphae might be respired back to the atmosphere quickly. However, that study gives a limited view of the residence time of AMF hyphae in soils. AMF hyphae can also contribute to soil carbon storage through other mechanisms.</t>
  </si>
  <si>
    <t>Jany J.-L., Martin F., Garbaye J.</t>
  </si>
  <si>
    <t>Respiration activity of ectomycorrhizas from Cenococcum geophilum and Lactarius sp. in relation to soil water potential in five beech forests</t>
  </si>
  <si>
    <t>10.1023/A:1026092714340</t>
  </si>
  <si>
    <t>https://www.scopus.com/inward/record.uri?eid=2-s2.0-0242592260&amp;doi=10.1023%2fA%3a1026092714340&amp;partnerID=40&amp;md5=e89774452278e60fc0dde03de132152d</t>
  </si>
  <si>
    <t>Forest trees are involved in root symbioses with hundreds of species of ectomycorrhizal fungi which constitute functional guilds able to improve the water and mineral nutrition of host trees. In temperate ecosystems, water shortage is a main factor limiting tree vitality. To assess how soil water conditions affected the physiological state of beech (Fagus silvatica L.) ectomycorrhizal roots, we monitored glucose respiration of two ectomycorrhizal types (Lactarius sp. and Cenococcum geophilum) during two complete growing seasons. Five stands of contrasting soil conditions were chosen in north-eastern France. The top soil horizons were equipped with micropsychrometers for measuring water potential and temperature. Glucose respiration on individual ectomycorrhizas was measured in vitro by trapping [14C]-CO2 from radiolabelled glucose. For soil water potential &amp;lt; -0,2 MPa, the potential respiration activity of C. geophilum ectomycorrhizas was significantly less altered than that of Lactarius sp. ectomycorrhizas, indicating that C. geophilum is more likely than Lactarius sp. to maintain the physiological integrity of beech roots facing drought stress.</t>
  </si>
  <si>
    <t>Cenococcum geophilum; Ectomycorrhiza; Fagus silvatica; Lactarius sp.; Respiration activity; Soil water potential</t>
  </si>
  <si>
    <t>Variable carbon-sink strength of different Glomus mosseae strains colonizing barley roots</t>
  </si>
  <si>
    <t>10.1139/b03-070</t>
  </si>
  <si>
    <t>https://www.scopus.com/inward/record.uri?eid=2-s2.0-0242540403&amp;doi=10.1139%2fb03-070&amp;partnerID=40&amp;md5=273e55bfef80ed2a9ead162365d039e8</t>
  </si>
  <si>
    <t>Root carbon (C) partitioning was investigated in barley (Hordeum vulgare L.) colonized by one of three strains of the arbuscular mycorrhizal fungus (AMF) Glomus mosseae (Nicolson &amp;amp; Gerdemann) Gerd. &amp;amp; Trappe. The roots of each plant were evenly divided between two compartments of a split-root system and one side was inoculated with one of the three AMF strains. Twenty-three days after inoculation barley shoots were labeled with 14CO 2. Twenty-four hours later, plants were harvested and the mycorrhizal (M) and nonmycorrhizal (NM) roots were analyzed separately for 14C. Partitioning of C between M and NM sides differed between the fungal strains: BEG 54 was a strong C sink, BEG 55 was a moderately strong C sink, and BEG 12 showed similar C-sink strength as the non-inoculated control plants. The observed differences in C-sink strength mirrored differences in plant dry biomass. Total plant dry biomass of plants inoculated with BEG 12, BEG54, and BEG 55 represented 81.3%, 65.3%, and 73.4% of the biomass of the control plants, respectively. This paper is the first report of an AMF strain-specific variation of C partitioning in M plants in a split-root system.</t>
  </si>
  <si>
    <t>Arbuscular mycorrhizal fungi; Barley (Hordeum vulgare); Carbon sink; Glomus mosseae; Strain variability</t>
  </si>
  <si>
    <t>Tree root and soil heterotrophic respiration as revealed by girdling of boreal Scots pine forest: Extending observations beyond the first year</t>
  </si>
  <si>
    <t>10.1046/j.1365-3040.2003.01053.x</t>
  </si>
  <si>
    <t>https://www.scopus.com/inward/record.uri?eid=2-s2.0-0042522551&amp;doi=10.1046%2fj.1365-3040.2003.01053.x&amp;partnerID=40&amp;md5=f75e74bb3456eb2fa92b16925bef6952</t>
  </si>
  <si>
    <t>13C; Photosynthate allocation; Pinus sylvestris; Sap flow; Soil respiration; Soil temperature; Stable isotope; Vapour pressure deficit</t>
  </si>
  <si>
    <t>Gavito M.E., Olsson P.A.</t>
  </si>
  <si>
    <t>Allocation of plant carbon to foraging and storage in arbuscular mycorrhizal fungi</t>
  </si>
  <si>
    <t>10.1016/S0168-6496(03)00150-8</t>
  </si>
  <si>
    <t>https://www.scopus.com/inward/record.uri?eid=2-s2.0-0038107832&amp;doi=10.1016%2fS0168-6496%2803%2900150-8&amp;partnerID=40&amp;md5=fcf1c54ad0430c7a1d38f896616a5a79</t>
  </si>
  <si>
    <t>Arbuscular mycorrhizal fungus; Carbon allocation; Extraradical mycelium; Fatty acid; Foraging; Stable isotope</t>
  </si>
  <si>
    <t>Rillig M.C., Field C.B.</t>
  </si>
  <si>
    <t>Arbuscular mycorrhizae respond to plants exposed to elevated atmospheric CO2 as a function of soil depth</t>
  </si>
  <si>
    <t>10.1023/A:1025539100767</t>
  </si>
  <si>
    <t>https://www.scopus.com/inward/record.uri?eid=2-s2.0-0141457542&amp;doi=10.1023%2fA%3a1025539100767&amp;partnerID=40&amp;md5=4e1f36ad50b22fe26bf4d6bbb7ddf82f</t>
  </si>
  <si>
    <t>The importance of arbuscular mycorrhizae (AM) in plant and ecosystem responses to global changes, e.g. elevated atmospheric CO2, is widely acknowledged. Frequently, increases in AM root colonization occur in response to increased CO2, but also the lack of significant changes has been reported. The goal of this study was to test whether arbuscular mycorrhizae (root colonization and composition of root colonization) respond to plants grown in elevated CO2 as a function of soil depth. We grew Bromus hordeaceus L. and Lotus wrangelianus Fischer &amp;amp; C. Meyer monocultures in large pots with a synthetic serpentine soil profile for 4 yr in an experiment, in which CO2 concentration was crossed factorially with NPK fertilization. When analyzing root infection separately for topsoil (0-15 cm) and subsoil (15-45 cm), we found large (e.g., about 5-fold) increases of AM fungal root colonization in the subsoil in response to CO2, but no significant changes in the corresponding topsoil of Bromus. Only the coarse endophyte AM fungi, not the fine endophyte AM fungi, were responsible for the observed increase in the bottom soil layer, indicating a depth-dependent shift in the AM community colonizing the roots, even at this coarse morphological level. Other response variables also had significant soil layer* CO 2 interaction terms. The subsoil response would have been hidden in an unstratified assessment of the total root system, since most of the root length was concentrated in the top soil layer. The increased presence of mycorrhizae in roots deeper in the soil should be considered in sampling protocols, as it may be indicative of changed patterns of nutrient acquisition and carbon sequestration.</t>
  </si>
  <si>
    <t>Bromus; Fine endophyte; Grassland; Lotus; Roots; Soil carbon</t>
  </si>
  <si>
    <t>Rillig M.C., Ramsey P.W., Morris S., Paul E.A.</t>
  </si>
  <si>
    <t>Glomalin, an arbuscular-mycorrhizal fungal soil protein, responds to land-use change</t>
  </si>
  <si>
    <t>10.1023/A:1024807820579</t>
  </si>
  <si>
    <t>https://www.scopus.com/inward/record.uri?eid=2-s2.0-0042567477&amp;doi=10.1023%2fA%3a1024807820579&amp;partnerID=40&amp;md5=cc89ac4e968468b74faf4b89f6d7e363</t>
  </si>
  <si>
    <t>Glomalin is a soil proteinaceous substance produced by arbuscular mycorrhizal fungi. Most of the information available concerning this protein has been collected in relation to its role in soil aggregation. In this study, we explored the distribution of glomalin across soil horizons, decomposition of glomalin, and relationship with soil C and N in an agricultural field, a native forest, and an afforested system. Glomalin was present in A, B, and C horizons in decreasing concentrations. Land-use type significantly affected glomalin concentrations (mg cm-3), with native forest soils having the highest concentrations of the three land-use types in both A and B horizons. In terms of glomalin stocks (Mg ha-1), calculated based on corrected horizon weights, the agricultural area was significantly lower than both afforested and native forest areas. As measured after a 413 day laboratory soil incubation, glomalin was least persistent in the A horizon of the afforested area.. In agricultural soils and native soils, ca. 50% of glomalin was still remaining after this incubation, indicating that some glomalin may be in the slow or recalcitrant soil C fraction. Comparison of glomalin decomposition with CO2-C respired during incubation indicates that glomalin makes a large contribution to active soil organic C pools. Soil C and N were highly correlated with glomalin across all soils and within each land-use type, indicating that glomalin may be under similar controls as soil C. Our results show that glomalin may be useful as an indicator of land-use change effects on deciduous forest soils.</t>
  </si>
  <si>
    <t>Decomposition; Forest soil; Glycoprotein; Soil carbon storage</t>
  </si>
  <si>
    <t>Staddon P.L., Ramsey C.B., Ostle N., Ineson P., Fitter A.H.</t>
  </si>
  <si>
    <t>Rapid turnover of hyphae of mycorrhizal fungi determined by AMS microanalysis of 14C</t>
  </si>
  <si>
    <t>10.1126/science.1084269</t>
  </si>
  <si>
    <t>https://www.scopus.com/inward/record.uri?eid=2-s2.0-0038287420&amp;doi=10.1126%2fscience.1084269&amp;partnerID=40&amp;md5=c3788e903c5222c82bb70b17f20f93e2</t>
  </si>
  <si>
    <t>Processes in the soil remain among the least well-characterized components of the carbon cycle. Arbuscular mycorrhizal (AM) fungi are ubiquitous root symbionts in many terrestrial ecosystems and account for a large fraction of photosynthate in a wide range of ecosystems; they therefore play a key role in the terrestrial carbon cycle. A large part of the fungal mycelium is outside the root (the extraradical mycelium, ERM) and, because of the dispersed growth pattern and the small diameter of the hyphae (&lt;5 micrometers), exceptionally difficult to study quantitatively. Critically, the longevity of these fine hyphae has never been measured, although it is assumed to be short. To quantify carbon turnover in these hyphae, we exposed mycorrhizal plants to fossil ("carbon14-dead") carbon dioxide and collected samples of ERM hyphae (up to 116 micrograms) over the following 29 days. Analyses of their carbon-14 content by accelerator mass spectrometry (AMS) showed that most ERM hyphae of AM fungi live, on average, 5 to 6 days. This high turnover rate reveals a large and rapid mycorrhizal pathway of carbon in the soil carbon cycle.</t>
  </si>
  <si>
    <t>Suppression of arbuscular mycorrhizal colonization and nodulation in split-root systems of alfalfa after pre-inoculation and treatment with Nod factors</t>
  </si>
  <si>
    <t>10.1093/jxb/erg156</t>
  </si>
  <si>
    <t>https://www.scopus.com/inward/record.uri?eid=2-s2.0-0038739358&amp;doi=10.1093%2fjxb%2ferg156&amp;partnerID=40&amp;md5=b5935e8c0bc8d88cf88a417435293e31</t>
  </si>
  <si>
    <t>Roots of legumes establish symbiosis with arbuscular mycorrhizal fungi (AMF) and nodule-inducing rhizobia. The existing nodules systemically suppress subsequent nodule formation in other parts of the root, a phenomenon termed autoregulation. Similarly, mycorrhizal roots reduce further AMF colonization on other parts of the root system. In this work, split-root systems of alfalfa (Medicago sativa) were used to study the autoregulation of symbiosis with Sinorhizobium meliloti and the mycorrhizal fungus Glomus mosseae. It is shown that nodulation systemically influences AMF root colonization and vice versa. Nodules on one half of the split-root system suppressed subsequent AMF colonization on the other half. Conversely, root systems pre-colonized on one side by AMF exhibited reduced nodule formation on the other side. An inhibition effect was also observed with Nod factors (lipo-chito-oligosaccharides). NodSm-IV(C16:2, S) purified from S. meliloti systemically suppressed both nodule formation and AMF colonization. The application of Nod factors, however, did not influence the allocation of 14C within the split-root system, excluding competition for carbohydrates as the regulatory mechanism. These results indicate a systemic regulatory mechanism in the rhizobial and the arbuscular mycorrhizal association, which is similar in both symbioses.</t>
  </si>
  <si>
    <t>Arbuscular mycorrhiza; Autoregulation; Glomales; Medicago sativa; Nod factors; Nodulation; Sinorhizobium meliloti; Split-root system</t>
  </si>
  <si>
    <t>Staddon P.L., Ostle N., Dawson L.A., Fitter A.H.</t>
  </si>
  <si>
    <t>The speed of soil carbon throughput in an upland grassland is increased by liming</t>
  </si>
  <si>
    <t>10.1093/jxb/erg153</t>
  </si>
  <si>
    <t>https://www.scopus.com/inward/record.uri?eid=2-s2.0-0037725256&amp;doi=10.1093%2fjxb%2ferg153&amp;partnerID=40&amp;md5=c54889737040f4d2921d8845decf05d9</t>
  </si>
  <si>
    <t>In situ 13C pulse labelling was used to measure the temporal and spatial carbon flow through an upland grassland. The label was delivered as 13C-CO2 to vegetation in three replicate plots in each of two treatments: control and lime addition. Harvests occurred over a two month period and samples were taken along transects away from the label delivery area. The 13C concentration of shoot, root, bulk soil, and soil-respired CO2 was measured. There was no difference in the biomass and 13C concentration of shoot and root material for the control and lime treatments meaning that the amount of 13C-CO2 assimilated by the vegetation and translocated below ground was the same in both treatments. The 13C concentration of the bulk soil was lower in the lime treatment than in the control and, conversely, the 13C concentration of the soil-respired CO2 was higher in the lime. Unlike the difference in bulk soil 13C concentration between treatments, the difference in the 13C concentration of the soil-respired CO2 was obvious only at the delivery site and primarily within I d after labelling. An observed increase in the abundance of mycorrhizal fungi in the lime treatment was a possible cause for this faster carbon throughput. The potential key role of mycorrhizas in the soil carbon cycle is discussed. The importance of a better understanding of soil processes, especially biological ones, in relation to the global carbon cycle and environmental change is highlighted.</t>
  </si>
  <si>
    <t>13C-CO2; Extraradical mycorrhizal hyphae; Pulse labelling; Root length colonized; Soil carbon storage</t>
  </si>
  <si>
    <t>Bago B., Pfeffer P.E., Abubaker J., Jun J., Allen J.W., Brouillette J., Douds D.D., Lammers P.J., Shachar-Hill Y.</t>
  </si>
  <si>
    <t>Carbon export from arbuscular mycorrhizal roots involves the translocation of carbohydrate as well as lipid</t>
  </si>
  <si>
    <t>10.1104/pp.102.007765</t>
  </si>
  <si>
    <t>https://www.scopus.com/inward/record.uri?eid=2-s2.0-0037353702&amp;doi=10.1104%2fpp.102.007765&amp;partnerID=40&amp;md5=bf3a953fa38e0d19ab5e677a1e3d78b0</t>
  </si>
  <si>
    <t>Arbuscular mycorrhizal (AM) fungi take up photosynthetically fixed carbon from plant roots and translocate it to their external mycelium. Previous experiments have shown that fungal lipid synthesized from carbohydrate in the root is one form of exported carbon. In this study, an analysis of the labeling in storage and structural carbohydrates after 13C1 glucose was provided to AM roots shows that this is not the only pathway for the flow of carbon from the intraradical to the extraradical mycelium (ERM). Labeling patterns in glycogen, chitin, and trehalose during the development of the symbiosis are consistent with a significant flux of exported glycogen. The identification, among expressed genes, of putative sequences for glycogen synthase, glycogen branching enzyme, chitin synthase, and for the first enzyme in chitin synthesis (glutamine fructose-6-phosphate aminotransferase) is reported. The results of quantifying glycogen synthase gene expression within mycorrhizal roots, germinating spores, and ERM are consistent with labeling observations using 13C-labeled acetate and glycerol, both of which indicate that glycogen is synthesized by the fungus in germinating spores and during symbiosis. Implications of the labeling analyses and gene sequences for the regulation of carbohydrate metabolism are discussed, and a 4-fold role for glycogen in the AM symbiosis is proposed: sequestration of hexose taken from the host, long-term storage in spores, translocation from intraradical mycelium to ERM, and buffering of intracellular hexose levels throughout the life cycle.</t>
  </si>
  <si>
    <t>Carbon partitioning in a split-root system of arbuscular mycorrhizal plants is fungal and plant species dependent</t>
  </si>
  <si>
    <t>10.1046/j.1469-8137.2003.00691.x</t>
  </si>
  <si>
    <t>https://www.scopus.com/inward/record.uri?eid=2-s2.0-0037341978&amp;doi=10.1046%2fj.1469-8137.2003.00691.x&amp;partnerID=40&amp;md5=ab3f1732807d19bd405a75a950a14fb2</t>
  </si>
  <si>
    <t>Arbuscular mycorrhizal (AM) fungi; Barley (Hordeum vulgare); Carbon sink; Colonization levels; Gigaspora rosea; Glomus intraradices; Glomus mosseae; Sugar maple (Acer saccharum)</t>
  </si>
  <si>
    <t>Mahmood S., Finlay R.D., Fransson A.-M., Wallander H.</t>
  </si>
  <si>
    <t>Effects of hardened wood ash on microbial activity, plant growth and nutrient uptake by ectomycorrhizal spruce seedlings</t>
  </si>
  <si>
    <t>10.1016/S0168-6496(02)00380-X</t>
  </si>
  <si>
    <t>https://www.scopus.com/inward/record.uri?eid=2-s2.0-0037316435&amp;doi=10.1016%2fS0168-6496%2802%2900380-X&amp;partnerID=40&amp;md5=9364345be52e930dd59fc3ae01116ac0</t>
  </si>
  <si>
    <t>[14C]-leucine incorporation; [3H]-thymidine incorporation; Bacterium; Ectomycorrhizal fungi; Nutrient uptake; Phospholipid fatty acid; Spruce; Wood ash</t>
  </si>
  <si>
    <t>Plant nitrogen capture from organic matter as affected by spatial dispersion, interspecific competition and mycorrhizal colonization</t>
  </si>
  <si>
    <t>10.1046/j.1469-8137.2003.00662.x</t>
  </si>
  <si>
    <t>https://www.scopus.com/inward/record.uri?eid=2-s2.0-0037311781&amp;doi=10.1046%2fj.1469-8137.2003.00662.x&amp;partnerID=40&amp;md5=73d6f56b8c38f98ed846256bd19eff80</t>
  </si>
  <si>
    <t>Arbuscular mycorrhizal (AM) fungi; Decomposition; Intra- and interspecific competition; Organic material; Spatial heterogeneity</t>
  </si>
  <si>
    <t>Haddad M.J., Sarkar D.</t>
  </si>
  <si>
    <t>Glomalin, a newly discovered component of soil organic matter: Part I - Environmental significance</t>
  </si>
  <si>
    <t>Environmental Geosciences</t>
  </si>
  <si>
    <t>10.1306/eg100303004</t>
  </si>
  <si>
    <t>https://www.scopus.com/inward/record.uri?eid=2-s2.0-4644224040&amp;doi=10.1306%2feg100303004&amp;partnerID=40&amp;md5=c9d2cacd065e9be413f4a4dba0783e8e</t>
  </si>
  <si>
    <t>Coupling fine root dynamics with ecosystem carbon cycling in black spruce forests of interior Alaska</t>
  </si>
  <si>
    <t>10.1890/02-4032</t>
  </si>
  <si>
    <t>https://www.scopus.com/inward/record.uri?eid=2-s2.0-0242673678&amp;doi=10.1890%2f02-4032&amp;partnerID=40&amp;md5=a99bc29d8d204cd14f07747b25f2f157</t>
  </si>
  <si>
    <t>Belowground allocation; Boreal forest; Decomposition; Fine roots; Longevity; NPP</t>
  </si>
  <si>
    <t>Langley J.A., Drake B.G., Hungate B.A.</t>
  </si>
  <si>
    <t>Extensive belowground carbon storage supports roots and mycorrhizae in regenerating scrub oaks</t>
  </si>
  <si>
    <t>10.1007/s00442-002-0932-6</t>
  </si>
  <si>
    <t>https://www.scopus.com/inward/record.uri?eid=2-s2.0-0036939341&amp;doi=10.1007%2fs00442-002-0932-6&amp;partnerID=40&amp;md5=3af5cc433a74341a57d75be3a18c3880</t>
  </si>
  <si>
    <t>Portions of a regenerating scrub oak ecosystem were enclosed in open-top chambers and exposed to elevated CO2. The distinct 13C signal of the supplemental CO2 was used to trace the rate of C integration into various ecosystem components. Oak foliage, stems, roots and ectomycorrhizae were sampled over 3 years and were analyzed for 13C composition. The aboveground tissue 13C equilibrated to the novel 13C signal in the first season, while the belowground components displayed extremely slow integration of the new C. Roots taken from ingrowth cores showed that 33% of the C in newly formed roots originated from a source other than recent photosynthesis inside the chamber. In this highly fireprone system, the oaks re-establish primarily by resprouting from large rhizomes. Remobilization from belowground C stores may support fine roots and mycorrhizae for several years into stand re-establishment and, therefore, may explain why belowground tissues contain less of the new photosynthate than expected. Though it has been shown that long-term cycles of C storage are theoretically advantageous for plants in systems with frequent and severe disturbances, such patterns have not been previously examined in wild systems.</t>
  </si>
  <si>
    <t>Carbon remobilization; Ectomycorrhizae; Rhizomes; Scrub oak; Storage</t>
  </si>
  <si>
    <t>Miller A.E., Bowman W.D.</t>
  </si>
  <si>
    <t>Variation in nitrogen-15 natural abundance and nitrogen uptake traits among co-occurring alpine species: Do species partition by nitrogen form?</t>
  </si>
  <si>
    <t>10.1007/s00442-001-0838-8</t>
  </si>
  <si>
    <t>https://www.scopus.com/inward/record.uri?eid=2-s2.0-0036938019&amp;doi=10.1007%2fs00442-001-0838-8&amp;partnerID=40&amp;md5=1d8969b0e52b96a25348245dceab4da9</t>
  </si>
  <si>
    <t>Alpine tundra; Ammonium; Nitrate; Organic nitrogen; Soil nitrogen-15 natural abundance</t>
  </si>
  <si>
    <t>14C transfer between the spring ephemeral Erythronium americanum and sugar maple saplings via arbuscular mycorrhizal fungi in natural stands</t>
  </si>
  <si>
    <t>10.1007/s00442-002-0958-9</t>
  </si>
  <si>
    <t>https://www.scopus.com/inward/record.uri?eid=2-s2.0-0036937524&amp;doi=10.1007%2fs00442-002-0958-9&amp;partnerID=40&amp;md5=bc30c481f23a3f1b0fc7539be6a86c01</t>
  </si>
  <si>
    <t>We investigated in the field the carbon (C) transfer between sugar maple (Acer saccharum) saplings and the spring ephemeral Erythronium americanum via the mycelium of arbuscular mycorrhizal (AM) fungi. Sugar maple saplings and E. americanum plants were planted together in pots placed in the ground of a maple forest in 1999. Ectomycorrhizal yellow birches (Betula alleghaniensis) were added as control plants. In spring 2000, during leaf expansion of sugar maple saplings, the leaves of E. americanum were labelled with 14CO2. Seven days after labelling, radioactivity was detected in leaves, stem and roots of sugar maples. Specific radioactivity in sugar maples was 13-fold higher than in yellow birches revealing the occurrence of a direct transfer of 14C between the AM plants. The quantity of 14C transferred to sugar maple saplings was negatively correlated with the percentage of 14C allocated to the storage organ of E. americanum. A second labelling was performed in autumn 2000 on sugar maple leaves during annual growth of E. americanum roots. Radioactivity was detected in 7 of 22 E. americanum root systems and absent in yellow birches. These results suggest that AM fungi connecting different understorey species can act as reciprocal C transfer bridges between plant species in relation with the phenology of the plants involved.</t>
  </si>
  <si>
    <t>Acer saccharum; Arbuscular mycorrhiza; Carbon transfer; Erythronium americanum; Sugar maple</t>
  </si>
  <si>
    <t>Wu B., Nara K., Hogetsu T.</t>
  </si>
  <si>
    <t>Spatiotemporal transfer of carbon-14-labelled photosynthate from ectomycorrhizal Pinus densiflora seedlings to extraradical mycelia</t>
  </si>
  <si>
    <t>10.1007/s00572-001-0157-2</t>
  </si>
  <si>
    <t>https://www.scopus.com/inward/record.uri?eid=2-s2.0-0036934308&amp;doi=10.1007%2fs00572-001-0157-2&amp;partnerID=40&amp;md5=d3b23638c17fb9d12565a106504ac8e4</t>
  </si>
  <si>
    <t>Seedlings of Pinus densiflora colonized by an unidentified ectomycorrhizal fungus (T01) were labelled photosynthetically with 14C. Movement of 14C-labelled photosynthates within the underground part of the seedlings was investigated by temporal autoradiography using an imaging plate. Within 1 day, 14C was transferred from the shoot to the underground part that included roots, mycorrhizae, and the extraradical mycelium; within 3 days, the 14C in the underground part reached its maximum density. Mycorrhizae and actively growing root tips were large C sinks. Three days after 14C labelling, counts of 14C radioactivity in the underground part of the mycorrhizal seedlings were 2.6 times those of nonmycorrhizal seedlings. The mycorrhizae of mycorrhizal plants accumulated 5.2 times the 14C counts in the short-root tips of nonmycorrhizal plants. 14C counts in various areas of the extraradical mycelium demonstrated that all 14C-photosynthate transfer from the host root to the extraradical mycelium occurred within 3 days after 14C labelling, and that there was only a short lag of &amp;lt;1 day between 14C accumulation in the basal and distal parts of the mycelium. Although more 14C accumulated in the distal than in the basal parts, 14C counts per unit hyphal biomass were similar between the two. These results suggest that 14C spread rapidly throughout the entire mycelium. Thirteen days after 14C labelling, we estimated 14C allocation to extraradical mycelia by taking autoradiographs after removing host roots. About 24% of 14C counts in the underground part of the mycorrhizal seedlings had been allocated to extraradical mycelia in this system, indicating that the fugal mycelium is an important sink for photosynthates.</t>
  </si>
  <si>
    <t>Carbon allocation; Carbon-14 tracer; Ectomycorrhiza; Pine; Pinus densiflora</t>
  </si>
  <si>
    <t>Osaku C.A., Sassaki G.L., Zancan G.T., Iacomini M.</t>
  </si>
  <si>
    <t>Studies on neutral exopolysaccharides produced by the ectomycorrhiza Thelephora terrestris</t>
  </si>
  <si>
    <t>FEMS Microbiology Letters</t>
  </si>
  <si>
    <t>10.1016/S0378-1097(02)00985-0</t>
  </si>
  <si>
    <t>https://www.scopus.com/inward/record.uri?eid=2-s2.0-0037027541&amp;doi=10.1016%2fS0378-1097%2802%2900985-0&amp;partnerID=40&amp;md5=465893a771755cbeb415069101f8bde4</t>
  </si>
  <si>
    <t>Ectomycorrhiza; Exopolysaccharide; HPSEC-MALLS; Thelephora terrestris</t>
  </si>
  <si>
    <t>Olsson P.A., Van Aarle I.M., Allaway W.G., Ashford A.E., Rouhier H.</t>
  </si>
  <si>
    <t>Phosphorus effects on metabolic processes in monoxenic arbuscular mycorrhiza cultures</t>
  </si>
  <si>
    <t>10.1104/pp.009639</t>
  </si>
  <si>
    <t>https://www.scopus.com/inward/record.uri?eid=2-s2.0-0036852160&amp;doi=10.1104%2fpp.009639&amp;partnerID=40&amp;md5=92b2a159aca7a0d09c5a06b4de35b939</t>
  </si>
  <si>
    <t>Johnson D., Leake J.R., Read D.J.</t>
  </si>
  <si>
    <t>Transfer of recent photosynthate into mycorrhizal mycelium of an upland grassland: Short-term respiratory losses and accumulation of 14C</t>
  </si>
  <si>
    <t>10.1016/S0038-0717(02)00126-8</t>
  </si>
  <si>
    <t>https://www.scopus.com/inward/record.uri?eid=2-s2.0-0036793372&amp;doi=10.1016%2fS0038-0717%2802%2900126-8&amp;partnerID=40&amp;md5=1af0ad683e25733515a2c74f1d4854e3</t>
  </si>
  <si>
    <t>14C; Arbuscular mycorrhiza; Carbon allocation; Carbon flux; Mesh cores; Respiration</t>
  </si>
  <si>
    <t>Hobbie E.A., Weber N.S., Trappe J.M., Van Klinken G.J.</t>
  </si>
  <si>
    <t>Using radiocarbon to determine the mycorrhizal status of fungi</t>
  </si>
  <si>
    <t>10.1046/j.1469-8137.2002.00496.x</t>
  </si>
  <si>
    <t>https://www.scopus.com/inward/record.uri?eid=2-s2.0-0036787139&amp;doi=10.1046%2fj.1469-8137.2002.00496.x&amp;partnerID=40&amp;md5=0f4d7b208f14822da654266803dd5869</t>
  </si>
  <si>
    <t>Carbon dynamics; Organic nitrogen use; Radiocarbon calculations; Residence time; Stable isotopes</t>
  </si>
  <si>
    <t>Duponnois R., Founoune H., Lesueur D.</t>
  </si>
  <si>
    <t>Influence of the controlled dual ectomycorrhizal and rhizobal symbiosis on the growth of Acacia mangium provenances, the indigenous symbiotic microflora and the structure of plant parasitic nematode communities</t>
  </si>
  <si>
    <t>10.1016/S0016-7061(02)00144-1</t>
  </si>
  <si>
    <t>https://www.scopus.com/inward/record.uri?eid=2-s2.0-0036069616&amp;doi=10.1016%2fS0016-7061%2802%2900144-1&amp;partnerID=40&amp;md5=1dfd484a27c0f2a62ef6fe6331ed7e59</t>
  </si>
  <si>
    <t>Acacia; Microbial inoculation; Mycorrhizae; Nematode community structure; Nematodes; Rhizobia</t>
  </si>
  <si>
    <t>Giardina C.P., Ryan M.G.</t>
  </si>
  <si>
    <t>Total belowground carbon allocation in a fast-growing Eucalyptus plantation estimated using a carbon balance approach</t>
  </si>
  <si>
    <t>10.1007/s10021-002-0130-8</t>
  </si>
  <si>
    <t>https://www.scopus.com/inward/record.uri?eid=2-s2.0-0036704648&amp;doi=10.1007%2fs10021-002-0130-8&amp;partnerID=40&amp;md5=637359baee54c823e03f083c536aedf4</t>
  </si>
  <si>
    <t>Trees allocate a large portion of gross primary production belowground for the production and maintenance of roots and mycorrhizae. The difficulty of directly measuring total belowground carbon allocation (TBCA) has limited our understanding of belowground carbon (C) cycling and the factors that control this important flux. We measured TBCA over 4 years using a conservation of mass, C balance approach in replicate stands of fast growing Eucalyptus saligna Smith with different nutrition management and tree density treatments. We measured TBCA as surface carbon dioxide (CO2) efflux ("soil" respiration) minus C inputs from aboveground litter plus the change in C stored in roots, litter, and soil. We evaluated this C balance approach to measuring TBCA by examining (a) the variance in TBCA across replicate plots; (b) cumulative error associated with summing components to arrive at our estimates of TBCA; (c) potential sources of error in the techniques and assumptions; (d) the magnitude of changes in C stored in soil, litter, and roots compared to TBCA; and (e) the sensitivity of our measures of TBCA to differences in nutrient availability, tree density, and forest age. The C balance method gave precise estimates of TBCA and reflected differences in belowground allocation expected with manipulations of fertility and tree density. Across treatments, TBCA averaged 1.88 kg C m-2 y-1 and was 18% higher in plots planted with 104 trees/ha compared to plots planted with 1111 trees/ha. TBCA was 12% lower (but not significantly so) in fertilized plots. For all treatments, TBCA declined linearly with stand age. The coefficient of variation (CV) for TBCA for replicate plots averaged 17%. Averaged across treatments and years, annual changes in C stored in soil, the litter layer, and coarse roots (-0.01, 0.06, and 0.21 kg C m-2 y-1, respectively) were small compared with surface CO2 efflux (2.03 kg C m-2 y-1), aboveground litterfall (0.42 kg C m-2 y-1), and our estimated TBCA (1.88 kg C m-2 y-1. Based on studies from similar sites, estimates of losses of C through leaching, erosion, or storage of C in deep soil were less than 1% of annual TBCA.</t>
  </si>
  <si>
    <t>Belowground carbon allocation; Carbon budget; Carbon sequestration; Ecosystem respiration; Fine root production; Litterfall; Mycorrhizae; Root respiration; Soil carbon; Soil respiration</t>
  </si>
  <si>
    <t>Rillig M.C., Wright S.F., Shaw M.R., Field C.B.</t>
  </si>
  <si>
    <t>Artificial climate warming positively affects arbuscular mycorrhizae but decreases soil aggregate water stability in an annual grassland</t>
  </si>
  <si>
    <t>Oikos</t>
  </si>
  <si>
    <t>10.1034/j.1600-0706.2002.970105.x</t>
  </si>
  <si>
    <t>https://www.scopus.com/inward/record.uri?eid=2-s2.0-0036268255&amp;doi=10.1034%2fj.1600-0706.2002.970105.x&amp;partnerID=40&amp;md5=b4d81e6d38be89d5b054d32efb0c8da1</t>
  </si>
  <si>
    <t>Despite the importance of arbuscular mycorrhizae to the functioning of terrestrial ecosystems (e.g. nutrient uptake, soil aggregation), and the increasing evidence of global warming, responses of arbuscular mycorrhizal fungi (AMF) to climate warming are poorly understood. In a field experiment using infrared heaters, we found effects of warming on AMF after one growing season in an annual grassland, in the absence of any effects on measured root parameters (weight, length, average diameter). AMF soil hyphal length was increased by over 40% in the warmed plots, accompanied by a strong trend for AMF root colonization increase. In the following year, root weight was again not significantly changed, and AMF root colonization increased significantly in the warmed plots. Concentration of the soil protein glomalin, a glycoprotein produced by AMF hyphae with importance in soil aggregation, was decreased in the warmed plots. Soil aggregate water stability, measured for five diameter size classes, was also decreased significantly. In the following year, soil aggregate weight in two size classes was decreased significantly, but the effect size was very small. These results indicate that ecosystem warming may have stimulated carbon allocation to AMF. Other factors either influenced glomalin decomposition or production, hence influencing the role of these symbionts in soil aggregation. The observed small changes in soil aggregation, if widespread among terrestrial ecosystems, could have important consequences for soil carbon storage and erosion in a warmed climate, especially if there are cumulative effects of warming.</t>
  </si>
  <si>
    <t>Cairney J.W.G., Ashford A.E.</t>
  </si>
  <si>
    <t>Biology of mycorrhizal associations of epacrids (Ericaceae)</t>
  </si>
  <si>
    <t>10.1046/j.1469-8137.2002.00398.x</t>
  </si>
  <si>
    <t>https://www.scopus.com/inward/record.uri?eid=2-s2.0-0036235176&amp;doi=10.1046%2fj.1469-8137.2002.00398.x&amp;partnerID=40&amp;md5=a4f14116e94165347fbe6d2f97a4d7b8</t>
  </si>
  <si>
    <t>Epacrids, a group of southern hemisphere plants formerly considered members of the separate family Epacridaceae, are in fact most closely allied to the Vaccinioid tribe (Ericaceae). Epacrids and other extant ericoid mycorrhiza-forming plants appear to have a monophyletic origin. In common with many Ericaceae they form ericoid mycorrhizas. ITS sequence data indicate that the fungi forming ericoid mycorrhizas with epacrids and other extant Ericaceae are broadly similar, belonging to a poorly defined group of ascomycetes with phylogenetic affinities to Helotiales. The basic development and structure of ericoid mycorrhizal infections in epacrids is similar to other Ericaceae. However, data are limited on the structure and physiology of both hair roots and ericoid mycorrhizas for all Ericaceae. Relatively little is known about the functional significance of ericoid mycorrhizas in epacrids in southern hemisphere habitats that are often poor in organic matter accumulation. However the abilities of fungal endophytes of epacrids to utilize organic N and P substrates equal those of endophytes from northern hemisphere heathland plant hosts. Investigations using 15N/13C-labelled organic N substrates suggest that mycorrhizal endophytes are important, at least, to the N nutrition of their epacrid hosts in some habitats.</t>
  </si>
  <si>
    <t>Australia; Epacridaceae; Ericaceae; Ericoid mycorrhiza; Hair roots</t>
  </si>
  <si>
    <t>Haselwandter K., Winkelmann G.</t>
  </si>
  <si>
    <t>Ferricrocin - An ectomycorrhizal siderophore of Cenococcum geophilum</t>
  </si>
  <si>
    <t>BioMetals</t>
  </si>
  <si>
    <t>10.1023/A:1013188823076</t>
  </si>
  <si>
    <t>https://www.scopus.com/inward/record.uri?eid=2-s2.0-0036161804&amp;doi=10.1023%2fA%3a1013188823076&amp;partnerID=40&amp;md5=ff4e2513723b0c54da70f7b4000d9957</t>
  </si>
  <si>
    <t>The ectomycorrhizal fungus Cenococcum geophilum was grown in low-iron medium and the excreted siderophores were extracted, purified and analyzed by HPLC. The principal hydroxamate siderophore produced, was identified as ferricrocin as confirmed by analytical HPLC, FAB-mass spectrometry and 1H- and 13C-NMR spectra. Although the occurrence of ferricrocin has been shown earlier to occur in the ericoid mycorrhizal fungi, this is the first report of ferricrocin in a true ectomycorrhizal fungus which is taxonomically related to the ascomycetes.</t>
  </si>
  <si>
    <t>Ferricrocin; Iron nutrition; Mycorrhiza; Sliderophores; Tree physiology</t>
  </si>
  <si>
    <t>Bago B., Zipfel W., Williams R.M., Jun J., Arreola R., Lammers P.J., Pfeffer P.E., Shachar-Hill Y.</t>
  </si>
  <si>
    <t>Translocation and utilization of fungal storage lipid in the arbuscular mycorrhizal symbiosis</t>
  </si>
  <si>
    <t>10.1104/pp.010466</t>
  </si>
  <si>
    <t>https://www.scopus.com/inward/record.uri?eid=2-s2.0-85047685925&amp;doi=10.1104%2fpp.010466&amp;partnerID=40&amp;md5=025d524ffcfdd35eb608dcfc74885dd2</t>
  </si>
  <si>
    <t>The arbuscular mycorrhizal (AM) symbiosis is responsible for huge fluxes of photosynthetically fixed carbon from plants to the soil. Carbon is transferred from the plant to the fungus as hexose, but the main form of carbon stored by the mycobiont at all stages of its life cycle is triacylglycerol. Previous isotopic labeling experiments showed that the fungus exports this storage lipid from the intraradical mycelium (IRM) to the extraradical mycelium (ERM). Here, in vivo multiphoton microscopy was used to observe the movement of lipid bodies through the fungal colony and to determine their sizes, distribution, and velocities. The distribution of lipid bodies along fungal hyphae suggests that they are progressively consumed as they move toward growing tips. We report the isolation and measurements of expression of an AM fungal expressed sequence tag that encodes a putative acyl-coenzyme A dehydrogenase; its deduced amino acid sequence suggests that it may function in the anabolic flux of carbon from lipid to carbohydrate. Time-lapse image sequences show lipid bodies moving in both directions along hyphae and nuclear magnetic resonance analysis of labeling patterns after supplying 13C-labeled glycerol to either extraradical hyphae or colonized roots shows that there is indeed significant bidirectional translocation between IRM and ERM. We conclude that large amounts of lipid are translocated within the AM fungal colony and that, whereas net movement is from the IRM to the ERM, there is also substantial recirculation throughout the fungus.</t>
  </si>
  <si>
    <t>Rangel-Castro J.I., Danell E., Pfeffer P.E.</t>
  </si>
  <si>
    <t>A 13C-NMR study of exudation and storage of carbohydrates and amino acids in the ectomycorrhizal edible mushroom Cantharellus cibarius</t>
  </si>
  <si>
    <t>10.1080/15572536.2003.11833224</t>
  </si>
  <si>
    <t>https://www.scopus.com/inward/record.uri?eid=2-s2.0-0036309339&amp;doi=10.1080%2f15572536.2003.11833224&amp;partnerID=40&amp;md5=bf78b0d534ccda6e32756ded25b89f67</t>
  </si>
  <si>
    <t>13C-NMR analyses of Cantharellus cibarius growth media were performed. We found exudation of trehalose and mannitol, which may explain the phenomenon of reproducing Pseudomonas bacteria observed inside fruit bodies. Exudation varied with strain and environment. NMR analyses of stored 13C was also performed. Trehalose, mannitol, and arginine were revealed. The mannitol pathway seems to play an important role for trehalose production in this species. This is the first study of the fate of the photosynthetically derived carbon in the highly appreciated edible ectomycorrhizal mushroom Cantharellus cibarius.</t>
  </si>
  <si>
    <t>Arginine; Chanterelle; Mannitol; Metabolism; Mycorrhiza; Trehalose</t>
  </si>
  <si>
    <t>Read D.J., Leake J.R., Ostle N., Ineson P.</t>
  </si>
  <si>
    <t>In situ 13CO2 pulse-labelling of upland grassland demonstrates a rapid pathway of carbon flux from arbuscular mycorrhizal mycelia to the soil</t>
  </si>
  <si>
    <t>10.1046/j.0028-646X.2001.00316.x</t>
  </si>
  <si>
    <t>https://www.scopus.com/inward/record.uri?eid=2-s2.0-0036162929&amp;doi=10.1046%2fj.0028-646X.2001.00316.x&amp;partnerID=40&amp;md5=011f5f3ec81dd34baa0fa09c26e7773f</t>
  </si>
  <si>
    <t>13C; Arbuscular mycorrhiza; Carbon cycling; Carbon flow; Liming; Mesh cores; Respiration; Stable isotope</t>
  </si>
  <si>
    <t>Boucot A.J., Gray J.</t>
  </si>
  <si>
    <t>A critique of phanerozoic climatic models involving changes in the CO2 content of the atmosphere</t>
  </si>
  <si>
    <t>Earth-Science Reviews</t>
  </si>
  <si>
    <t>10.1016/S0012-8252(01)00066-6</t>
  </si>
  <si>
    <t>https://www.scopus.com/inward/record.uri?eid=2-s2.0-0035668645&amp;doi=10.1016%2fS0012-8252%2801%2900066-6&amp;partnerID=40&amp;md5=57785d1a63836492b783ac2b6b3fbed6</t>
  </si>
  <si>
    <t>Atmospheric CO2; Global climatic gradient; Mycorrhizae; Paleogeography; Phanerozoic; Stomates; Weathering</t>
  </si>
  <si>
    <t>Stabler L.B., Martin C.A., Stutz J.C.</t>
  </si>
  <si>
    <t>Effect of urban expansion on arbuscular mycorrhizal fungal mediation of landscape tree growth</t>
  </si>
  <si>
    <t>Journal of Arboriculture</t>
  </si>
  <si>
    <t>https://www.scopus.com/inward/record.uri?eid=2-s2.0-0035572132&amp;partnerID=40&amp;md5=69bbc18b3ea02831cc8bb1aff3b3b309</t>
  </si>
  <si>
    <t>Field and glasshouse pot studies were conducted to determine effects of urban expansion on arbuscular mycorrhizal fungal (AMF) populations and AMF impact on landscape tree growth. Soil and root segments were collected and evaluated for root colonization by AMF of trees at remnant Sonoran Desert sites and nearby, formerly desert, drip-irrigated residential landscape sites in the Phoenix, Arizona, USA, metropolitan area. Native desert trees had greater colonization by AMF than residential landscape trees, and AMF species composition differed at the two site types. A glasshouse pot experiment using AMF inocula from the desert or residential sites was used to evaluate AMF effects on growth and carbon fluxes of three landscape trees in 12-L (3-gal) polyethylene containers relative to non-AMF controls. Growth and P nutrition of Acacia smallii and Fraxinus uhdei were increased by AMF colonization. Acacia carbon assimilation was increased by AMF root colonization. Soil respiration by Acacia and Fraxinus tree roots was decreased by AMF root colonization. Growth and carbon fluxes of Parkinsonia microphylla were not affected by AMF. We conclude that AMF might significantly increase landscape tree carbon storage potential depending on tree species, AMF population characteristics, soil water availability, and improved P uptake.</t>
  </si>
  <si>
    <t>Gas exchange; Mycorrhizae; Photosynthesis; Urban forest</t>
  </si>
  <si>
    <t>Gaspar M., Pollero R., Cabello M.</t>
  </si>
  <si>
    <t>Biosynthesis and degradation of glycerides in external mycelium of Glomus mosseae</t>
  </si>
  <si>
    <t>10.1007/s005720100130</t>
  </si>
  <si>
    <t>https://www.scopus.com/inward/record.uri?eid=2-s2.0-0035155161&amp;doi=10.1007%2fs005720100130&amp;partnerID=40&amp;md5=b21cb5fd41c90a115a9aa7bbef95c50f</t>
  </si>
  <si>
    <t>The activities of enzymes involved in the glyceride metabolism of Glomus mosseae external mycelium are reported. Total mycelial homogenates were incubated with radiolabeled triolein and palmitic acid for various times under different conditions. The results obtained demonstrate the capacity of G. mosseae external mycelium to synthesize and hydrolyze its own acylglycerides. Neutral lipid biosynthesis progressively increased along with root colonization. Incorporation of [14C]-palmitate was mainly into triacylglycerols and as a minor fraction into diacylglycerols. The activity of palmitoyl-CoA ligase in external mycelium also increased in parallel with mycorrhiza development. The hydrolysis of triacylglycerols was very low at the beginning of colonization and then increased. However, lipase activity was lower than that of acyl-CoA ligase even at late stages of colonization. Thus, triacylglycerol biosynthesis apparently prevails over degradation during G. mosseae mycelium development in the period examined.</t>
  </si>
  <si>
    <t>Acyl-CoA ligase; Acylglycerol synthetase; External mycelium; Lipase activity; Triacylglycerols</t>
  </si>
  <si>
    <t>A GC-MS method for determination of amino acid uptake by plants</t>
  </si>
  <si>
    <t>Physiologia Plantarum</t>
  </si>
  <si>
    <t>10.1034/j.1399-3054.2001.1130308.x</t>
  </si>
  <si>
    <t>https://www.scopus.com/inward/record.uri?eid=2-s2.0-0035171739&amp;doi=10.1034%2fj.1399-3054.2001.1130308.x&amp;partnerID=40&amp;md5=6e36cdeec0ce275ee052480e6559e446</t>
  </si>
  <si>
    <t>Henn M.R., Chapela I.H.</t>
  </si>
  <si>
    <t>Ecophysiology of 13C and 15N isotopic fractionation in forest fungi and the roots of the saprotrophic-mycorrhizal divide</t>
  </si>
  <si>
    <t>10.1007/s004420100680</t>
  </si>
  <si>
    <t>https://www.scopus.com/inward/record.uri?eid=2-s2.0-0034877705&amp;doi=10.1007%2fs004420100680&amp;partnerID=40&amp;md5=6cfbbd7ef205ffee5a590f5c179bc8d1</t>
  </si>
  <si>
    <t>Carbon isotope ratio; Mycorrhizal fungi; Nitrogen isotope ratio; Saprotrophic fungi; Stable isotopic fractionation</t>
  </si>
  <si>
    <t>Arbuscular mycorrhizal fungi influence decomposition of, but not plant nutrient capture from, glycine patches in soil</t>
  </si>
  <si>
    <t>10.1046/j.0028-646x.2001.00200.x</t>
  </si>
  <si>
    <t>https://www.scopus.com/inward/record.uri?eid=2-s2.0-0034865492&amp;doi=10.1046%2fj.0028-646x.2001.00200.x&amp;partnerID=40&amp;md5=3001896ea37b0a19d93c0f8e662fbd8c</t>
  </si>
  <si>
    <t>Arbuscular mycorrhizal fungi (AMF); Decomposition; Glycine; Nutrient capture; Organic patches; Root proliferation</t>
  </si>
  <si>
    <t>Rillig M.C., Wright S.F., Nichols K.A., Schmidt W.F., Torn M.S.</t>
  </si>
  <si>
    <t>Large contribution of arbuscular mycorrhizal fungi to soil carbon pools in tropical forest soils</t>
  </si>
  <si>
    <t>10.1023/A:1010364221169</t>
  </si>
  <si>
    <t>https://www.scopus.com/inward/record.uri?eid=2-s2.0-0034926158&amp;doi=10.1023%2fA%3a1010364221169&amp;partnerID=40&amp;md5=91f11eff41601460bc88a9d74cfc8a11</t>
  </si>
  <si>
    <t>The origins and composition of soil organic matter (SOM) are still largely uncertain. Arbuscular mycorrhizal fungi (AMF) are recognized as indirect contributors through their influence on soil aggregation, plant physiology, and plant community composition. Here we present evidence that AMF can also make large, direct contributions to SOM. Glomalin, a recently discovered glycoprotein produced by AMF hyphae, was detected in tropical soils in concentrations of over 60 mg cm-3. Along a chronosequence of soils spanning ages from 300 to 4.1 Mio years, a pattern of glomalin concentrations is consistent with the hypothesis that this protein accumulates in soil. Carbon dating of glomalin indicated turnover at time scales of several years to decades, much longer than the turnover of AMF hyphae (which is assumed to be on the order of days to weeks). This suggests that contributions of mycorrhizae to soil carbon storage based on hyphal biomass in soil and roots may be an underestimate. The amount of C and N in glomalin represented a sizeable amount (ca. 4-5%) of total soil C and N in the oldest soils. Our results thus indicate that microbial (fungal) carbon that is not derived from above- or below-ground litter can make a significant contribution to soil carbon and nitrogen pools and can far exceed the contributions of soil microbial biomass (ranging from 0.08 to 0.2% of total C for the oldest soils).</t>
  </si>
  <si>
    <t>Glomalin; Hyphae; Microbial biomass; Soil carbon; Soil chronosequence</t>
  </si>
  <si>
    <t>Blaudez D., Botton B., Dizengremel P., Chalot M.</t>
  </si>
  <si>
    <t>The fate of [14C]glutamate and [14C]malate in birch roots is strongly modified under inoculation with Paxillus involutus</t>
  </si>
  <si>
    <t>10.1046/j.1365-3040.2001.00693.x</t>
  </si>
  <si>
    <t>https://www.scopus.com/inward/record.uri?eid=2-s2.0-0035045379&amp;doi=10.1046%2fj.1365-3040.2001.00693.x&amp;partnerID=40&amp;md5=d7e8dec67346d621c604a6d80251ae37</t>
  </si>
  <si>
    <t>The impact of inoculation with Paxillus involutus on the utilization of organic carbon compounds by birch roots was studied by feeding [14C]Glu or [14C]malate to the partners of the symbiosis, separately or in association, and by monitoring the subsequent distribution of 14C. Inoculation increased [14C]Glu and [14C]malate absorption capacities by up to eight and 17 times, respectively. Six- and 15-d-old mycorrhizal roots showed about four-fold higher [14C]Glu and [14C]malate absorption capacities compared with 60-d-old mycorrhizal roots, suggesting that the early stages of mycorrhiza formation induced higher requirements for C skeletons. Moreover, the results demonstrated that inoculation strongly modified the fate of [14C]Glu and [14C]malate. It was demonstrated that exogenously supplied Glu and malate might serve as C skeletons for amino acid synthesis in mycorrhizal birch roots and in the free-living fungus. Gln was the major 14C-sink in mycorrhizal roots and in the free-living P. involutus. In contrast, citrulline and insoluble compounds were the major 14C sinks in non-mycorrhizal roots, whatever the 14C source. It was concluded that mycorrhiza formation leads to a profound alteration of the metabolic fate of exogenously supplied C compounds. The ecological significance of amino acid and organic acid utilization by mycorrhizal plants is further discussed.</t>
  </si>
  <si>
    <t>Betula pendula; Ectomycorrhizas; Organic C metabolism</t>
  </si>
  <si>
    <t>Nakano A., Takahashi K., Kimura M.</t>
  </si>
  <si>
    <t>Effect of host shoot clipping on carbon and nitrogen sources for arbuscular mycorrhizal fungi</t>
  </si>
  <si>
    <t>10.1007/s005720000091</t>
  </si>
  <si>
    <t>https://www.scopus.com/inward/record.uri?eid=2-s2.0-0035050713&amp;doi=10.1007%2fs005720000091&amp;partnerID=40&amp;md5=a7f8e3a8fdf463833b0bd01922f1ddc5</t>
  </si>
  <si>
    <t>Mahmood S., Finlay R.D., Erland S., Wallander H.</t>
  </si>
  <si>
    <t>Solubilisation and colonisation of wood ash by ectomycorrhizal fungi isolated from a wood ash fertilised spruce forest</t>
  </si>
  <si>
    <t>10.1016/S0168-6496(00)00124-0</t>
  </si>
  <si>
    <t>https://www.scopus.com/inward/record.uri?eid=2-s2.0-0035075415&amp;doi=10.1016%2fS0168-6496%2800%2900124-0&amp;partnerID=40&amp;md5=fd8a43933fab5b0c32d82bdf54a68d55</t>
  </si>
  <si>
    <t>Calcium oxalate; Ectomycorrhizal fungi; PCR-RFLP; Solubilisation; Spruce forest; Tricalcium phosphate; Wood ash</t>
  </si>
  <si>
    <t>Can 14C-labeled photosynthetic products move between Pinus densiflora seedlings linked by ectomycorrhizal mycelia?</t>
  </si>
  <si>
    <t>10.1046/j.1469-8137.2001.00010.x</t>
  </si>
  <si>
    <t>https://www.scopus.com/inward/record.uri?eid=2-s2.0-0035132289&amp;doi=10.1046%2fj.1469-8137.2001.00010.x&amp;partnerID=40&amp;md5=5e17e3c181b9aceb70ba0e635560d541</t>
  </si>
  <si>
    <t>14C transfer; Ectomycorrhiza; Pinus densiflora</t>
  </si>
  <si>
    <t>Fontaine J., Grandmougin-Ferjani A., Hartmann M.-A., Sancholle M.</t>
  </si>
  <si>
    <t>Sterol biosynthesis by the arbuscular mycorrhizal fungus Glomus intraradices</t>
  </si>
  <si>
    <t>Lipids</t>
  </si>
  <si>
    <t>10.1007/s11745-001-0852-z</t>
  </si>
  <si>
    <t>https://www.scopus.com/inward/record.uri?eid=2-s2.0-0035701054&amp;doi=10.1007%2fs11745-001-0852-z&amp;partnerID=40&amp;md5=64b4b88eaa8d34a86546326a7acef62c</t>
  </si>
  <si>
    <t>Ri- T-DNA-transformed carrot roots were used for investigating sterol metabolism by the arbuscular mycorrhizal (AM) fungus Glomus intraradices under three distinct experimental conditions: (i) a symbiotic stage (fungus still attached to the host roots); (ii) a detached stage (fungus physically separated from the roots); and (iii) a germinating stage (germinating spores). In all three stages, G. intraradices was found to contain a mixture of 24-alkylated sterols, with 24-methyl and 24-ethyl cholesterol as the main compounds, but no ergosterol, the predominant sterol in most fungi. Feeding experiments with [1 14C] sodium acetate were performed to check the ability of the fungus to synthesize sterols. Whatever the experimental conditions, G. intraradices was able to actively take up exogenous acetate and to incorporate it into sterols and their precursors. Our data provide first evidence for de novo sterol synthesis by an AM fungus.</t>
  </si>
  <si>
    <t>Growth of conifer seedlings on organic and inorganic nitrogen sources</t>
  </si>
  <si>
    <t>10.1093/treephys/21.18.1319</t>
  </si>
  <si>
    <t>https://www.scopus.com/inward/record.uri?eid=2-s2.0-0035543293&amp;doi=10.1093%2ftreephys%2f21.18.1319&amp;partnerID=40&amp;md5=fe9852c4dd240348d5eb6259ee33a5f9</t>
  </si>
  <si>
    <t>Effects of organic and inorganic nitrogen sources on growth and mineral nutrient concentrations of Scots pine (Pinus sylvestris L.) and Norway spruce (Picea abies (L.) Karst.) seedlings were compared in a 100-day experiment in a greenhouse. Seedlings were grown in pots containing peat. Nutrient solutions differing in ammonium, nitrate, arginine and glycine composition were supplied to the seedlings at three nitrogen (N) concentrations: 1, 3 and 10 mM. We used dual (13C, 15N) and single (15N) isotopic labeling to determine the uptake of organic and inorganic N at the end of the experiment. Seedling dry weights and mineral nutrient concentrations of the needles showed that both conifer species were able to grow well and maintain nutrient balance on all investigated N forms except for the ammonium-dominated nutrient mixtures at the 10 mM N concentration. In Scots pine, no significant differences in dry weights were found between seedlings grown on the amino acids and seedlings grown on a commercial fertilizer containing 61.5% NO3--N and 38.5% NH4+-N. Isotopic labeling of seedlings indicated that uptake rates of arginine-N, glycine-N and NH4+-N were similar, and 7-8 times greater than uptake rates for NO3--N in both species. In Scots pine seedlings, 100% of arginine-N, and at least 67% of glycine-N was derived from the uptake of intact amino acids through seedling roots or mycorrhizae. Corresponding figures for Norway spruce were 83% for arginine and 96% for glycine. The gas chromatography-mass spectrometry analyses confirmed the presence of intact labeled molecules of both arginine and glycine in seedlings. We conclude that arginine and glycine are comparable to inorganic N as N sources for growth of conifer seedlings.</t>
  </si>
  <si>
    <t>Amino acids; Arginine; Gas chromatography-mass spectrometry; Glycine nitrogen uptake</t>
  </si>
  <si>
    <t>Schnabel W.E., White D.M.</t>
  </si>
  <si>
    <t>The effect of mycorrhizal fungi on the fate of aldrin: Phytoremediation potential</t>
  </si>
  <si>
    <t>10.1080/15226510108500058</t>
  </si>
  <si>
    <t>https://www.scopus.com/inward/record.uri?eid=2-s2.0-0035214217&amp;doi=10.1080%2f15226510108500058&amp;partnerID=40&amp;md5=e0a055f646f41d7b6b25dc1823cac595</t>
  </si>
  <si>
    <t>Dieldrin; Ectomycorrhizae; Organochlorine pesticides; Populus balsamifera; Salix alaxensis</t>
  </si>
  <si>
    <t>The effect of mycorrhizal fungi on the fate of PCBs in two vegetated systems</t>
  </si>
  <si>
    <t>10.1080/15226510108500057</t>
  </si>
  <si>
    <t>https://www.scopus.com/inward/record.uri?eid=2-s2.0-0035206382&amp;doi=10.1080%2f15226510108500057&amp;partnerID=40&amp;md5=07a5e1f91dc0d8c9d1b4ba71b9aa303f</t>
  </si>
  <si>
    <t>Lammers P.J., Jun J., Abubaker J., Arreola R., Gopalan A., Bago B., Hernandez-Sebastia C., Allen J.W., Douds D.D., Pfeffer P.E., Shachar-Hill Y.</t>
  </si>
  <si>
    <t>The glyoxylate cycle in an arbuscular mycorrhizal fungus. Carbon flux and gene expression</t>
  </si>
  <si>
    <t>10.1104/pp.010375</t>
  </si>
  <si>
    <t>https://www.scopus.com/inward/record.uri?eid=2-s2.0-0035201611&amp;doi=10.1104%2fpp.010375&amp;partnerID=40&amp;md5=c99f87e6f50673d8d2aa49555b4956e3</t>
  </si>
  <si>
    <t>The arbuscular mycorrhizal (AM) symbiosis is responsible for huge fluxes of photosynthetically fixed carbon from plants to the soil. Lipid, which is the dominant form of stored carbon in the fungal partner and which fuels spore germination, is made by the fungus within the root and is exported to the extraradical mycelium. We tested the hypothesis that the glyoxylate cycle is central to the flow of carbon in the AM symbiosis. The results of 13C labeling of germinating spores and extraradical mycelium with 13C2-acetate and 13C2-glycerol and analysis by nuclear magnetic resonance spectroscopy indicate that there are very substantial fluxes through the glyoxylate cycle in the fungal partner. Full-length sequences obtained by polymerase chain reaction from a cDNA library from germinating spores of the AM fungus Glomus intraradices showed strong homology to gene sequences for isocitrate lyase and malate synthase from plants and other fungal species. Quantitative real-time polymerase chain reaction measurements show that these genes are expressed at significant levels during the symbiosis. Glyoxysome-like bodies were observed by electron microscopy in fungal structures where the glyoxylate cycle is expected to be active, which is consistent with the presence in both enzyme sequences of motifs associated with glyoxysomal targeting. We also identified among several hundred expressed sequence tags several enzymes of primary metabolism whose expression during spore germination is consistent with previous labeling studies and with fluxes into and out of the glyoxylate cycle.</t>
  </si>
  <si>
    <t>Leake J.R., Donnelly D.P., Saunders E.M., Boddy L., Read D.J.</t>
  </si>
  <si>
    <t>Rates and quantities of carbon flux to ectomycorrhizal mycelium following 14C pulse labeling of Pinus sylvestris seedlings: Effects of litter patches and interaction a wood-decomposer fungus</t>
  </si>
  <si>
    <t>10.1093/treephys/21.2-3.71</t>
  </si>
  <si>
    <t>https://www.scopus.com/inward/record.uri?eid=2-s2.0-0035128159&amp;doi=10.1093%2ftreephys%2f21.2-3.71&amp;partnerID=40&amp;md5=936922b293a53273dbe2d79f4987b74f</t>
  </si>
  <si>
    <t>We used a novel digital autoradiographic technique that enabled, for the first time, simultaneous visualization and quantification of spatial and temporal changes in carbon allocation patterns in ectomycorrhizal mycelia. Mycorrhizal plants of Pinus sylvestris L. were grown in microcosms containing non-sterile peat. The time course and spatial distribution of carbon allocation by P. sylvestris to mycelia of its mycorrhizal partners, Paxillus involutus (Batsch) Fr. and Suillus bovinus (L.): Kuntze, were quantified following 14C pulse labeling of the plants. Litter patches were used to investigate the effects of nutrient resource quality on carbon allocation. The wood-decomposer fungus Phanerochaete velutina (D.C.: Pers.) Parmasto was introduced to evaluate competitive and territorial interactions between its mycelial cords and the mycelial system of S. bovinus. Growth of ectomycorrhizal mycelium was stimulated in the litter patches. Nearly 60% of the C transferred from host plant to external mycorrhizal mycelium (&amp;lt; 2 mm from root surfaces) was allocated to mycelium in the patches, which comprised only 12% of the soil area available for mycelial colonization. Mycelia in the litter patch most recently colonized by mycorrhizal mycelium received the largest investment of carbon, amounting to 27 to 50% of the total 14C in external mycorrhizal mycelium. The amount of C transfer to external mycelium of S. bovinus following pulse labeling was reduced from a maximum of 167 nmol in systems with no saprotroph to a maximum of 61 nmol in systems interacting with P. velutina. The 14C content of S. bovinus mycelium reached a maximum 24-36 h after labeling in control microcosms, but allocation did not reach a peak until 56 h after labeling, when S. bovinus interacted with mycelium of P. velutina. The mycelium of S. bovinus contained 9% of the total 14C in the plants (including mycorrhizae) at the end of the experiment, but this was reduced to 4% in the presence of P. velutina. The results demonstrate the dynamic manner in which mycorrhizal mycelia deploy C when foraging for nutrients. The inhibitory effect of the wood-decomposer fungus P. velutina on C allocation to external mycorrhizal mycelium has important implications for nutrient cycling in forest ecosystems.</t>
  </si>
  <si>
    <t>Carbon allocation; Difference imaging; Digital autoradiography; Mycelial cords; Mycelial interactions; Mycorrhiza; Saprotroph; Time series analyses</t>
  </si>
  <si>
    <t>Fontaine J., Grandmougin-Ferjani A., Sancholle M.</t>
  </si>
  <si>
    <t>Lipid metabolism of the endomycorrhizal fungus: Glomus intraradices</t>
  </si>
  <si>
    <t>Comptes Rendus de l'Academie des Sciences - Serie III</t>
  </si>
  <si>
    <t>10.1016/S0764-4469(01)01357-9</t>
  </si>
  <si>
    <t>https://www.scopus.com/inward/record.uri?eid=2-s2.0-0034741670&amp;doi=10.1016%2fS0764-4469%2801%2901357-9&amp;partnerID=40&amp;md5=55d8d6b543e20953675554c579cd5d9a</t>
  </si>
  <si>
    <t>Endomycorrhizal fungus; Lipids; Monoxenic culture</t>
  </si>
  <si>
    <t>Ranger J., Gelhaye D.</t>
  </si>
  <si>
    <t>Belowground biomass and nutrient content in a 47-year-old Douglas-fir plantation</t>
  </si>
  <si>
    <t>10.1051/forest:2001135</t>
  </si>
  <si>
    <t>https://www.scopus.com/inward/record.uri?eid=2-s2.0-0012653704&amp;doi=10.1051%2fforest%3a2001135&amp;partnerID=40&amp;md5=bc40a569e830692ed4bcafdeaee83d4a</t>
  </si>
  <si>
    <t>Biomass and nutrient content of the root system of a Douglas-fir stand were calculated using the regression technique. Nine trees, evenly distributed in the girth classes of the stand, were felled for measurements and sampling. Results were compared to published data. Statistically significant relationships between tree circumference at 1.30 m and root biomass or nutrient content were observed. The root biomass was 58 t of dry matter, which was 18% of the total stand biomass. A linear model characterized the relationships between aerial and belowground biomass of 38 Douglas-fir stands previously described in the literature. This simple relationship is very useful when using estimates of the aerial biomass of a stand to calculate the carbon storage in the belowground compartment. Nutrient concentration in the belowground compartment was lower than in the aerial biomass. However, very fine roots and mycorrhizae were not considered. Contrary to aerial biomass, very few published data were found for belowground biomass, hindering any generalization for the nutrient content of the belowground compartment.</t>
  </si>
  <si>
    <t>C sequestration; Douglas-fir; Nutrient content; Root system</t>
  </si>
  <si>
    <t>Douds Jr. D.D., Pfeffer P.E., Shachar-Hill Y.</t>
  </si>
  <si>
    <t>Application of in vitro methods to study carbon uptake and transport by AM fungi</t>
  </si>
  <si>
    <t>10.1023/A:1026466802354</t>
  </si>
  <si>
    <t>https://www.scopus.com/inward/record.uri?eid=2-s2.0-0034490376&amp;doi=10.1023%2fA%3a1026466802354&amp;partnerID=40&amp;md5=4a74367b54ffe3c6fc90c7456c8cef39</t>
  </si>
  <si>
    <t>Just as multi-compartmented root chambers have advantages over standard plastic pots for the study of nutrient uptake by arbuscular mycorrhizal [AM] fungi in soil, so the split-plate in vitro system has advantages over the standard dual culture system for the study of the physiology of AM fungi. We used the split-plate culture system of Ri T-DNA transformed Daucus carota L. roots and Glomus intraradices Schenck &amp;amp; Smith, in which only the fungus has access to the distal compartment, to study the ability of germ tubes and extraradical and intraradical hyphae to take up 13C-labeled substrates. Labeled substrates were added to one side of the plate divider and plates were incubated for 8 weeks while the fungus proliferated on the side from which the root was excluded. Tissues then were recovered from the plate and examined via NMR spectroscopy. Results showed that the morphological phases of the fungus differed in their ability to take up these substrates, most notably that intraradical hyphae take up hexose while extraradical hyphae cannot. In addition. NMR studies indicated that intraradical hyphae actively synthesized lipids while extraradical hyphae did not. These data show that eventual axenic culture of AM fungi is more than a matter of finding the proper substrate for growth. Genetic regulation must be overcome to make extraradical hyphae behave like intraradical hyphae in terms of C uptake and metabolism.</t>
  </si>
  <si>
    <t>Arbuscular mycorrhiza; Carbon uptake; In vitro culture; Nuclear magnetic resonance</t>
  </si>
  <si>
    <t>Holmqvist J., Schlyter P.</t>
  </si>
  <si>
    <t>Vesicular-arbuscular mycorrizae for dating multiple paleosols and carbon loss rate determination</t>
  </si>
  <si>
    <t>10.1016/S0016-7061(00)00030-6</t>
  </si>
  <si>
    <t>https://www.scopus.com/inward/record.uri?eid=2-s2.0-0033949019&amp;doi=10.1016%2fS0016-7061%2800%2900030-6&amp;partnerID=40&amp;md5=4c2f3e3ba7c4375092cb046eaf2d666a</t>
  </si>
  <si>
    <t>Degradation; Organic carbon; Paleosols; Radiocarbon dating; Soil</t>
  </si>
  <si>
    <t>10.1034/j.1399-3054.2000.100307.x</t>
  </si>
  <si>
    <t>https://www.scopus.com/inward/record.uri?eid=2-s2.0-0343962193&amp;doi=10.1034%2fj.1399-3054.2000.100307.x&amp;partnerID=40&amp;md5=5afd905ad6e6c04ab60b271e253cfc3b</t>
  </si>
  <si>
    <t>Blaudez D., Botton B., Chalot M.</t>
  </si>
  <si>
    <t>Effects of heavy metals on nitrogen uptake by Paxillus involutus and mycorrhizal birch seedlings</t>
  </si>
  <si>
    <t>10.1016/S0168-6496(00)00044-1</t>
  </si>
  <si>
    <t>https://www.scopus.com/inward/record.uri?eid=2-s2.0-0033914376&amp;doi=10.1016%2fS0168-6496%2800%2900044-1&amp;partnerID=40&amp;md5=edc494adaf43468a232bfbcc40fa2e9c</t>
  </si>
  <si>
    <t>[14C]Aminoisobutyric acid; [14C]Methylamine; Ectomycorrhizal birch; Heavy metal; Nitrogen uptake; Paxillus involutus</t>
  </si>
  <si>
    <t>Treseder K.K., Allen M.F.</t>
  </si>
  <si>
    <t>Mycorrhizal fungi have a potential role in soil carbon storage under elevated CO2 and nitrogen deposition</t>
  </si>
  <si>
    <t>10.1046/j.1469-8137.2000.00690.x</t>
  </si>
  <si>
    <t>https://www.scopus.com/inward/record.uri?eid=2-s2.0-0033880650&amp;doi=10.1046%2fj.1469-8137.2000.00690.x&amp;partnerID=40&amp;md5=3f08d21929e0ed0c3c3140b91c22b6b1</t>
  </si>
  <si>
    <t>In this review, we discuss the potential for mycorrhizal fungi to act as a source or sink for carbon (C) under elevated CO2 and nitrogen deposition. Mycorrhizal tissue has been estimated to comprise a significant fraction of soil organic matter and below-ground biomass in a range of systems. The current body of literature indicates that in many systems exposed to elevated CO2, mycorrhizal fungi might sequester increased amounts of C in living, dead and residual hyphal biomass in the soil. Through this process, the fungi might serve as a negative feedback on the rise in atmospheric CO2 levels caused by fossil fuel burning and deforestation. By contrast, a few preliminary studies suggest that N deposition might increase turnover rates of fungal tissue and negate CO2 effects on hyphal biomass. If these latter responses are consistent among ecosystems, C storage in hyphae might decline in habitats surrounding agricultural and urban areas. When N additions occur without CO2 enrichment, effects on mycorrhizal growth are inconsistent. We note that analyses of hyphal decomposition under elevated CO2 and N additions are extremely sparse but are critical in our understanding of the impact of global change on the cycling of mycorrhizal C. Finally, shifts in the community composition of arbuscular and ectomycorrhizal fungi with increasing CO2 or N availability are frequently documented. Since mycorrhizal groups vary in growth rate and tissue quality, these changes in species assemblages could produce unforeseeable impacts on the productivity, survivorship, or decomposition of mycorrhizal biomass.</t>
  </si>
  <si>
    <t>Arbuscular mycorrhizal fungi; Ectomycorrhizal fungi; Elevated CO2; External hyphae; Interspecific variation; Microbial communities; Nitrogen deposition or fertilization; Soil carbon sequestration</t>
  </si>
  <si>
    <t>Gorissen A., Kuyper Th.W.</t>
  </si>
  <si>
    <t>Fungal species-specific responses of ectomycorrhizal Scots pine (Pinus sylvestris) to elevated [CO2]</t>
  </si>
  <si>
    <t>10.1046/j.1469-8137.2000.00610.x</t>
  </si>
  <si>
    <t>https://www.scopus.com/inward/record.uri?eid=2-s2.0-0034052632&amp;doi=10.1046%2fj.1469-8137.2000.00610.x&amp;partnerID=40&amp;md5=7472daa09b6b2da447718dfd6499d51b</t>
  </si>
  <si>
    <t>Carbon allocation; Ectomycorrhiza; Elevated [CO2]; Pinus sylvestris; Scots pine</t>
  </si>
  <si>
    <t>10.1023/a:1004732430929</t>
  </si>
  <si>
    <t>https://www.scopus.com/inward/record.uri?eid=2-s2.0-0343362679&amp;doi=10.1023%2fa%3a1004732430929&amp;partnerID=40&amp;md5=dc400fc9e337082c6cd7419247696fe8</t>
  </si>
  <si>
    <t>Hodge A., Robinson D., Fitter A.H.</t>
  </si>
  <si>
    <t>An arbuscular mycorrhizal inoculum enhances root proliferation in, but not nitrogen capture from, nutrient-rich patches in soil</t>
  </si>
  <si>
    <t>10.1046/j.1469-8137.2000.00602.x</t>
  </si>
  <si>
    <t>https://www.scopus.com/inward/record.uri?eid=2-s2.0-0034025270&amp;doi=10.1046%2fj.1469-8137.2000.00602.x&amp;partnerID=40&amp;md5=b7d597f1722ea6110746fe707e485b16</t>
  </si>
  <si>
    <t>Most work on root proliferation to a localized nutrient supply has ignored the possible role of mycorrhizal fungi, despite their key role in nutrient acquisition. Interactions between roots of Plantago lanceolata, an added arbuscular mycorrhiza (AM) inoculum and nitrogen capture from an organic patch (Lolium perenne shoot material) dual-labelled with 15N and 13C were investigated, to determine whether root proliferation and nitrogen (N) capture was affected by the presence of AM fungi. Decomposition of the organic patch in the presence and absence of roots peaked in all treatments at day 3, as shown by the amounts of 13CO2 detected in the soil atmosphere. Plant N concentrations were higher in the treatments with added inoculum 10 d after patch addition, but thereafter did not differ among treatments. Plant phosphorus concentrations at the end of the experiment were depressed by the addition of the organic residue in the absence of mycorrhizal inoculum. Although uninoculated plants were also colonized by mycorrhizal fungi, colonization was enhanced at all times by the added inoculum. Addition of the AM inoculum increased root production, observed in situ by the use of minirhizotron tubes, most pronouncedly within the organic patch zone. Patch N capture by the end of the experiment was c. 7.5% and was not significantly different as a result of adding an AM inoculum. Furthermore, no 13C enrichments were detected in the plant material in any of the treatments showing that intact organic compounds were not taken up. Thus, although the added AM fungal inoculum benefited P. lanceolata seedlings in terms of P concentrations of tissues it did not increase total N capture or affect the form in which N was captured by P. lanceolata roots.</t>
  </si>
  <si>
    <t>Arbuscular mycorrhizal fungi; Decomposition; N capture; Organic patches; Root proliferation</t>
  </si>
  <si>
    <t>Joner E.J., Johansen A.</t>
  </si>
  <si>
    <t>Phosphatase activity of external hyphae of two arbuscular mycorrhizal fungi</t>
  </si>
  <si>
    <t>10.1017/S0953756299001240</t>
  </si>
  <si>
    <t>https://www.scopus.com/inward/record.uri?eid=2-s2.0-0033935958&amp;doi=10.1017%2fS0953756299001240&amp;partnerID=40&amp;md5=fdf47dfad2ba0a03813b8f64ef33eb15</t>
  </si>
  <si>
    <t>Black K.G., Mitchell D.T., Osborne B.A.</t>
  </si>
  <si>
    <t>Effect of mycorrhizal-enhanced leaf phosphate status on carbon partitioning, translocation and photosynthesis in cucumber</t>
  </si>
  <si>
    <t>10.1046/j.1365-3040.2000.00598.x</t>
  </si>
  <si>
    <t>https://www.scopus.com/inward/record.uri?eid=2-s2.0-0033852629&amp;doi=10.1046%2fj.1365-3040.2000.00598.x&amp;partnerID=40&amp;md5=e83cbdd08af2d082cb9e3055d0ced777</t>
  </si>
  <si>
    <t>14C-partitioning; Cucumis sativus L. (cucumber); Glomus mosseae; Leaf age; Phosphorus</t>
  </si>
  <si>
    <t>Perez C.A., Frangi J.L.</t>
  </si>
  <si>
    <t>Grassland biomass dynamics along an altitudinal gradient in the Pampa</t>
  </si>
  <si>
    <t>Journal of Range Management</t>
  </si>
  <si>
    <t>10.2307/4003653</t>
  </si>
  <si>
    <t>https://www.scopus.com/inward/record.uri?eid=2-s2.0-0033695618&amp;doi=10.2307%2f4003653&amp;partnerID=40&amp;md5=477cad8418b53d518be84ead7619c947</t>
  </si>
  <si>
    <t>Aboveground; Belowground; Litter; Phytomass; Productivity; Roots</t>
  </si>
  <si>
    <t>Wright S.F., Rillig M.C., Nichols K.A.</t>
  </si>
  <si>
    <t>Glomalin: A soil protein important in carbon sequestration</t>
  </si>
  <si>
    <t>ACS Division of Fuel Chemistry, Preprints</t>
  </si>
  <si>
    <t>https://www.scopus.com/inward/record.uri?eid=2-s2.0-0033673382&amp;partnerID=40&amp;md5=32929e0f8097cdb941c0398afa1af983</t>
  </si>
  <si>
    <t>Glomalin is a soil glycoprotein that contains carbon and therefore constitutes a significant portion of the terrestrial carbon pool, which helps reduce atmospheric CO2 levels. Stabilization of soil aggregates intensifies the role of glomalin in soils since carbonaceous compounds are protected from degradation inside of aggregates. Increased atmospheric CO2 can result in increased glomalin production because of the symbiotic association between plants and the glomalin-producing arbuscular mycorrhizal fungi. Glomalin concentrations in soils are affected by management practices, as in agroecosystems, further emphasizing the role of the protein in carbon storage.</t>
  </si>
  <si>
    <t>Aggregate stability; Glycoprotein; Soil organic matter; Soil stability</t>
  </si>
  <si>
    <t>Ammonium and methylamine transport by the ectomycorrhizal fungus Paxillus involutus and ectomycorrhizas</t>
  </si>
  <si>
    <t>10.1016/S0168-6496(99)00074-4</t>
  </si>
  <si>
    <t>https://www.scopus.com/inward/record.uri?eid=2-s2.0-0032754798&amp;doi=10.1016%2fS0168-6496%2899%2900074-4&amp;partnerID=40&amp;md5=790ed7e8cb3aa2bfe4975929c599d83a</t>
  </si>
  <si>
    <t>Ammonium/methylamine uptake; Kinetic experiment; Mycorrhiza; Paxillus involutus</t>
  </si>
  <si>
    <t>Nedumpara M.J., Moorman T.B., Jayachandran K.</t>
  </si>
  <si>
    <t>Effect of a vesicular-arbuscular mycorrhizal fungus (Glomus epigaeus) on herbicide uptake by roots</t>
  </si>
  <si>
    <t>10.1007/s003740050590</t>
  </si>
  <si>
    <t>https://www.scopus.com/inward/record.uri?eid=2-s2.0-0033388496&amp;doi=10.1007%2fs003740050590&amp;partnerID=40&amp;md5=055354ed49580a7deb2a0a193c2ced76</t>
  </si>
  <si>
    <t>Vesicular-arbuscular mycorrhizal (VAM) fungi increase root uptake of P and other minerals, but their role in the uptake of herbicides has received far less attention. These experiments were conducted to determine the effect of the VAM fungus, Glomus epigaeus (Daniels and Trappe), on the absorption of atrazine and trifluralin by roots of corn and soybean. Atrazine uptake by excised corn-root segments was consistently increased by the VAM fungus, but VAM enhancement of atrazine uptake by soybeans was less than that observed for corn. Roots from corn grown for 8 weeks in the greenhouse prior to the experiment took up 25 pmol mm-3 root, whereas non-mycorrhizal roots took up only 11 pmol mm-3 root. Soybean and corn root uptake of trifluralin was also enhanced by VAM infection. Addition of P did not increase herbicide uptake by non-VAM plants. The direct role of VAM hyphae on atrazine uptake was demonstrated using a two-chamber system, where only the fungal hyphae had access to 14C-atrazine-treated soil. Hyphal systems of the fungus were able to remove and transfer 14C-atrazine residues from soil to corn plants, demonstrating direct uptake of the herbicide by the fungal hyphae.</t>
  </si>
  <si>
    <t>Atrazine; Corn; Endomycorrhizal fungi; Soybean; Trifluralin</t>
  </si>
  <si>
    <t>Sun Y.-P., Unestam T., Lucas S.D., Johanson K.J., Kenne L., Finlay R.</t>
  </si>
  <si>
    <t>Exudation-reabsorption in a mycorrhizal fungus, the dynamic interface for interaction with soil and soil microorganisms</t>
  </si>
  <si>
    <t>10.1007/s005720050298</t>
  </si>
  <si>
    <t>https://www.scopus.com/inward/record.uri?eid=2-s2.0-0032710090&amp;doi=10.1007%2fs005720050298&amp;partnerID=40&amp;md5=f6fef601cb560ce82a40476e2ccd3ba7</t>
  </si>
  <si>
    <t>The mycelium of Suillus bovinus slowly absorbed [U-14C]glucose and other tracers from droplets placed on the cords, translocated them to the peripheral hyphae and exuded them into fluid drops on the hyphal tips. The exudate was characterized by 1H NMR spectroscopy and by sugar and amino acid analysis. The exuded compounds were mainly carbohydrates and peptides. Acetic acid and oxalic acid were also present in the exudate along with a number of unidentified compounds. Released ions (K, Na, Cl, P, Mg and Ca) were identified by X-ray microanalysis. The mycelium was shown to reabsorb up to 65% of the exuded 14C compounds in 2 days. Glucose, mannitol, glutamic acid (pH 3.2), and Rb+ (as well as other mineral ions) were all readily absorbed by the mycelium, while oxalic acid at pH 4.2 and glutamic acid at pH 6.5 were not. Exudation of fluid droplets on the surface of the hydrophobic mycorrhizal fungus S. bovinus may represent an ecophysiologically important function of the extramatrical hyphae, which provides an interface for interaction with the immediate hyphal environment and its other microorganisms where the peripheral hyphae exchange their photosynthetically derived products for nutrients to be used later by the pine host. We hypothesize that actively absorbed carbohydrates from the root are translocated to the peripheral hyphae along a concentration gradient of sugars and polyols by means of active translocation and diffusion in cell elements and by acropetal water transport in the cord vessels.</t>
  </si>
  <si>
    <t>Carbon and water translocation; Exudation; Mycelium-soil interface; Osmotic gradient pump; Reabsorption</t>
  </si>
  <si>
    <t>Natural 13C abundance reveals trophic status of fungi and host-origin of carbon in mycorrhizal fungi in mixed forests</t>
  </si>
  <si>
    <t>10.1073/pnas.96.15.8534</t>
  </si>
  <si>
    <t>https://www.scopus.com/inward/record.uri?eid=2-s2.0-0033587383&amp;doi=10.1073%2fpnas.96.15.8534&amp;partnerID=40&amp;md5=926095a6018246b5a4d8fb6e4f8e69a4</t>
  </si>
  <si>
    <t>Staddon P.L., Graves J.D., Fitter A.H.</t>
  </si>
  <si>
    <t>Effect of enhanced atmospheric CO2 on mycorrhizal colonization and phosphorus inflow in 10 herbaceous species of contrasting growth strategies</t>
  </si>
  <si>
    <t>10.1046/j.1365-2435.1999.00307.x</t>
  </si>
  <si>
    <t>https://www.scopus.com/inward/record.uri?eid=2-s2.0-0033061728&amp;doi=10.1046%2fj.1365-2435.1999.00307.x&amp;partnerID=40&amp;md5=1e81bd1b9a61fdfb550eda99ebd8f107</t>
  </si>
  <si>
    <t>Arbuscular mycorrhizas; Carbon partitioning; Elevated CO2; Glomus mosseae; Soil carbon storage</t>
  </si>
  <si>
    <t>Lipson D.A., Schadt C.W., Schmidt S.K., Monson R.K.</t>
  </si>
  <si>
    <t>Ectomycorrhizal transfer of amino acid-nitrogen to the alpine sedge Kobresia myosuroides</t>
  </si>
  <si>
    <t>10.1046/j.1469-8137.1999.00375.x</t>
  </si>
  <si>
    <t>https://www.scopus.com/inward/record.uri?eid=2-s2.0-0032903511&amp;doi=10.1046%2fj.1469-8137.1999.00375.x&amp;partnerID=40&amp;md5=c8b3fd79457a87456046e683d937ef9f</t>
  </si>
  <si>
    <t>Previous work in the Colorado alpine ecosystem has shown that amino acids are a potentially important N source for the sedge, Kobresia myosuroides. This plant is the only known sedge to harbour associations with ectomycorrhizal fungi. The aim of the present work was to test the hypothesis that these ectomycorrhizas transfer N from amino acids in the soil solution to the host plant, and thereby have an important role in the N nutrition of this species. We used a two-chamber system (rhizoboxes) in which K. myosuroides plants were separated from a soil chamber by nylon mesh that allowed fungal hyphae, but not plant roots, to cross it. Injections of [15N, 2-13C]glycine were made into the soil chamber. The hyphal crossings on half of the rhizoboxes were regularly disrupted to control for leakage of label across the barrier. Plants in the intact rhizoboxes showed significantly higher 15N enrichment than those in controls, and mycorrhizal root tips were significantly more enriched than bulk roots. The mycorrhizas transferred an average of 1.3% of the added 15N label to plants, a figure comparable to those obtained in previous studies in which plant roots were directly exposed to label. We conclude that fungal associations have an important role in the N nutrition of K. myosuroides by transferring N from amino acids to their hosts.</t>
  </si>
  <si>
    <t>Alpine; Amino acid; Cyperaceae; Ectomycorrhizas; Kobresia myosuroides; Nitrogen; Sedge</t>
  </si>
  <si>
    <t>Hobbie E.A., Macko S.A., Shugart H.H.</t>
  </si>
  <si>
    <t>Insights into nitrogen and carbon dynamics of ectomycorrhizal and saprotrophic fungi from isotopic evidence</t>
  </si>
  <si>
    <t>10.1007/s004420050736</t>
  </si>
  <si>
    <t>https://www.scopus.com/inward/record.uri?eid=2-s2.0-0032989665&amp;doi=10.1007%2fs004420050736&amp;partnerID=40&amp;md5=c266d25b3a5f8e791ad300a4a869e5ef</t>
  </si>
  <si>
    <t>Carbon isotope ratio; Mycorrhizal fungi; Nitrogen dynamics; Nitrogen isotope ratio; Succession</t>
  </si>
  <si>
    <t>Staddon P.L., Fitter A.H., Graves J.D.</t>
  </si>
  <si>
    <t>Effect of elevated atmospheric CO2 on mycorrhizal colonization, external mycorrhizal hyphal production and phosphorus inflow in Plantago lanceolata and Trifolium repens in association with the arbuscular mycorrhizal fungus Glomus mosseae</t>
  </si>
  <si>
    <t>10.1046/j.1365-2486.1999.00230.x</t>
  </si>
  <si>
    <t>https://www.scopus.com/inward/record.uri?eid=2-s2.0-0032781307&amp;doi=10.1046%2fj.1365-2486.1999.00230.x&amp;partnerID=40&amp;md5=57c97d60c4c47b0f589450b9ac01ce8c</t>
  </si>
  <si>
    <t>Arbuscular mycorrhizal colonization; Downregulation of photosynthesis; Enhanced carbon dioxide; Extraradical mycorrhizal hyphae; Phosphorus uptake; Soil carbon storage</t>
  </si>
  <si>
    <t>Andersen C.P., Rygiewicz P.T.</t>
  </si>
  <si>
    <t>Understanding plant-soil relationships using controlled environment facilities</t>
  </si>
  <si>
    <t>Advances in Space Research</t>
  </si>
  <si>
    <t>10.1016/S0273-1177(99)00484-6</t>
  </si>
  <si>
    <t>https://www.scopus.com/inward/record.uri?eid=2-s2.0-0033393953&amp;doi=10.1016%2fS0273-1177%2899%2900484-6&amp;partnerID=40&amp;md5=974438584c199980512a29b6ecd74ac3</t>
  </si>
  <si>
    <t>Although soil is a component of terrestrial ecosystems, it is comprised of a complex web of interacting organisms, and therefore can be considered itself as an ecosystem. Soil microflora and fauna derive energy from plants and plant residues and serve important functions in maintaining soil physical and chemical properties, thereby affecting net primary productivity (NPP), and in the case of contained environments, the quality of the life support system. We have been using 3 controlled-environment facilities (CEF's) that incorporate different levels of soil biological complexity and environmental control, and differ in their resemblance to natural ecosystems, to study relationships among plant physiology, soil ecology, fluxes of minerals and nutrients, and overall ecosystem function. The simplest system utilizes growth chambers and specialized root chambers with organic-less media to study the physiology of plant-mycorrhizal associations. A second system incorporates natural soil in open-top chambers to study soil bacterial and fungal population response to stress. The most complex CEF incorporates reconstructed soil profiles in a 'constructed' ecosystem, enabling close examination of the soil foodweb. Our results show that closed ecosystem research is important for understanding mechanisms of response to ecosystem stresses. In addition, responses observed at one level of biological complexity may not allow prediction of response at a different level of biological complexity. In closed life support systems, incorporating soil foodwebs will require less artificial manipulation to maintain system stability and sustainability.</t>
  </si>
  <si>
    <t>Carbon metabolism in spores of the arbuscular mycorrhizal fungus Glomus intraradices as revealed by nuclear magnetic resonance spectroscopy</t>
  </si>
  <si>
    <t>10.1104/pp.121.1.263</t>
  </si>
  <si>
    <t>https://www.scopus.com/inward/record.uri?eid=2-s2.0-0033198614&amp;doi=10.1104%2fpp.121.1.263&amp;partnerID=40&amp;md5=2086c66991810b4a51475ffcb79ad54e</t>
  </si>
  <si>
    <t>Arbuscular mycorrhizal (AM) fungi are obligate symbionts that colonize the roots of over 80% of plants in all terrestrial environments. Understanding why AM fungi do not complete their life cycle under free-living conditions has significant implications for the management of one of the world's most important symbioses. We used 13C-labeled substrates and nuclear magnetic resonance spectroscopy to study carbon fluxes during spore germination and the metabolic pathways by which these fluxes occur in the AM fungus Glomus intraradices. Our results indicate that during asymbiotic growth: (a) sugars are made from stored lipids; (b) trehalose (but not lipid) is synthesized as well as degraded; (c) glucose and fructose, but not mannitol, can be taken up and utilized; (d) dark fixation of CO2 is substantial; and (e) arginine and other amino acids are synthesized. The labeling patterns are consistent with significant carbon fluxes through gluconeogenesis, the glyoxylate cycle, the tricarboxylic acid cycle, glycolysis, non-photosynthetic one-carbon metabolism, the pentose phosphate pathway, and most or all of the urea cycle. We also report the presence of an unidentified betaine-like compound. Carbon metabolism during asymbiotic growth has features in between those presented by intraradical and extraradical hyphae in the symbiotic state.</t>
  </si>
  <si>
    <t>Staddon P.L., Fitter A.H., Robinson D.</t>
  </si>
  <si>
    <t>Effects of mycorrhizal colonization and elevated atmospheric carbon dioxide on carbon fixation and below-ground carbon partitioning in Plantago lanceolata</t>
  </si>
  <si>
    <t>10.1093/jxb/50.335.853</t>
  </si>
  <si>
    <t>https://www.scopus.com/inward/record.uri?eid=2-s2.0-0032979913&amp;doi=10.1093%2fjxb%2f50.335.853&amp;partnerID=40&amp;md5=034f160679c810db4edcda0f6db6c32d</t>
  </si>
  <si>
    <t>Arbuscular mycorrhizal fungi; Down-regulation of photosynthesis; Enhanced atmospheric CO2; Respiration; Soil carbon</t>
  </si>
  <si>
    <t>Robinson D., Fitter A.</t>
  </si>
  <si>
    <t>The magnitude and control of carbon transfer between plants linked by a common mycorrhizal network</t>
  </si>
  <si>
    <t>10.1093/jxb/50.330.9</t>
  </si>
  <si>
    <t>https://www.scopus.com/inward/record.uri?eid=2-s2.0-0032921388&amp;doi=10.1093%2fjxb%2f50.330.9&amp;partnerID=40&amp;md5=e4b28e91fc59e838634342f5a04b0dc7</t>
  </si>
  <si>
    <t>Various claims have been made about the ecological significance of plant-to-plant carbon movement through common mycorrhizal networks (CMNs). Most suggest that resource competition among interconnected plants should be less important than previously thought. If true, that would profoundly alter our perception of how plants interact among themselves and with their environment. However, there are difficulties in quantifying the amounts of resource transferred via CMNs, ensuring that transfer is genuinely through hyphae, not soil, and understanding its control. Carbon movement has not been quantified in many of the published studies. Where it has, its likely functional role has not been clarified. Some recent, well-publicized research suggests that carbon transferred to trees via an ectomycorrhizal (EcM) network may be physiologically and ecologically important. Our view, however, is that the evidence for this remains equivocal. Appropriate controls for the possibility of carbon transfer via soil were not used under field conditions. In laboratory experiments, controls failed to clarify the role of EcM links in carbon transfer. To resolve some areas of uncertainty, abundances of 13C have been measured to estimate carbon transfers via an arbuscular mycorrhizal (AM) network connecting grasses and forbs of the same of different species. Permeable barriers to roots and hyphae allowed any direct carbon transfer via soil to be detected. Large amounts of carbon (typically 10% of that roots) were transferred between linked plants via the CMN. Transferred carbon was never transported into shoots of 'receiver' plants. It remained in roots, probably inside fungal structures and, therefore, unavailable to the plants into which it was apparently transferred. Carbon transfer via an AM network does not allow 'resource sharing' among linked plants. It is probably irrelevant to the botanical components of a community, but it may be fundamental for fungal members. The 'mycocentric' view is that fungal structures within roots are parts of extended mycelia through which fungi move carbon according to their own carbon demands, not those of their autotrophic hosts.</t>
  </si>
  <si>
    <t>Arbuscular mycorrhiza; Carbon; Common mycorrhizal network; Ectomycorrhiza</t>
  </si>
  <si>
    <t>Wallenda T., Read D.J.</t>
  </si>
  <si>
    <t>Kinetics of amino acid uptake by ectomycorrhizal roots</t>
  </si>
  <si>
    <t>10.1046/j.1365-3040.1999.00385.x</t>
  </si>
  <si>
    <t>https://www.scopus.com/inward/record.uri?eid=2-s2.0-0032893297&amp;doi=10.1046%2fj.1365-3040.1999.00385.x&amp;partnerID=40&amp;md5=05bd6333fcfe27b14da998874bab7622</t>
  </si>
  <si>
    <t>It is well established that ectomycorrhizal fungi can use amino acids as nitrogen and carbon sources, but data on the kinetic properties of amino acid uptake systems of ectomycorrhizal systems are scarce. Using 14C-labelled compounds we have determined the kinetics of uptake of amino acids by excised ectomycorrhizal roots for a range of distinct mycorrhizal types from three tree species, beech, spruce, and pine. All mycorrhizal types examined took up amino acids via high-affinity transport systems (K(M) values ranging from 19 to 233 mmol m-3). A comparative analysis of kinetic parameters for uptake of amino acids and the ammonium analogue methylammonium showed that ectomycorrhizal roots have similar or even higher affinities (lower K(M) values) for the amino acids, indicating that absorption of these organic forms of nitrogen (N) can contribute significantly to total N uptake by ectomycorrhizal plants. Analysis of amino acid uptake by ectomycorrhizal roots collected along a European north/south gradient of increasing mineral N pollution from northern Sweden to south Germany revealed no obvious trend in the uptake capabilities for amino acids by ectomycorrhizal roots in relation to the location of the sampling site on this gradient. Rather, the fungal species forming a particular morphotype was the factor determining uptake kinetics. It can therefore be deduced that the species composition of the fungal community will contribute significantly to the functional diversity of a population of mycorrhizal roots.</t>
  </si>
  <si>
    <t>Amino acid; Ammonium; Ectomycorrhiza; K(M); Kinetics; Lactarius subdulcis; N cycle; Russula ochroleuca; Uptake; V(max)</t>
  </si>
  <si>
    <t>Green N.A., Meharg A.A., Till C., Troke J., Nicholson J.K.</t>
  </si>
  <si>
    <t>Degradation of 4-fluorobiphenyl by mycorrhizal fungi as determined by 19F nuclear magnetic resonance spectroscopy and 14C radiolabelling analysis</t>
  </si>
  <si>
    <t>10.1128/aem.65.9.4021-4027.1999</t>
  </si>
  <si>
    <t>https://www.scopus.com/inward/record.uri?eid=2-s2.0-0032866767&amp;doi=10.1128%2faem.65.9.4021-4027.1999&amp;partnerID=40&amp;md5=19b2120435b3ec110a77b1cdb2d92116</t>
  </si>
  <si>
    <t>The pathways of biotransformation of 4-fluorobiphenyl (4FBP) by the ectomycorrhizal fungus Tylospora fibrilosa and several other mycorrhizal fungi were investigated by using 19F nuclear magnetic resonance (NMR) spectroscopy in combination with 14C radioisotope-detected high-performance liquid chromatography (14C- HPLC). Under the conditions used in this study T. fibrillosa and some other species degraded 4FBP. 14C-HPLC profiles indicated that there were four major biotransformation products, whereas 19F NMR showed that there were six major fluorine-containing products. We confirmed that 4-fluorobiphen-4'-ol and 4-fluorobiphen-3'-ol were two of the major products formed, but no other products were conclusively identified. There was no evidence for the expected biotransformation pathway (namely, meta cleavage of the less halogenated ring), as none of the expected products of this route were found. To the best of our knowledge, this is the first report describing intermediates formed during mycorrhizal degradation of halogenated biphenyls.</t>
  </si>
  <si>
    <t>Kakei M., Clifford P.E.</t>
  </si>
  <si>
    <t>Effects of lime application and test branch position on 14C-photosynthate partitioning in 3-year-old Sitka spruce (Picea sitchensis) plants growing in pots containing peat soils</t>
  </si>
  <si>
    <t>Forestry</t>
  </si>
  <si>
    <t>10.1093/forestry/72.3.223</t>
  </si>
  <si>
    <t>https://www.scopus.com/inward/record.uri?eid=2-s2.0-0032848340&amp;doi=10.1093%2fforestry%2f72.3.223&amp;partnerID=40&amp;md5=3dbf4051080dfa95b82b3e31d093c13e</t>
  </si>
  <si>
    <t>Experiments were carried out to determine the effects of lime and test branch position on percentage 14C-distribution within the plant, sink activities of plant fractions and total 14C-recovered in plants. The investigation was conducted with 3-year-old Sitka spruce [Picea sitchensis (Bong.) Carr.] seedlings Planted in pots containing either limed or unlimed peat soils. To determine effects of test branch position on the above processes, upper test branches (UTB) and lower test branches (LTB) of plants were exposed to 14CO2 in October 1993, April 1994 and July 1994, These dates represented 100, 160 and 263 days after plants had been established under limed and unlimed conditions. Percentage 14C-distribution to the leader fraction decreased in October and increased in both April and July as a result of liming. In October, percentage 14C-distribution to the coarse-root fraction and sink activity of this fraction were increased by lime application. In July, the LTB and UTB of the limed plants retained 49 per cent and 51 per cent respectively higher concentrations of 14C as disintegrations per minute per gram dry weight compared with those of the unlimed plants. On all sampling occasions, sink activities of below-ground parts of the plant receiving 14C from the LTB were higher than when 14C was received from the UTB; such increases ranged from 55 per cent to over 300 per cent and were seemingly unrelated to liming treatment. In July, sink activity of above-ground parts of the limed plants importing 14C from the UTB was 100 per cent higher than when 14C was imported from the LTB. During the period of shoot elongation in April, both the UTB and LTB exported high percentages of their current photosynthate to the above-ground parts of the plant. When shoot elongation slowed down in July, the UTB and LTB exported high current photosynthate more equally to the above and below-ground parts of the plants. Concentrations of 14C per dry weight in the UTB themselves were as much as 162 per cent and 124 per cent higher than those in the LTB for April and July respectively. In October, total 14C-recovered in plants receiving 14C from the LTB was 77 per cent higher than that in plants receiving 14C from the UTB. Lime had no effect on the total 14C-recovered in plants when comparisons were made for a single test branch position. The stem and root fractions were the major sinks in the plant for the distribution of labelled carbon. Lime application decreased dry weight of fine roots in October and populations of mycorrhizae were decreased by liming on all sampling occasions.</t>
  </si>
  <si>
    <t>Carbon uptake and the metabolism and transport of lipids in an arbuscular mycorrhiza</t>
  </si>
  <si>
    <t>10.1104/pp.120.2.587</t>
  </si>
  <si>
    <t>https://www.scopus.com/inward/record.uri?eid=2-s2.0-0032811418&amp;doi=10.1104%2fpp.120.2.587&amp;partnerID=40&amp;md5=0dafcbecae0db78136ab29845159e9f4</t>
  </si>
  <si>
    <t>Both the plant and the fungus benefit nutritionally in the arbuscular mycorrhizal symbiosis: The host plant enjoys enhanced mineral uptake and the fungus receives fixed carbon. In this exchange the uptake, metabolism, and translocation of carbon by the fungal partner are poorly understood. We therefore analyzed the fate of isotopically labeled substrates in an arbuscular mycorrhiza (in vitro cultures of Ri T-DNA-transformed carrot [Daucus carota] roots colonized by Glomus intraradices) using nuclear magnetic resonance spectroscopy. Labeling patterns observed in lipids and carbohydrates after substrates were supplied to the mycorrhizal roots or the extraradical mycelium indicated that: (a) 13C-labeled glucose and fructose (but not mannitol or succinate) are effectively taken up by the fungus within the root and are metabolized to yield labeled carbohydrates and lipids; (b) the extraradical mycelium does not use exogenous sugars for catabolism, storage, or transfer to the host; (c) the fungus converts sugars taken up in the root compartment into lipids that are then translocated to the extraradical mycelium (there being little or no lipid synthesis in the external mycelium); and (d) hexose in fungal tissue undergoes substantially higher fluxes through an oxidative pentose phosphate pathway than does hexose in the host plant.</t>
  </si>
  <si>
    <t>Ceulemans R., Janssens I.A., Jach M.E.</t>
  </si>
  <si>
    <t>Effects of CO2 enrichment on trees and forests: Lessons to be learned in view of future ecosystem studies</t>
  </si>
  <si>
    <t>10.1006/anbo.1999.0945</t>
  </si>
  <si>
    <t>https://www.scopus.com/inward/record.uri?eid=2-s2.0-0032732372&amp;doi=10.1006%2fanbo.1999.0945&amp;partnerID=40&amp;md5=f446c05be6c600f2def7cca7f563a6f6</t>
  </si>
  <si>
    <t>Because of their prominent role in global bioproductivity and because of their complex structure and function, forests and tree species deserve particular attention in studies on the likely impact of elevated atmospheric CO2 on terrestrial vegetation. Besides a synoptic review of some of the most prominent above-ground response processes, particular attention is given to below-ground responses of trees to elevated atmospheric CO2, while some feedback processes and interactions with various biotic and abiotic factors are also briefly summarized. At the leaf level there is little evidence of the long-term loss of sensitivity to CO2 that was suggested by earlier experiments with tree seedlings in pots. Future studies on photosynthesis measurements will probably not alter our conclusions about acclimation, but should focus more on respiration under elevated CO2, which is still poorly understood. At the tree level, the increase in growth observed in elevated CO2 results from an increase in both leaf area and leaf photosynthetic rate (per unit leaf area). Tree growth enhancement is generally larger at high rates of nutrient supply; when nutrient supply rates do not meet growth rates, tree nutrient status declines and nutrients become limiting. In many studies at the canopy level, a shift in whole-tree carbon allocation pattern towards below-ground parts has been associated with increased atmospheric CO2 concentrations. At the ecosystem level, a larger amount of carbon being allocated below-ground could show up by either (1) more root growth and turnover, (2) enhanced activity of root-associated microorganisms, (3) larger microbial biomass pools and enhanced microbial activity, or (4) increased losses of soil carbon through soil respiration. Fine root production is generally enhanced, but it is not clear whether this response would persist in a forest. As elevated CO2 stimulates biomass production, litterfall and rhizode-position also increase. This increased delivery of labile organic matter to the soil could influence soil microbial communities and subsequent decomposition rates, nutrient availability and carbon storage in soil. There are, however, contradictory hypothesis about the direction in which nutrient availability will be affected. Knowledge of the response of these and other ecophysiological processes to elevated CO2 is the key to understanding the functioning of the whole forest ecosystem. Our current knowledge is sufficiently large with regard to how the carbon uptake process and individual tree growth respond under atmospheric changes, but more emphasis should be put in future experiments on the interactions between various processes, such as the carbon and nitrogen cycles, and on below-ground responses.</t>
  </si>
  <si>
    <t>Below-ground processes; Decomposition; Elevated CO2; Forests; Global climatic changes; Mycorrhizae; Roots; Trees</t>
  </si>
  <si>
    <t>Andrews J.A., Harrison K.G., Matamala R., Schlesinger W.H.</t>
  </si>
  <si>
    <t>Separation of root respiration using carbon-13 labeling during free-air carbon enrichment (FACE)</t>
  </si>
  <si>
    <t>10.2136/sssaj1999.6351429x</t>
  </si>
  <si>
    <t>https://www.scopus.com/inward/record.uri?eid=2-s2.0-0032711784&amp;doi=10.2136%2fsssaj1999.6351429x&amp;partnerID=40&amp;md5=dedd53388e0b37981c1823a0d0263aa6</t>
  </si>
  <si>
    <t>Soil respiration constitutes a major component of the global carbon cycle and is likely to be altered by climatic change. However, there is an incomplete understanding of the extent to which various processes contribute to total soil respiration, especially the contributions of root and rhizosphere respiration. Here, using a stable carbon isotope tracer, we separate the relative contributions of root and soil heterotrophic respiration to total soil respiration in situ. The Free-Air Carbon dioxide Enrichment (FACE) facility in the Duke University Forest (NC) fumigates plots of an undisturbed loblolly pine (Pinus taeda L.) forest with CO2 that is strongly depleted in 13C. This labeled CO2 is found in the soil pore space through live root and mycorrhizal respiration and soil heterotroph respiration of labile root exudates. By measuring the depletion of 13CO2 in the soil system, we found that the rhizosphere contribution to soil CO2 reflected the distribution of fine roots in the soil and that late in the growing season roots contributed 55% of total soil respiration at the surface. This estimate may represent an upper limit on the contribution of roots to soil respiration because high atmospheric CO2 often increases in root density and/or root activity in the soil.Soil respiration constitutes a major component of the global carbon cycle and is likely to be altered by climatic change. However, there is an incomplete understanding of the extent to which various processes contribute to total soil respiration, especially the contributions of root and rhizosphere respiration. Here, using a stable carbon isotope tracer, we separate the relative contributions of root and soil heterotrophic respiration to total soil respiration in situ. The Free-Air Carbon dioxide Enrichment (FACE) facility in the Duke University Forest (NC) fumigates plots of an undisturbed loblolly pine (Pinus taeda L.) forest with CO2 that is strongly depleted in 13C. This labeled CO2 is found in the soil pore space through live root and mycorrhizal respiration and soil labile root exudates. By measuring the depletion of 13CO2 in the soil system, we found that the rhizosphere contribution to soil CO2 reflected the distribution of fine roots in the soil and that late in the growing season roots contributed 55% of total soil respiration at the surface. This estimate may represent an upper limit on the contribution of roots to soil respiration because high atmospheric CO2 often increases in root density and/or root activity in the soil.</t>
  </si>
  <si>
    <t>Brigmon R.L., Anderson T.A., Fliermans C.B.</t>
  </si>
  <si>
    <t>Methanotrophic bacteria in the rhizosphere of trichloroethylene-degrading plants</t>
  </si>
  <si>
    <t>10.1080/15226519908500018</t>
  </si>
  <si>
    <t>https://www.scopus.com/inward/record.uri?eid=2-s2.0-0000609905&amp;doi=10.1080%2f15226519908500018&amp;partnerID=40&amp;md5=ef11ee57118386d4b75e0e06673c69c3</t>
  </si>
  <si>
    <t>The presence and density of methanotrophic bacteria has been shown to play an important role in the bioremediation of trichloroethylene (TCE). This article describes the methanotrophic bacterial densities in rhizosphere soils from two areas of the Department of Energy's Savannah River Site in Aiken, South Carolina. A direct fluorescent antibody (DFA) technique was evaluated to determine the presence of methanotrophic bacteria in roots and rhizospheres from vascular plants. The first site, the Miscellaneous Chemical Basin (MCB), was contaminated with a mixture of chemicals, including chlorinated solvents. The second site will be potentially affected by outcropping of TCE-contaminated groundwater. Significantly higher numbers of methanotrophic bacteria were observed with DFA in rhizosphere soils and on roots of Lespedeza cuneata and Pinus taeda (that previously showed higher rates of 14C-TCE mineralization) compared with nonvegetated soils. In addition, viable and heterotrophic microbial counts were consistently higher in rhizosphere soils and on plant roots compared with nonvegetated soils. Therefore, the presence of these plant species may enhance 14C-TCE mineralization by selectively increasing the microbial population in the root zone. Methanotrophic bacteria were directly observed by DFA in soils, on the surface of root hairs, within plant roots, and in higher densities associated with mycorrhizal fungi. These experiments provide further evidence that specific types of bacterial interactions with vegetation in the rhizosphere may play an important role in remediation of TCE-contaminated soils and groundwater.</t>
  </si>
  <si>
    <t>Methanotrophic bacteria; Rhizosphere soils; Trichloroethylene</t>
  </si>
  <si>
    <t>Staddon P.L., Fitter A.H.</t>
  </si>
  <si>
    <t>Does elevated atmospheric carbon dioxide affect arbuscular mycorrhizas?</t>
  </si>
  <si>
    <t>Trends in Ecology and Evolution</t>
  </si>
  <si>
    <t>10.1016/S0169-5347(98)01493-1</t>
  </si>
  <si>
    <t>https://www.scopus.com/inward/record.uri?eid=2-s2.0-0032213631&amp;doi=10.1016%2fS0169-5347%2898%2901493-1&amp;partnerID=40&amp;md5=9dcd0c0aa929122f0da27f24c3644b9a</t>
  </si>
  <si>
    <t>It is well established that an increase in the concentration of atmospheric CO2 stimulates plant growth. Recently, many researchers have concluded that elevated CO2 concentrations also stimulate mycorrhizal colonization. However, new evidence suggests that the observed CO2 effects on arbuscular mycorrhizal fungi are indirect and are a result of faster plant growth at higher CO2 concentrations. Potential changes to species assemblages of mycorrhizal fungi could affect soil carbon storage and, consequently, the feedback effects of terrestrial soil-vegetation systems on global environmental change.</t>
  </si>
  <si>
    <t>Jones M.D., Durall D.M., Tinker P.B.</t>
  </si>
  <si>
    <t>A comparison of arbuscular and ectomycorrhizal Eucalyptus coccifera : Growth response, phosphorus uptake efficiency and external hyphal production</t>
  </si>
  <si>
    <t>10.1046/j.1469-8137.1998.00253.x</t>
  </si>
  <si>
    <t>https://www.scopus.com/inward/record.uri?eid=2-s2.0-0031756450&amp;doi=10.1046%2fj.1469-8137.1998.00253.x&amp;partnerID=40&amp;md5=32eeb43e5b1873a00e711692d7582eb1</t>
  </si>
  <si>
    <t>Carbon allocation; Eucalyptus; External hyphae; Mycorrhizas; Phosphorus</t>
  </si>
  <si>
    <t>Fitter A.H., Graves J.D., Watkins N.K., Robinson D., Scrimgeour C.</t>
  </si>
  <si>
    <t>Carbon transfer between plants and its control in networks of arbuscular mycorrhizas</t>
  </si>
  <si>
    <t>10.1046/j.1365-2435.1998.00206.x</t>
  </si>
  <si>
    <t>https://www.scopus.com/inward/record.uri?eid=2-s2.0-0031857790&amp;doi=10.1046%2fj.1365-2435.1998.00206.x&amp;partnerID=40&amp;md5=52223f672b7bbf13ad4bb6ca81ae4195</t>
  </si>
  <si>
    <t>13C; Arbuscular mycorrhiza; C3; C4; Carbon transport; Stable isotopes</t>
  </si>
  <si>
    <t>Effect of enhanced atmospheric CO2 on mycorrhizal colonization by Glomus mosseae in Plantago lanceolata and Trifolium repens</t>
  </si>
  <si>
    <t>10.1046/j.1469-8137.1998.00206.x</t>
  </si>
  <si>
    <t>https://www.scopus.com/inward/record.uri?eid=2-s2.0-0031949820&amp;doi=10.1046%2fj.1469-8137.1998.00206.x&amp;partnerID=40&amp;md5=38163da8affbafd8c0bda8256cf8db87</t>
  </si>
  <si>
    <t>Carbon storage; Elevated CO2; Glomus mosseae (Nicol. and Gerd.) Gerdemann and Trappe; Mycorrhizal colonization; Mycorrhizal functioning</t>
  </si>
  <si>
    <t>Rouhier H., Read D.J.</t>
  </si>
  <si>
    <t>The role of mycorrhiza in determining the response of Plantago lanceolata to Co2 enrichment</t>
  </si>
  <si>
    <t>10.1046/j.1469-8137.1998.00200.x</t>
  </si>
  <si>
    <t>https://www.scopus.com/inward/record.uri?eid=2-s2.0-0031853249&amp;doi=10.1046%2fj.1469-8137.1998.00200.x&amp;partnerID=40&amp;md5=22e51b93a91bbb51484e5bd7ff24e714</t>
  </si>
  <si>
    <t>Arbuscular mycorrhiza; CO2 enrichment; Fungal colonization; Phosphorus inflow; Plant growth</t>
  </si>
  <si>
    <t>Boreal forest plants take up organic nitrogen</t>
  </si>
  <si>
    <t>10.1038/31921</t>
  </si>
  <si>
    <t>https://www.scopus.com/inward/record.uri?eid=2-s2.0-2042520757&amp;doi=10.1038%2f31921&amp;partnerID=40&amp;md5=c9082c1c64b6c0f24f561fcdeb9acd70</t>
  </si>
  <si>
    <t>Plant growth in the boreal forest, the largest terrestrial biome, is generally limited by the availability of nitrogen. 'The presumed cause of this limitation is slow mineralization of soil organic nitrogen. Here we demonstrate, to our knowledge for the first time, the uptake of organic nitrogen in the field by the trees Pinus sylvestris and Picea abies, the dwarf shrub Vaccinium myrtillus and the grass Deschampsia flexuosa. These results show that these plants, irrespective of their different types of root-fungal associations (mycorrhiza), bypass nitrogen mineralization. A trace of the amino acid glycine, labelled with the stable isotopes 13C and 15N, was injected into the organic (mor) layer of an old successional boreal coniferous forest. Ratios of 13C:15N in the roots showed that at least 91, 64 and 42% of the nitrogen from the absorbed glycine was taken up in intact glycine by the dwarf shrub, the grass and the trees, respectively. Rates of glycine uptake were similar to those of 15N-ammonium. Our data indicate that organic nitrogen is important for these different plants, even when they are competing with each other and with non-symbiotic microorganisms. This has major implications for our understanding of the effects of nitrogen deposition, global warming and intensified forestry.</t>
  </si>
  <si>
    <t>Maier W., Schneider B., Strack D.</t>
  </si>
  <si>
    <t>Biosynthesis of sesquiterpenoid cyclohexenone derivatives in mycorrhizal barley roots proceeds via the glyceraldehyde 3-phosphate/pyruvate pathway</t>
  </si>
  <si>
    <t>Tetrahedron Letters</t>
  </si>
  <si>
    <t>10.1016/S0040-4039(97)10673-6</t>
  </si>
  <si>
    <t>https://www.scopus.com/inward/record.uri?eid=2-s2.0-0032510160&amp;doi=10.1016%2fS0040-4039%2897%2910673-6&amp;partnerID=40&amp;md5=9d3451804fab4edef92d911d793ea9ff</t>
  </si>
  <si>
    <t>Incorporation of [1-13C]- and [U-13C6]glucose indicates that the biosynthesis of sesquiterpenoid cyclohexenone derivatives in mycorrhizal barley roots proceeds via the glyceraldehyde 3-phosphate/pyruvate non-mevalonate pathway.</t>
  </si>
  <si>
    <t>Tansley review no. 95 natural abundance in soil-plant systems</t>
  </si>
  <si>
    <t>10.1046/j.1469-8137.1997.00808.x</t>
  </si>
  <si>
    <t>https://www.scopus.com/inward/record.uri?eid=2-s2.0-2642705826&amp;doi=10.1046%2fj.1469-8137.1997.00808.x&amp;partnerID=40&amp;md5=ee68dd65ae13d6c6db48d10bdb51f3cb</t>
  </si>
  <si>
    <t>15N abundance; Nitrogen; Plants; Soils</t>
  </si>
  <si>
    <t>Solaiman Md.Z., Saito M.</t>
  </si>
  <si>
    <t>Use of sugars by intraradical hyphae of arbuscular mycorrhizal fungi revealed by radiorespirometry</t>
  </si>
  <si>
    <t>10.1046/j.1469-8137.1997.00757.x</t>
  </si>
  <si>
    <t>https://www.scopus.com/inward/record.uri?eid=2-s2.0-0031472002&amp;doi=10.1046%2fj.1469-8137.1997.00757.x&amp;partnerID=40&amp;md5=0a725cc44e4675658fa5d13355897c58</t>
  </si>
  <si>
    <t>Arbuscular mycorrhizal fungi; Glucose metabolism; Intraradical hyphae; Radiorespirometry</t>
  </si>
  <si>
    <t>Miller J.E., Shafer S.R., Schoeneberger M.M., Pursley W.A., Horton S.J., Davey C.B.</t>
  </si>
  <si>
    <t>Influence of a mycorrhizal fungus and/or rhizobium on growth and biomass partitioning of subterranean clover exposed to ozone</t>
  </si>
  <si>
    <t>10.1023/A:1026496420809</t>
  </si>
  <si>
    <t>https://www.scopus.com/inward/record.uri?eid=2-s2.0-0030613240&amp;doi=10.1023%2fA%3a1026496420809&amp;partnerID=40&amp;md5=d41c49ec0c693062a56cd7f0b686b36c</t>
  </si>
  <si>
    <t>The influence of soilborne symbionts such as rhizobia or mycorrhizal fungi on plant response to ozone (O3) has not been well defined. Leguminous plants in the field are infected by both types of organisms, which influence plant nutrition and growth. We studied the effects of infection with Rhizobium leguminosarum biovar trifolii and/or Gigaspora margarita on response of subterranean clover (Trifolium subterraneum L. cv Mr. Barker) to O3. Exposures were conducted in greenhouse CSTR chambers using four O3 concentrations [charcoal-filtered (CF), 50, 100, or 150 ppb; 6 h day-1, 5 day wk-1 for 12 weeks] as main plots (replicated). Four inoculum types were subplot treatments, i.e., inoculated with one, both, or neither microorganisms. At 2-wk intervals, plants were exposed to 14CO2 and harvested 24 h later for determination of biomass and 14C content of shoots and roots. Ozone at 100 or 150 ppb suppressed clover growth during the experiment. Inoculation with G. margarita alone suppressed clover growth by the last two harvests, whereas R. leguminosarum alone enhanced growth during this time period. When both symbionts were present, the plants grew similarly to the noninoculated controls. Shoot/root ratios were increased by 100 or 150 ppb O3 compared to that for CF-treated plants. Shoot/root ratios were greater for all inoculated plants compared to noninoculated controls. Under low O3 stress (CF or 50 ppb), plants inoculated with both R. leguminosarum and G. margarita transported a greater proportion of recent photosynthate (14C) to roots than did noninoculated plants; we attribute this to metabolic requirements of the microorganisms. At the highest level of O3 stress (150 ppb), this did not occur, probably because little photosynthate was available and the shoots retained most of it for repair of injury. Statistically significant interactions occurred between O3 and inoculum types for shoot and total biomass. When averaged across harvests, 50 ppb O3 suppressed biomass in the plants inoculated with G. margarita alone. Apparently, the mycorrhizal fungus is such a significant C drain that even a small amount of O3 stress suppresses plant growth under these conditions.</t>
  </si>
  <si>
    <t>Rhizobia; VAM</t>
  </si>
  <si>
    <t>Thakur A.K., Spanwar J.D.</t>
  </si>
  <si>
    <t>Response of Rhizobium-vesicular arbuscular mycorrhizal symbionts on photosynthesis, nitrogen metabolism and sucrose translocation in greengram (Phaseolus radiatus)</t>
  </si>
  <si>
    <t>Indian Journal of Agricultural Science</t>
  </si>
  <si>
    <t>https://www.scopus.com/inward/record.uri?eid=2-s2.0-0030827197&amp;partnerID=40&amp;md5=bd219e438ebf31dc380e8b11320f4e34</t>
  </si>
  <si>
    <t>A field experiment was conducted during rainy season of 1994 to study the response of 'PS 16' and 'Pusa 105' greengram (Phaseolus radiatus L.) to Rhizobium- and vesicular arbuscular mycorrhizal (VAM) fungi. Rhizobium-treated plants had larger leaf area (9.10%), higher chlorophyll content (11.40%) and photosynthesis activity (21.65%), transpiration (15.89%) and stomatal conductance (19.35%) than untreated ones, and thus had higher dry-matter production. Inoculation increased the nodulation, nitrate reductase and nitrogenase activity, but the response was significantly higher in the Rhizobium- and VAM-inoculated plants. The translocation pattern ( 14C sucrose) was more towards underground portion in dual-inoculated plants compared with single inoculation and the uninoculated control. 'Pusa 105' greengram showed higher activity than 'PS 16' and dual inoculation proved better than single inoculation.</t>
  </si>
  <si>
    <t>Greengram; Phaseolus radiatus; Physiological process; Rhizobiun; VAM</t>
  </si>
  <si>
    <t>10.1007/BF02407207</t>
  </si>
  <si>
    <t>https://www.scopus.com/inward/record.uri?eid=2-s2.0-85130800261&amp;doi=10.1007%2fBF02407207&amp;partnerID=40&amp;md5=989441fcb88599d2cdbbd62e76eaabf6</t>
  </si>
  <si>
    <t>rhizobia; VAM</t>
  </si>
  <si>
    <t>An Improved Procedure for Root Surface Disinfection Suitable for Observations of Proliferation of Intraradical Hyphae of Arbuscular Mycorrhizal Fungus Glomus fistulosum</t>
  </si>
  <si>
    <t>Folia Microbiologica</t>
  </si>
  <si>
    <t>10.1007/BF02826559</t>
  </si>
  <si>
    <t>https://www.scopus.com/inward/record.uri?eid=2-s2.0-0347683565&amp;doi=10.1007%2fBF02826559&amp;partnerID=40&amp;md5=7c774b8a34587b19e312626a6334162a</t>
  </si>
  <si>
    <t>A disinfection procedure for mycorrhizal root segment surface was improved using neomycin and polymyxin B besides sodium hypochlorite, streptomycin and penicillin G, to obtain clean material for observation of proliferation of hyphae of arbuscular mycorrhizal (AM) fungi. The procedure of surface disinfection is more efficient, in terms of incidence of contamination, compared to the original procedure involving only sodium hypochlorite, streptomycin and penicillin G. A further decrease of visually detectable contamination can be achieved using bacteriostatic concentrations of rolitetracycline which cause a decrease of hyphal growth of the AM fungus Glomus fistulosum. The technique was used in experiment studying the uptake of U-14C-glucose by proliferating hyphae. An active uptake of glucose occurred even in the presence of all four antibiotics at concentrations of 500 mg/L.</t>
  </si>
  <si>
    <t>Gaskin J.L., Fletcher J.</t>
  </si>
  <si>
    <t>The Metabolism of Exogenously Provided Atrazine by the Ectomycorrhizal Fungus Hebeloma crustuliniforme and the Host Plant Pinus ponderosa</t>
  </si>
  <si>
    <t>ACS Symposium Series</t>
  </si>
  <si>
    <t>10.1021/bk-1997-0664.ch011</t>
  </si>
  <si>
    <t>https://www.scopus.com/inward/record.uri?eid=2-s2.0-0346510786&amp;doi=10.1021%2fbk-1997-0664.ch011&amp;partnerID=40&amp;md5=dcbe04d047ef29b44776b7d12f76e243</t>
  </si>
  <si>
    <t>The mineralization of atrazine by mycorrhizal fungi was examined. The percent mineralization was determined by comparing the amount of 14CO2 evolved from the plant and plant-fungus systems when measured amounts of 14C-labeled atrazine were provided under axenic conditions in specially designed exposure chambers. The percent mineralization was 0.1 and 0.3, respectively, for the plant and plant-fungus systems. The study demonstrated that an ectomycorrhizal fungus in association with its host plant increased the metabolism of exogenously provided atrazine above that of the plant by itself, thereby supporting the proposed use of plant-fungal systems in bioremediation of contaminated soils.</t>
  </si>
  <si>
    <t>Marschner P., Crowley D.E., Higashi R.M.</t>
  </si>
  <si>
    <t>Root exudation and physiological status of a root-colonizing fluorescent pseudomonad in mycorrhizal and non-mycorrhizal pepper (Capsicum annuum L.)</t>
  </si>
  <si>
    <t>10.1023/A:1004266907442</t>
  </si>
  <si>
    <t>https://www.scopus.com/inward/record.uri?eid=2-s2.0-0031008543&amp;doi=10.1023%2fA%3a1004266907442&amp;partnerID=40&amp;md5=900695a99152bde3181ad294adbf1d0f</t>
  </si>
  <si>
    <t>The effect of mycorrhizal infection on root exudation and the survival and physiological status of a bioluminescent fluorescent pseudomonad on the roots of pepper was examined. Pepper plants were grown for 27 days in split-root microcosms with one side mycorrhizal with Glomus deserticola (GD) or Glomus intraradices (GI) while the other side was non-mycorrhizal. Plants with both sides non-mycorrhizal served as controls. The soil was inoculated with a bioluminescent fluorescent pseudomonad (P. fluorescens 2-79RL). This strain emits light in its exponential growth phase, such that the length of the lag phase prior to bioluminescence can be used to assess the physiological status of the bacterium. Mycorrhizal infection had no significant effect on plant growth. The percent root length infected was 8% for GD and 34% for GI. After pulse-labeling of the shoots with 14CO2, quartz filter strips were used to collect 14C labeled root exudates at specific locations on the roots. Compared with the non-mycorrhizal roots, GI decreased 14C labeled root exudation by 78% at the root tip and by 50% at the older root parts. GD had no effect on 114C labeled root exudation. Rhizosphere soil solutions collected with quartz filter strips were analyzed for amino acids and organic acids by GC-MS. The overall pattern of the chromatograms of the rhizosphere soil solution was similar in the non-mycorrhizal and the mycorrhizal roots. The number of peaks detected was higher in the non-mycorrhizal roots than in the mycorrhizal roots. Compared with the non-mycorrhizal plants, GI decreased the population density of P. fluorescens 2-79RL on the roots by one order of magnitude, both on the mycorrhizal and the non-mycorrhizal side. GD decreased the population density by one order of magnitude only on the side where the fungus was present. The physiological status of P fluorescens 2-79RL on the roots, as measured by the length of the lag phase prior to bioluminescence, decreased significantly from day 3 to day 6 and remained at a similar level thereafter. Mycorrhizal infection had little effect on the physiological status. Compared to the non-mycorrhizal plants, GI increased the physiological status of P fluorescens 2-79RL only during the first 6 days, while GD had no effect at all. It is concluded that mycorrhizal infection may decrease root exudation and alter the composition of the rhizosphere soil solution, thereby reducing the population density of certain bacterial groups in the rhizosphere.</t>
  </si>
  <si>
    <t>arbuscular mycorrhiza; bioluminescence; Pseudomonas fluorescens; rhizosphere</t>
  </si>
  <si>
    <t>Graves J.D., Watkins N.K., Fitter A.H., Robinson D., Scrimgeour C.</t>
  </si>
  <si>
    <t>Intraspecific transfer of carbon between plants linked by a common mycorrhizal network</t>
  </si>
  <si>
    <t>10.1023/A:1004257812555</t>
  </si>
  <si>
    <t>https://www.scopus.com/inward/record.uri?eid=2-s2.0-0030847361&amp;doi=10.1023%2fA%3a1004257812555&amp;partnerID=40&amp;md5=b1e1269ccea049ec7b76ce8b7a54eede</t>
  </si>
  <si>
    <t>To quantify the involvement of arbuscular mycorrhiza (AM) fungi in the intraspecific transport of carbon (C) between plants we fumigated established Festuca ovina turf for one week with air containing depleted 13C. This labelled current assimilate in a section of mycorrhizal or non-mycorrhizal turf. Changes in the (13/12)C ratio of adjacent, unfumigated plants, therefore, allowed the movement of C between labelled and unlabelled plants to be estimated. In mycorrhizal turves, 41% of the C exported to the roots from the leaves was transported to neighbouring plants. The most likely explanation of this is was the transport of C via a common hyphal network connecting the roots of different plants. No inter-plant transport of C was detected in non-mycorrhizal turves. There was no evidence that the C left fungal structures and entered the roots of receiver plants. Mycorrhizal colonisation increased carbon transport from leaves to root from 10% of fixed carbon when non-mycorrhizal to 36% in mycorrhizal turves. These results suggest that AM fungi impose a significantly greater C drain on host plants than was previously thought.</t>
  </si>
  <si>
    <t>Carbon and nitrogen flow in silver birch and Norway spruce connected by a common mycorrhizal mycelium</t>
  </si>
  <si>
    <t>10.1007/s005720050148</t>
  </si>
  <si>
    <t>https://www.scopus.com/inward/record.uri?eid=2-s2.0-0030437690&amp;doi=10.1007%2fs005720050148&amp;partnerID=40&amp;md5=bc2fdb962c9ad862cee7125d41a5a57b</t>
  </si>
  <si>
    <t>13C; 15N; Fungus; Mycelial links; Scleroderma citrinum</t>
  </si>
  <si>
    <t>Watkins N.K., Fitter A.H., Graves J.D., Robinson D.</t>
  </si>
  <si>
    <t>Carbon transfer between C3 and C4 plants linked by a common mycorrhizal network, quantified using stable carbon isotopes</t>
  </si>
  <si>
    <t>10.1016/0038-0717(95)00189-1</t>
  </si>
  <si>
    <t>https://www.scopus.com/inward/record.uri?eid=2-s2.0-0030114740&amp;doi=10.1016%2f0038-0717%2895%2900189-1&amp;partnerID=40&amp;md5=0d056dcb6322cc4918f76e6d0d3a906b</t>
  </si>
  <si>
    <t>Bell T.L., Pate J.S.</t>
  </si>
  <si>
    <t>Nitrogen and phosphorus nutrition in mycorrhizal epacridaceae of south-west Australia</t>
  </si>
  <si>
    <t>10.1006/anbo.1996.0047</t>
  </si>
  <si>
    <t>https://www.scopus.com/inward/record.uri?eid=2-s2.0-0001620089&amp;doi=10.1006%2fanbo.1996.0047&amp;partnerID=40&amp;md5=2f10fcb467a2c440272e5ead029a486d</t>
  </si>
  <si>
    <t>Amino acids; Epacridaceae; Mycorrhizal nutrition; Nitrogen; Phosphorus; South-west Australia; Xylem transport</t>
  </si>
  <si>
    <t>Berntson G.M., Bazzaz F.A.</t>
  </si>
  <si>
    <t>Belowground positive and negative feedbacks on CO2 growth enhancement</t>
  </si>
  <si>
    <t>Plant and Soil: An International Journal on Plant-Soil Relationships</t>
  </si>
  <si>
    <t>10.1007/BF00017085</t>
  </si>
  <si>
    <t>https://www.scopus.com/inward/record.uri?eid=2-s2.0-84951614298&amp;doi=10.1007%2fBF00017085&amp;partnerID=40&amp;md5=cc524763375513fdead915eee4205084</t>
  </si>
  <si>
    <t>C/N; CO2; feedback; mycorrhizae; net primary productivity; root architecture; soil organic matter</t>
  </si>
  <si>
    <t>ANDERSEN C.P., RYGIEWICZ P.T.</t>
  </si>
  <si>
    <t>Allocation of carbon in mycorrhizal Pinus ponderosa seedlings exposed to ozone</t>
  </si>
  <si>
    <t>10.1111/j.1469-8137.1995.tb03084.x</t>
  </si>
  <si>
    <t>https://www.scopus.com/inward/record.uri?eid=2-s2.0-0029176685&amp;doi=10.1111%2fj.1469-8137.1995.tb03084.x&amp;partnerID=40&amp;md5=f13e7c92d40d7d581de158584e517ea0</t>
  </si>
  <si>
    <t>Carbon allocation; Hebeloma crustuliniforme; ozone; Pinus Ponderosa</t>
  </si>
  <si>
    <t>Shachar-Hill Y., Pfeffer P.E., Douds D., Osman S.F., Doner L.W., Ratcliffe R.G.</t>
  </si>
  <si>
    <t>Partitioning of intermediary carbon metabolism in vesicular-arbuscular mycorrhizal leek</t>
  </si>
  <si>
    <t>https://www.scopus.com/inward/record.uri?eid=2-s2.0-0029132615&amp;partnerID=40&amp;md5=b0f80c72298f2eb60eec2694ce35ae96</t>
  </si>
  <si>
    <t>Vesicular-arbuscular mycorrhizal fungi are symbionts for a large variety of crop plants; however, the form in which they take up carbon from the host is not established. To trace the course of carbon metabolism, we have used nuclear magnetic resonance spectroscopy with [13C]glucose labeling in vivo and in extracts to examine leek (Allium porrum) roots colonized by Glomus etunicatum (and uncolonized controls) as well as germinating spores. These studies implicate glucose as a likely substrate for vesicular-arbuscular mycorrhizal fungi in the symbiotic state. Root feeding of 0.6 HIM 1-[13C]glucose labeled only the fungal metabolites trehalose and glycogen. The time course of this labeling was dependent on the status of the host. Incubation with 50 mM 1-[13C]glucose caused labeling of sucrose (in addition to fungal metabolites) with twice as much labeling in uncolonized plants. There was no detectable scrambling of the label from C1 glucose to the C6 position of glucose moieties in trehalose or glycogen. Labeling of mannitol C1,6 in the colonized root tissue was much less than in axenically germinating spores. Thus, carbohydrate metabolism of host and fungus are significantly altered in the symbiotic state.</t>
  </si>
  <si>
    <t>Effect of clipping, benomyl, and genet on 14C transfer between mycorrhizal plants</t>
  </si>
  <si>
    <t>10.2307/3546272</t>
  </si>
  <si>
    <t>https://www.scopus.com/inward/record.uri?eid=2-s2.0-0028163387&amp;doi=10.2307%2f3546272&amp;partnerID=40&amp;md5=10c845866e33e894ca3914b3e72281f0</t>
  </si>
  <si>
    <t>DURALL D.M., TODD A.W., TRAPPE J.M.</t>
  </si>
  <si>
    <t>10.1111/j.1469-8137.1994.tb02976.x</t>
  </si>
  <si>
    <t>https://www.scopus.com/inward/record.uri?eid=2-s2.0-0028118070&amp;doi=10.1111%2fj.1469-8137.1994.tb02976.x&amp;partnerID=40&amp;md5=148cab80180e41ed23b3f6b210c744fa</t>
  </si>
  <si>
    <t>cellulose; Hemicellulose; needles; Pseudotsuga; pure culture synthesis</t>
  </si>
  <si>
    <t>TINKER P.B., DURALL D.M., JONES M.D.</t>
  </si>
  <si>
    <t>Carbon use efficiency in mycorrhizas theory and sample calculations</t>
  </si>
  <si>
    <t>10.1111/j.1469-8137.1994.tb03994.x</t>
  </si>
  <si>
    <t>https://www.scopus.com/inward/record.uri?eid=2-s2.0-0028093838&amp;doi=10.1111%2fj.1469-8137.1994.tb03994.x&amp;partnerID=40&amp;md5=c73f97c63eb144d0009d7506624cb3ef</t>
  </si>
  <si>
    <t>ZARB J., WALTERS D.R.</t>
  </si>
  <si>
    <t>The effects of polyamine biosynthesis inhibitors on growth, enzyme activities and polyamine concentrations in the mycorrhizal fungus Laccaria proxima</t>
  </si>
  <si>
    <t>10.1111/j.1469-8137.1994.tb07534.x</t>
  </si>
  <si>
    <t>https://www.scopus.com/inward/record.uri?eid=2-s2.0-0028045255&amp;doi=10.1111%2fj.1469-8137.1994.tb07534.x&amp;partnerID=40&amp;md5=129549224109609cf0dcb36bbf5d50a4</t>
  </si>
  <si>
    <t>DURALL D.M., JONES M.D., TINKER P.B.</t>
  </si>
  <si>
    <t>10.1111/j.1469-8137.1994.tb03993.x</t>
  </si>
  <si>
    <t>https://www.scopus.com/inward/record.uri?eid=2-s2.0-0028010439&amp;doi=10.1111%2fj.1469-8137.1994.tb03993.x&amp;partnerID=40&amp;md5=38b0c9e5cfee2682108f66bba4926ce5</t>
  </si>
  <si>
    <t>14Carbon; carbon allocation; ectomycorrhiza; respiration; Salix (willow)</t>
  </si>
  <si>
    <t>DURALL D.M., MARSHALL J.D., JONES M.D., CRAWFORD R., TRAPPE J.M.</t>
  </si>
  <si>
    <t>Morphological changes and photosynthate allocation in ageing Hebeloma crustuliniforme (Bull.) Quel. and Laccaria bicolor (Maire) Orton mycorrhizas of Pinus ponderosa Dougl. ex. Laws</t>
  </si>
  <si>
    <t>10.1111/j.1469-8137.1994.tb02975.x</t>
  </si>
  <si>
    <t>https://www.scopus.com/inward/record.uri?eid=2-s2.0-0027974389&amp;doi=10.1111%2fj.1469-8137.1994.tb02975.x&amp;partnerID=40&amp;md5=4bc0b277e63a64424838707c9f397581</t>
  </si>
  <si>
    <t>14C translocation; Ectomycorrhizas; Hebeloma crustuliniforme; Laccaria bicolor; root ageing</t>
  </si>
  <si>
    <t>Zarb J., Walters D.R.</t>
  </si>
  <si>
    <t>Letters in Applied Microbiology</t>
  </si>
  <si>
    <t>10.1111/j.1472-765X.1994.tb00963.x</t>
  </si>
  <si>
    <t>https://www.scopus.com/inward/record.uri?eid=2-s2.0-0027960321&amp;doi=10.1111%2fj.1472-765X.1994.tb00963.x&amp;partnerID=40&amp;md5=781197fd6a2d8add9923e67f984de33e</t>
  </si>
  <si>
    <t>PEARSON J.N., JAKOBSEN I.</t>
  </si>
  <si>
    <t>Symbiotic exchange of carbon and phosphorus between cucumber and three arbuscular mycorrhizal fungi</t>
  </si>
  <si>
    <t>10.1111/j.1469-8137.1993.tb03839.x</t>
  </si>
  <si>
    <t>https://www.scopus.com/inward/record.uri?eid=2-s2.0-84986947159&amp;doi=10.1111%2fj.1469-8137.1993.tb03839.x&amp;partnerID=40&amp;md5=11f72483f436aa0531f6c536fc47201a</t>
  </si>
  <si>
    <t>carbon; Mycorrhiza; phosphorus; respiration</t>
  </si>
  <si>
    <t>PEARSON J.N., SCHWEIGER P.</t>
  </si>
  <si>
    <t>Scutellospora calospora (Nicol. &amp; Gerd.) Walker &amp; Sanders associated with subterranean clover: dynamics of colonization, sporulation and soluble carbohydrates</t>
  </si>
  <si>
    <t>10.1111/j.1469-8137.1993.tb03810.x</t>
  </si>
  <si>
    <t>https://www.scopus.com/inward/record.uri?eid=2-s2.0-0027796474&amp;doi=10.1111%2fj.1469-8137.1993.tb03810.x&amp;partnerID=40&amp;md5=30aa972b4b2decdaf845a3a9d84ab7d9</t>
  </si>
  <si>
    <t>Arbuscular mycorrhiza; carbohydrates; colonization; spores</t>
  </si>
  <si>
    <t>Eissenstat D.M., Graham J.H., Syvertsen J.P., Drouillard D.L.</t>
  </si>
  <si>
    <t>Carbon economy of sour orange in relation to mycorrhizal colonization and phosphorus status</t>
  </si>
  <si>
    <t>10.1006/anbo.1993.1001</t>
  </si>
  <si>
    <t>https://www.scopus.com/inward/record.uri?eid=2-s2.0-0002694231&amp;doi=10.1006%2fanbo.1993.1001&amp;partnerID=40&amp;md5=77e79a707ae6abdc4f051dedbcb3b075</t>
  </si>
  <si>
    <t>14carbon; Carbon economy; Citrus durant ium L; CO2assimilation; Phosphorus fertilization; Phosphorus nutrition; Sour orange; Vesicular-arbuscular mycorrhizae</t>
  </si>
  <si>
    <t>Martins M.A.</t>
  </si>
  <si>
    <t>The role of the external mycelial network of vesicular-arbuscular mycorrhizal fungi: a study of carbon transfer between plants interconnected by a common mycelium</t>
  </si>
  <si>
    <t>10.1007/BF00203252</t>
  </si>
  <si>
    <t>https://www.scopus.com/inward/record.uri?eid=2-s2.0-0027029278&amp;doi=10.1007%2fBF00203252&amp;partnerID=40&amp;md5=0519cdb846f52d11cad64ddb759b42c8</t>
  </si>
  <si>
    <t>14C transfer; Vesicular-arbuscular mycorrhiza</t>
  </si>
  <si>
    <t>CAIRNEY J.W.G., ALEXANDER I.J.</t>
  </si>
  <si>
    <t>A study of ageing of spruce [Picea sitchensis (Bong.) Carr.] ectomycorrhizas. II. Carbohydrate allocation in ageing Picea sitchensis/Tylospora fibrillosa (Burt.) Donk ectomycorrhizas</t>
  </si>
  <si>
    <t>10.1111/j.1469-8137.1992.tb00061.x</t>
  </si>
  <si>
    <t>https://www.scopus.com/inward/record.uri?eid=2-s2.0-84987041042&amp;doi=10.1111%2fj.1469-8137.1992.tb00061.x&amp;partnerID=40&amp;md5=79d35fea2981f4ee866948c64464f6cc</t>
  </si>
  <si>
    <t>ageing; carbon accumulation; Ectomycorrhizas; translocation</t>
  </si>
  <si>
    <t>CLAPPERTON M.J., REID D.M.</t>
  </si>
  <si>
    <t>10.1111/j.1469-8137.1992.tb01078.x</t>
  </si>
  <si>
    <t>https://www.scopus.com/inward/record.uri?eid=2-s2.0-84986977010&amp;doi=10.1111%2fj.1469-8137.1992.tb01078.x&amp;partnerID=40&amp;md5=19dcc1ba7081a417705978129598b114</t>
  </si>
  <si>
    <t>Bauer T., Blechschmidt-Schneider S., Eschrich W.</t>
  </si>
  <si>
    <t>Regulation of photoassimilate allocation in Pinus sylvestris seedlings by the nutritional status of the mycorrhizal fungus Suillus variegatus</t>
  </si>
  <si>
    <t>Trees</t>
  </si>
  <si>
    <t>10.1007/BF00225333</t>
  </si>
  <si>
    <t>https://www.scopus.com/inward/record.uri?eid=2-s2.0-0006070777&amp;doi=10.1007%2fBF00225333&amp;partnerID=40&amp;md5=fd2d4ed6c50c8c73e12a4971fb7a4a99</t>
  </si>
  <si>
    <t>Microautoradiography; Mycorrhiza; Pinus sylvestris; Suillus variegatus</t>
  </si>
  <si>
    <t>GORISSEN A., JOOSTEN N.N., JANSEN A.E.</t>
  </si>
  <si>
    <t>Effects of ozone and ammonium sulphate on carbon partitioning to mycorrhizal roots of juvenile Douglas fir</t>
  </si>
  <si>
    <t>10.1111/j.1469-8137.1991.tb01027.x</t>
  </si>
  <si>
    <t>https://www.scopus.com/inward/record.uri?eid=2-s2.0-84987043553&amp;doi=10.1111%2fj.1469-8137.1991.tb01027.x&amp;partnerID=40&amp;md5=86f6dc3ffdb25807cc3bcdde69795729</t>
  </si>
  <si>
    <t>ammonium sulphate; carbon partitioning; Douglas fir (Pseudotsuga menziesii); mycorrhiza; ozone</t>
  </si>
  <si>
    <t>10.1111/j.1469-8137.1991.tb00994.x</t>
  </si>
  <si>
    <t>https://www.scopus.com/inward/record.uri?eid=2-s2.0-84986976554&amp;doi=10.1111%2fj.1469-8137.1991.tb00994.x&amp;partnerID=40&amp;md5=9c561240496312e02f5fd89f243ba355</t>
  </si>
  <si>
    <t>10.1111/j.1469-8137.1991.tb01026.x</t>
  </si>
  <si>
    <t>https://www.scopus.com/inward/record.uri?eid=2-s2.0-84986946668&amp;doi=10.1111%2fj.1469-8137.1991.tb01026.x&amp;partnerID=40&amp;md5=8ecc12ce891781e6297d7f7283badf04</t>
  </si>
  <si>
    <t>Carbon allocation; ectomycorrhiza; liming; mycelium; pine</t>
  </si>
  <si>
    <t>Hunt H.W., Trlica M.J., Redente E.F., Moore J.C., Detling J.K., Kittel T.G.F., Walter D.E., Fowler M.C., Klein D.A., Elliott E.T.</t>
  </si>
  <si>
    <t>Simulation model for the effects of climate change on temperate grassland ecosystems</t>
  </si>
  <si>
    <t>Ecological Modelling</t>
  </si>
  <si>
    <t>C</t>
  </si>
  <si>
    <t>10.1016/0304-3800(91)90157-V</t>
  </si>
  <si>
    <t>https://www.scopus.com/inward/record.uri?eid=2-s2.0-0026295786&amp;doi=10.1016%2f0304-3800%2891%2990157-V&amp;partnerID=40&amp;md5=59ca774f60ec85e22b2c2449b7f0b0d2</t>
  </si>
  <si>
    <t>JONES M.D., DURALL D.M., TINKER P.B.</t>
  </si>
  <si>
    <t>Fluxes of carbon and phosphorus between symbionts in willow ectomycorrhizas and their changes with time</t>
  </si>
  <si>
    <t>10.1111/j.1469-8137.1991.tb01012.x</t>
  </si>
  <si>
    <t>https://www.scopus.com/inward/record.uri?eid=2-s2.0-0026282103&amp;doi=10.1111%2fj.1469-8137.1991.tb01012.x&amp;partnerID=40&amp;md5=2c6877b3ff56072680fea34122d9b885</t>
  </si>
  <si>
    <t>Carbon; ectomycorrhizas; phosphorus acquisition efficiency; Salix; Thelephora terrestris</t>
  </si>
  <si>
    <t>Stress Interactions and mycorrhizal plant response: Understanding carbon allocation priorities</t>
  </si>
  <si>
    <t>10.1016/0269-7491(91)90051-W</t>
  </si>
  <si>
    <t>https://www.scopus.com/inward/record.uri?eid=2-s2.0-0025919036&amp;doi=10.1016%2f0269-7491%2891%2990051-W&amp;partnerID=40&amp;md5=0733f200971cd525dc53beb93602d646</t>
  </si>
  <si>
    <t>Martin F.M.</t>
  </si>
  <si>
    <t>Nuclear Magnetic Resonance Studies of Ectomycorrhizal Fungi</t>
  </si>
  <si>
    <t>Methods in Microbiology</t>
  </si>
  <si>
    <t>10.1016/S0580-9517(08)70175-2</t>
  </si>
  <si>
    <t>https://www.scopus.com/inward/record.uri?eid=2-s2.0-0001322289&amp;doi=10.1016%2fS0580-9517%2808%2970175-2&amp;partnerID=40&amp;md5=b3131a7346515558e0dc48590973a37c</t>
  </si>
  <si>
    <t>Haselwandter K., Bobleter O., Read D.J.</t>
  </si>
  <si>
    <t>Degradation of 14C-labelled lignin and dehydropolymer of coniferyl alcohol by ericoid and ectomycorrhizal fungi</t>
  </si>
  <si>
    <t>10.1007/BF00249004</t>
  </si>
  <si>
    <t>https://www.scopus.com/inward/record.uri?eid=2-s2.0-0025267983&amp;doi=10.1007%2fBF00249004&amp;partnerID=40&amp;md5=e9085ad0f015c499f01e8a15929af779</t>
  </si>
  <si>
    <t>Decomposition; Ericoid and ectomycorrhizal fungi; Hymenoscyphus ericae; Lignin degradation; Oidiodendron griseum; Organic matter; Paxillus involutus; Rhizopogon roseolus; Soil; Suillus bovinus</t>
  </si>
  <si>
    <t>JAKOBSEN I., ROSENDAHL L.</t>
  </si>
  <si>
    <t>Carbon flow into soil and external hyphae from roots of mycorrhizal cucumber plants</t>
  </si>
  <si>
    <t>10.1111/j.1469-8137.1990.tb00924.x</t>
  </si>
  <si>
    <t>https://www.scopus.com/inward/record.uri?eid=2-s2.0-84986980147&amp;doi=10.1111%2fj.1469-8137.1990.tb00924.x&amp;partnerID=40&amp;md5=6c82bc1a27f9faa0ddd16c1d83e79f28</t>
  </si>
  <si>
    <t>Miller S.L., Durall D.M., Rygiewicz P.T.</t>
  </si>
  <si>
    <t>Extramatrical hyphae as sinks for carbon in ectomycorrhizal pine seedlings</t>
  </si>
  <si>
    <t>10.1016/0167-8809(90)90022-6</t>
  </si>
  <si>
    <t>https://www.scopus.com/inward/record.uri?eid=2-s2.0-0345423749&amp;doi=10.1016%2f0167-8809%2890%2990022-6&amp;partnerID=40&amp;md5=278ef0d16ef7f0db2ee60c52f69845d4</t>
  </si>
  <si>
    <t>Norton J.M., Smith J.L., Firestone M.K.</t>
  </si>
  <si>
    <t>Carbon flow in the rhizosphere of ponderosa pine seedlings</t>
  </si>
  <si>
    <t>10.1016/0038-0717(90)90177-2</t>
  </si>
  <si>
    <t>https://www.scopus.com/inward/record.uri?eid=2-s2.0-0025623956&amp;doi=10.1016%2f0038-0717%2890%2990177-2&amp;partnerID=40&amp;md5=3e3f822c0730b058cf006bb53261701f</t>
  </si>
  <si>
    <t>Abuzinadah R.A., Read D.J.</t>
  </si>
  <si>
    <t>Carbon transfer associated with assimilation of organic nitrogen sources by silver birch (Betula pendula Roth.)</t>
  </si>
  <si>
    <t>10.1007/BF00202396</t>
  </si>
  <si>
    <t>https://www.scopus.com/inward/record.uri?eid=2-s2.0-0002164883&amp;doi=10.1007%2fBF00202396&amp;partnerID=40&amp;md5=864d210e4c985bb5f77e7518b8a02f08</t>
  </si>
  <si>
    <t>Betula pendula; Hebeloma crustuliniforme; Heterotrophic carbon assimilation; Mycorrhiza; Shade tolerance</t>
  </si>
  <si>
    <t>CAIRNEY J.W.G., ASHFORD A.E., ALLAWAY W.G.</t>
  </si>
  <si>
    <t>Distribution of photosynthetically fixed carbon within root systems of Eucalyptus pilularis plants ectomycorrhizal with Pisolithus tinctorius</t>
  </si>
  <si>
    <t>10.1111/j.1469-8137.1989.tb00343.x</t>
  </si>
  <si>
    <t>https://www.scopus.com/inward/record.uri?eid=2-s2.0-84987014291&amp;doi=10.1111%2fj.1469-8137.1989.tb00343.x&amp;partnerID=40&amp;md5=a8c6bac6b478cadb70740fbb7efdf129</t>
  </si>
  <si>
    <t>ageing; carbon transfer; Ectomycorrhizas; translocation</t>
  </si>
  <si>
    <t>10.1111/j.1469-8137.1989.tb00328.x</t>
  </si>
  <si>
    <t>https://www.scopus.com/inward/record.uri?eid=2-s2.0-0024881496&amp;doi=10.1111%2fj.1469-8137.1989.tb00328.x&amp;partnerID=40&amp;md5=7a07b655d8cded19d265d7aae0a7d8ea</t>
  </si>
  <si>
    <t>auxin; Ectomycorrhiza; growth effects; hormone theory; photosynthesis; respiration; translocation</t>
  </si>
  <si>
    <t>Pacoysky R.S., Fuller G.</t>
  </si>
  <si>
    <t>10.1111/j.1399-3054.1988.tb06373.x</t>
  </si>
  <si>
    <t>https://www.scopus.com/inward/record.uri?eid=2-s2.0-85024827036&amp;doi=10.1111%2fj.1399-3054.1988.tb06373.x&amp;partnerID=40&amp;md5=938951451ef1ac0c517e026a393956eb</t>
  </si>
  <si>
    <t>AL ABRAS K., BILGER I., MARTIN F., LE TACON F., LAPEYRIE F.</t>
  </si>
  <si>
    <t>torphological and physiological changes in ectomycorrhizas of spruce [Picea excelsa (Lam.) Link] associated with ageing</t>
  </si>
  <si>
    <t>10.1111/j.1469-8137.1988.tb00293.x</t>
  </si>
  <si>
    <t>https://www.scopus.com/inward/record.uri?eid=2-s2.0-84987013749&amp;doi=10.1111%2fj.1469-8137.1988.tb00293.x&amp;partnerID=40&amp;md5=96bd86b772a2dd28572bdfb7ad3f98c1</t>
  </si>
  <si>
    <t>ageing; morphology; Mycorrhiza; Picea excelsa; respiration</t>
  </si>
  <si>
    <t>10.1111/j.1469-8137.1988.tb03695.x</t>
  </si>
  <si>
    <t>https://www.scopus.com/inward/record.uri?eid=2-s2.0-84982560434&amp;doi=10.1111%2fj.1469-8137.1988.tb03695.x&amp;partnerID=40&amp;md5=21b08ecb485c6cd03718c22a470a0884</t>
  </si>
  <si>
    <t>HARRIS D., PACOVSKY R.S., PAUL E.A.</t>
  </si>
  <si>
    <t>10.1111/j.1469-8137.1985.tb02849.x</t>
  </si>
  <si>
    <t>https://www.scopus.com/inward/record.uri?eid=2-s2.0-84982522110&amp;doi=10.1111%2fj.1469-8137.1985.tb02849.x&amp;partnerID=40&amp;md5=a6d7ef9ed7d89d971e02e4905bb96185</t>
  </si>
  <si>
    <t>ALEXANDER C., HADLEY G.</t>
  </si>
  <si>
    <t>CARBON MOVEMENT BETWEEN HOST AND MYCORRHIZAL ENDOPHYTE DURING THE DEVELOPMENT OF THE ORCHID GOODYERA REPENS Br</t>
  </si>
  <si>
    <t>10.1111/j.1469-8137.1985.tb02871.x</t>
  </si>
  <si>
    <t>https://www.scopus.com/inward/record.uri?eid=2-s2.0-84982073419&amp;doi=10.1111%2fj.1469-8137.1985.tb02871.x&amp;partnerID=40&amp;md5=0fdefecbe771ecd4c8d86771fead85e4</t>
  </si>
  <si>
    <t>carbon movement; Goodyera repens; mycorrhiza; Orchid; translocation</t>
  </si>
  <si>
    <t>Decomposition of 14C-labelled lignin, holocellulose and lignocellulose by mycorrhizal fungi</t>
  </si>
  <si>
    <t>10.1007/BF00402000</t>
  </si>
  <si>
    <t>https://www.scopus.com/inward/record.uri?eid=2-s2.0-0021175746&amp;doi=10.1007%2fBF00402000&amp;partnerID=40&amp;md5=5e8de3738115253d3bc3c0832a1f91c7</t>
  </si>
  <si>
    <t>14C-DHP degradation; Lignin degradation; Lignocellulose degradation; Litter decomposition; Mycorrhizal fungi</t>
  </si>
  <si>
    <t>HADLEY G.</t>
  </si>
  <si>
    <t>UPTAKE OF [14C]GLUCOSE BY ASYMBIOTIC AND MYCORRHIZAL ORCHID PROTOCORMS</t>
  </si>
  <si>
    <t>10.1111/j.1469-8137.1984.tb03563.x</t>
  </si>
  <si>
    <t>https://www.scopus.com/inward/record.uri?eid=2-s2.0-84982624929&amp;doi=10.1111%2fj.1469-8137.1984.tb03563.x&amp;partnerID=40&amp;md5=17b25dbbfa77269d2564714893bbca7a</t>
  </si>
  <si>
    <t>glucose uptake; mycorrhiza; Orchids; protocorm; symbiosis</t>
  </si>
  <si>
    <t>Stanton N.L.</t>
  </si>
  <si>
    <t>The effect of clipping and phytophagous nematodes on net primary production of blue grama, Bouteloua gracilis.</t>
  </si>
  <si>
    <t>10.2307/3544589</t>
  </si>
  <si>
    <t>https://www.scopus.com/inward/record.uri?eid=2-s2.0-0020696646&amp;doi=10.2307%2f3544589&amp;partnerID=40&amp;md5=394590ad2069ae55770bb8d5121068d5</t>
  </si>
  <si>
    <t>Non-mycorrhizal blue grama were subjected to 3 levels of both above-ground (0, moderate and heavy clipping) and belowground (0, 50 or 500 phytophagous nematodes per pot) herbivory. Net primary production (NPP), including shoots and crowns, decreased significantly with clipping and nematode infection. Roots also declined with clipping, but moderate nematode infection (50) on unclipped plants significantly increased root weight although NPP was still less. Phytophagous nematode densities decreased with heavy clipping but increased with moderate clipping to over three times the control (unclipped) lvel. Bacterial feeding nematode densities were depressed both by heavy clipping and by moderate clipping combined with high phytophagous nematode numbers. -Author</t>
  </si>
  <si>
    <t>SNELLGROVE R.C., SPLITTSTOESSER W.E., STRIBLEY D.P., TINKER P.B.</t>
  </si>
  <si>
    <t>10.1111/j.1469-8137.1982.tb03364.x</t>
  </si>
  <si>
    <t>https://www.scopus.com/inward/record.uri?eid=2-s2.0-84982061705&amp;doi=10.1111%2fj.1469-8137.1982.tb03364.x&amp;partnerID=40&amp;md5=ec663eef46e56c2ebef2be4c3fb52897</t>
  </si>
  <si>
    <t>Vogt K.A., Grier C.C., Meier C.E., Edmonds R.L.</t>
  </si>
  <si>
    <t>Mycorrhizal role in net primary production and nutrient cycling in Abies amabilis ecosystems in western Washington.</t>
  </si>
  <si>
    <t>10.2307/1938955</t>
  </si>
  <si>
    <t>https://www.scopus.com/inward/record.uri?eid=2-s2.0-0020447561&amp;doi=10.2307%2f1938955&amp;partnerID=40&amp;md5=93ca8814654bd0d850b0ce8f1bb30517</t>
  </si>
  <si>
    <t>The potential contribution of mycorrhizal fungi to total ecosystem biomass and turnover and nutrient distribution and turnover was examined in a 23-yr-old and a 180-yr-old Pacific silver fir stand. While mycorrhizal fungi contributed roughly 1% to total ecosystem biomass in both stands, the percentage of net primary production (NPP) in the mycorrhizal fungal component was 14% in the younger stand and 15% in the mature stand. Mycorrhizal fungi plus conifer fine roots contributed 45% of NPP in the young stand and 75% in the mature stand. Sclerotia production (2700 kg ha-1yr-1) contributed the largest proportion of total mycorrhizal fungal production in both stands followed by mycorrhizal sheath production (350 kg ha-1 yr-1 and 430 kg ha-1 yr-1 in the young and mature stands, respectively). Potentially, 27 kg ha-1 yr-1 of N is cycled through sporocarps in the young stand and 41 kg ha-1 yr-1 in the mature stand. Annually, fine roots (including mycorrhizae) cycle at least 60, 10, 20, 30 and 10 kg ha-1 yr-1 of N, P, K, Ca and Mg, respectively, are cycled through fine roots in the mature stand. -Authors</t>
  </si>
  <si>
    <t>RAVEN J.A.</t>
  </si>
  <si>
    <t>NUTRITIONAL STRATEGIES OF SUBMERGED BENTHIC PLANTS: THE ACQUISITION OF C, N AND P BY RHIZOPHYTES AND HAPTOPHYTES</t>
  </si>
  <si>
    <t>10.1111/j.1469-8137.1981.tb04564.x</t>
  </si>
  <si>
    <t>https://www.scopus.com/inward/record.uri?eid=2-s2.0-84982656477&amp;doi=10.1111%2fj.1469-8137.1981.tb04564.x&amp;partnerID=40&amp;md5=f5e408a62238ffb31cce4e5ccd75df75</t>
  </si>
  <si>
    <t>Stanton N.L., Allen M., Campion M.</t>
  </si>
  <si>
    <t>The effect of the pesticide carbofuran on soil organisms and root and shoot production in shortgrass prairie</t>
  </si>
  <si>
    <t>Journal of Applied Ecology</t>
  </si>
  <si>
    <t>10.2307/2402403</t>
  </si>
  <si>
    <t>https://www.scopus.com/inward/record.uri?eid=2-s2.0-0019815511&amp;doi=10.2307%2f2402403&amp;partnerID=40&amp;md5=e3addbccf0ef1dc4f58bf757a76bcfc2</t>
  </si>
  <si>
    <t>To test the hypothesis that ectoparasitic phytophagous nematodes are a major consumer of primary production in arid grasslands, carbofuran was applied once in each of two successive years at 12 lb active ingredient/acre to plots of undisturbed prairie in northeastern Colorado. Bacterial feeding and phytophagous nematodes were reduced to 10% of the density on untreated plots but micro- and macro-arthropods were apparently unaffected. Species composition of the fungal flora of the treated soil was greatly changed and colony counts reduced but incidence of mycorrhizae was unaffected. Although root weight measured in the autumn was significantly greater under treated plots (by 130-150 g m-2 and about 25% of NPP) shoot production was not, possibly due to below average summer rainfall in both years. Nevertheless, the results suggest that nematodes may be the most significant consumer in shortgrass prairies.</t>
  </si>
  <si>
    <t>Nordby H.E., Nemec S., Nagy S.</t>
  </si>
  <si>
    <t>Fatty Acids and Sterols Associated with Citrus Root Mycorrhizae</t>
  </si>
  <si>
    <t>Journal of Agricultural and Food Chemistry</t>
  </si>
  <si>
    <t>10.1021/jf00104a043</t>
  </si>
  <si>
    <t>https://www.scopus.com/inward/record.uri?eid=2-s2.0-0000040077&amp;doi=10.1021%2fjf00104a043&amp;partnerID=40&amp;md5=a6cb99139d7ecdbe8b327cbf56b245e6</t>
  </si>
  <si>
    <t>Englander L., Hull R.J.</t>
  </si>
  <si>
    <t>RECIPROCAL TRANSFER OF NUTRIENTS BETWEEN ERICACEOUS PLANTS AND A CLAVARIA SP.</t>
  </si>
  <si>
    <t>10.1111/j.1469-8137.1980.tb04779.x</t>
  </si>
  <si>
    <t>https://www.scopus.com/inward/record.uri?eid=2-s2.0-84985351627&amp;doi=10.1111%2fj.1469-8137.1980.tb04779.x&amp;partnerID=40&amp;md5=1717f6e5ef1f176b433f5045b4d28d4e</t>
  </si>
  <si>
    <t>10.1111/j.1469-8137.1979.tb07466.x</t>
  </si>
  <si>
    <t>https://www.scopus.com/inward/record.uri?eid=2-s2.0-84985335868&amp;doi=10.1111%2fj.1469-8137.1979.tb07466.x&amp;partnerID=40&amp;md5=fb79dddc721a95caac00a6f02f04fdf6</t>
  </si>
  <si>
    <t>Reid C.P.P., Mexal J.G.</t>
  </si>
  <si>
    <t>Water stress effects on root exudation by lodgepole pine</t>
  </si>
  <si>
    <t>10.1016/0038-0717(77)90021-9</t>
  </si>
  <si>
    <t>https://www.scopus.com/inward/record.uri?eid=2-s2.0-0043023822&amp;doi=10.1016%2f0038-0717%2877%2990021-9&amp;partnerID=40&amp;md5=67cba566b88ba127f752bf84eaba276e</t>
  </si>
  <si>
    <t>HADLEY G., PURVES S.</t>
  </si>
  <si>
    <t>MOVEMENT OF 14CARBON FROM HOST TO FUNGUS IN ORCHID MYCORRHIZA</t>
  </si>
  <si>
    <t>10.1111/j.1469-8137.1974.tb02126.x</t>
  </si>
  <si>
    <t>https://www.scopus.com/inward/record.uri?eid=2-s2.0-84981633081&amp;doi=10.1111%2fj.1469-8137.1974.tb02126.x&amp;partnerID=40&amp;md5=003c20a2ad7c2953ae2f0649c9af8975</t>
  </si>
  <si>
    <t>STRIBLEY D.P., READ D.J.</t>
  </si>
  <si>
    <t>10.1111/j.1469-8137.1974.tb01301.x</t>
  </si>
  <si>
    <t>https://www.scopus.com/inward/record.uri?eid=2-s2.0-0001465405&amp;doi=10.1111%2fj.1469-8137.1974.tb01301.x&amp;partnerID=40&amp;md5=b6ad2ef1c79de6ddd9e784510a785fcf</t>
  </si>
  <si>
    <t>PEARSON V., READ D.J.</t>
  </si>
  <si>
    <t>THE BIOLOGY OF MYCORRHIZA IN THE ERICACEAE</t>
  </si>
  <si>
    <t>10.1111/j.1469-8137.1973.tb02110.x</t>
  </si>
  <si>
    <t>https://www.scopus.com/inward/record.uri?eid=2-s2.0-84981636212&amp;doi=10.1111%2fj.1469-8137.1973.tb02110.x&amp;partnerID=40&amp;md5=12bdf78cf94c0c2bc8b032a6ee01261c</t>
  </si>
  <si>
    <t>Lister G.R., Slankis V., Krotkov G., Nelson C.D.</t>
  </si>
  <si>
    <t>The growth and physiology of Pinus strobus L. seedlings as affected by various nutritional levels of nitrogen and phosphorus</t>
  </si>
  <si>
    <t>10.1093/oxfordjournals.aob.a084197</t>
  </si>
  <si>
    <t>https://www.scopus.com/inward/record.uri?eid=2-s2.0-0348094212&amp;doi=10.1093%2foxfordjournals.aob.a084197&amp;partnerID=40&amp;md5=734acd80c3f4afeae3daad6b2582d6fc</t>
  </si>
  <si>
    <t>SMITH S.E.</t>
  </si>
  <si>
    <t>CARBOHYDRATE TRANSLOCATION IN ORCHID MYCORRHIZAS</t>
  </si>
  <si>
    <t>10.1111/j.1469-8137.1967.tb06016.x</t>
  </si>
  <si>
    <t>https://www.scopus.com/inward/record.uri?eid=2-s2.0-84979316272&amp;doi=10.1111%2fj.1469-8137.1967.tb06016.x&amp;partnerID=40&amp;md5=59e5dc46c71457527a2008cfbe9aa393</t>
  </si>
  <si>
    <t>LEWIS D.H., HARLEY J.L.</t>
  </si>
  <si>
    <t>CARBOHYDRATE PHYSIOLOGY OF MYCORRHIZAL ROOTS OF BEECH: II. UTILIZATION OF EXOGENOUS SUGARS BY UNINEECTED AND MYCORRHIZAL ROOTS</t>
  </si>
  <si>
    <t>10.1111/j.1469-8137.1965.tb05394.x</t>
  </si>
  <si>
    <t>https://www.scopus.com/inward/record.uri?eid=2-s2.0-84979326127&amp;doi=10.1111%2fj.1469-8137.1965.tb05394.x&amp;partnerID=40&amp;md5=ff2027dff0b3b5eb9f8c69f0fd09db4a</t>
  </si>
  <si>
    <t>CARBOHYDRATE PHYSIOLOGY OF MYCORRHIZAL ROOTS OF BEECH: III. MOVEMENT OF SUGARS BETWEEN HOST AND FUNGUS</t>
  </si>
  <si>
    <t>10.1111/j.1469-8137.1965.tb05395.x</t>
  </si>
  <si>
    <t>https://www.scopus.com/inward/record.uri?eid=2-s2.0-84979316448&amp;doi=10.1111%2fj.1469-8137.1965.tb05395.x&amp;partnerID=40&amp;md5=98ddfc508d3b686a8bc2e8844e710453</t>
  </si>
  <si>
    <t>HARLEY J.L.</t>
  </si>
  <si>
    <t>INCORPORATION OF CARBON DIOXIDE INTO EXCISED BEECH MYCORRHIZAS IN THE PRESENCE AND ABSENCE OF AMMONIA</t>
  </si>
  <si>
    <t>10.1111/j.1469-8137.1964.tb07372.x</t>
  </si>
  <si>
    <t>https://www.scopus.com/inward/record.uri?eid=2-s2.0-84979309277&amp;doi=10.1111%2fj.1469-8137.1964.tb07372.x&amp;partnerID=40&amp;md5=f0ce2b700c15fef9310bd78ec6f5e0ca</t>
  </si>
  <si>
    <t>colonization_perc</t>
  </si>
  <si>
    <t>temp_C</t>
  </si>
  <si>
    <t>lat</t>
  </si>
  <si>
    <t>long</t>
  </si>
  <si>
    <t>pot_field</t>
  </si>
  <si>
    <t>pot</t>
  </si>
  <si>
    <t>light_umol_m2_s</t>
  </si>
  <si>
    <t>na</t>
  </si>
  <si>
    <t>Avalon</t>
  </si>
  <si>
    <t>Cadenza</t>
  </si>
  <si>
    <t>Skyfall</t>
  </si>
  <si>
    <t>hypha_cm_g</t>
  </si>
  <si>
    <t>Moonshine</t>
  </si>
  <si>
    <t>notes</t>
  </si>
  <si>
    <t>14C</t>
  </si>
  <si>
    <t>method</t>
  </si>
  <si>
    <t>15N in symbiotic fungi and plants estimates nitrogen and carbon flux rates in arctic tundra</t>
  </si>
  <si>
    <t>10.1890/0012-9658(2006)87[816:NISFAP]2.0.CO;2</t>
  </si>
  <si>
    <t>https://www.scopus.com/inward/record.uri?eid=2-s2.0-33646134394&amp;doi=10.1890%2f0012-9658%282006%2987%5b816%3aNISFAP%5d2.0.CO%3b2&amp;partnerID=40&amp;md5=8a35e70ba93fcfdb5a1137650b77e2de</t>
  </si>
  <si>
    <t>When soil nitrogen is in short supply, most terrestrial plants form symbioses with fungi (mycorrhizae): hyphae take up soil nitrogen, transport it into plant roots, and receive plant sugars in return. In ecosystems, the transfers within the pathway fractionate nitrogen isotopes so that the natural abundance of 15N in fungi differs from that in their host plants by as much as 12‰. Here we present a new method to quantify carbon and nitrogen fluxes in the symbiosis based on the fractionation against 15N during transfer of nitrogen from fungi to plant roots. We tested this method, which is based on the mass balance of 15N, with data from arctic Alaska where the nitrogen cycle is well studied. Mycorrhizal fungi provided 61-86% of the nitrogen in plants; plants provided 8-17% of their photosynthetic carbon to the fungi for growth and respiration. This method of analysis avoids the disturbance of the soil-microbe-root relationship caused by collecting samples, mixing the soil, or changing substrate concentrations. This analytical technique also can be applied to other nitrogen-limited ecosystems, such as many temperate and boreal forests, to quantify the importance for terrestrial carbon and nitrogen cycling of nutrient transfers mediated by mycorrhizae at the plant-soil interface. © 2006 by the Ecological Society of America.</t>
  </si>
  <si>
    <t>15N; Alaska; Arctic tundra; Carbon flux; Mycorrhizae; Nitrogen-limited ecosystems; Plant nitrogen; Plant-fungal symbioses; Soil nitrogen; Soil-microbe-root relationships</t>
  </si>
  <si>
    <t>Bago B., Pfeffer P.E., Shachar-Hill Y.</t>
  </si>
  <si>
    <t>Carbon metabolism and transport in arbuscular mycorrhizas</t>
  </si>
  <si>
    <t>10.1104/pp.124.3.949</t>
  </si>
  <si>
    <t>https://www.scopus.com/inward/record.uri?eid=2-s2.0-0033747316&amp;doi=10.1104%2fpp.124.3.949&amp;partnerID=40&amp;md5=7acafb4611096e3ca33e619fb51db8b5</t>
  </si>
  <si>
    <t>ERM</t>
  </si>
  <si>
    <t>field</t>
  </si>
  <si>
    <t>ECM</t>
  </si>
  <si>
    <t>13C</t>
  </si>
  <si>
    <t>tree</t>
  </si>
  <si>
    <t>shrub</t>
  </si>
  <si>
    <t>herbaceous</t>
  </si>
  <si>
    <t>plant_genus</t>
  </si>
  <si>
    <t>plant_spp</t>
  </si>
  <si>
    <t>plant_cv</t>
  </si>
  <si>
    <t>plant_functional_type</t>
  </si>
  <si>
    <t>symbiont_functional_type</t>
  </si>
  <si>
    <t>symbiont_genus</t>
  </si>
  <si>
    <t>Rhizophagus</t>
  </si>
  <si>
    <t>irregularis</t>
  </si>
  <si>
    <t>nana</t>
  </si>
  <si>
    <t>carota</t>
  </si>
  <si>
    <t>Daucus</t>
  </si>
  <si>
    <t>Rhododendron_previously_Ledum</t>
  </si>
  <si>
    <t>Empetrum</t>
  </si>
  <si>
    <t>Vaccinium</t>
  </si>
  <si>
    <t>Betula</t>
  </si>
  <si>
    <t>Salix</t>
  </si>
  <si>
    <t>Laccaria_Cortinarius_Leccinum_Russula_Lactarius</t>
  </si>
  <si>
    <t>Ho, I., Trappe, J.M.</t>
  </si>
  <si>
    <t>Translocation of 14C from Festuca plants to their endomycorrhizal fungi</t>
  </si>
  <si>
    <t>Nature New Biology</t>
  </si>
  <si>
    <t>10.1038/newbio244030a0</t>
  </si>
  <si>
    <t>https://doi.org/10.1038/newbio244030a0</t>
  </si>
  <si>
    <t>none</t>
  </si>
  <si>
    <t>Snowball</t>
  </si>
  <si>
    <t>grass</t>
  </si>
  <si>
    <t>Festuca</t>
  </si>
  <si>
    <t>occidentalis</t>
  </si>
  <si>
    <t>Hook</t>
  </si>
  <si>
    <t>Endogone</t>
  </si>
  <si>
    <t>mosseae</t>
  </si>
  <si>
    <t>Cucumis</t>
  </si>
  <si>
    <t>sativus</t>
  </si>
  <si>
    <t>Glomus</t>
  </si>
  <si>
    <t>fasciculatum</t>
  </si>
  <si>
    <t>label_pulse</t>
  </si>
  <si>
    <t>label_chase</t>
  </si>
  <si>
    <t>C_hypha_perc</t>
  </si>
  <si>
    <t>C_hypha_perc_se</t>
  </si>
  <si>
    <t>Carbon cost of the fungal symbiont relative to net leaf P accumulation in a split-root VA mycorrhizal symbiosis</t>
  </si>
  <si>
    <t>Douds Jr. D.D., Johnson C.R., Koch, K.E.</t>
  </si>
  <si>
    <t>10.1104/pp.86.2.491</t>
  </si>
  <si>
    <t>Translocation of 14C-photosynthates to mycorrhizal (+ +), half mycorrhizal (0+), and nonmycorrhizal (00) split-root systems was compared to P accumulation in leaves of the host plant. Carrizo citrange seedlings (Poncirus trifoliata [L.] Raf. x Citrus sinensis [L.] Osbeck) were inoculated with the vesicular-arbuscular mycorrhizal fungus Glomus intraradices Schenck and Smith. Plants were exposed to 14 CO2 for 10 minutes and ambient air for 2 hours. Three to 4% of recently labeled photosynthate was allocated to metabolism of the mycorrhiza in each inoculated root half independent of shoot P concentration, growth response, and whether one or both root halves were colonized. Nonmycorrhizal roots respired more of the label translocated to them than did mycorrhizal roots. Label recovered in the potting medium due to exudation or transport into extraradical hyphae was 5 to 6 times greater for (+ +) versus (00) plants. In low nutrient media, roots of (0+ ) and ( + + ) plants transported more P to leaves per root weight than roots of (00) plants. However, when C translocated to roots utilized for respiration, exudation, etc., as well as growth is considered, (00) plant roots were at least as efficient at P uptake (benefit) per C utilized (cost) as (0+) and (+ +) plants. Root systems of ( + + ) plants did not supply more P to leaves than (0+ ) plants in higher nutrient media, yet they still allocated twice the 14C-photosynthate to the mycorrhiza as did (0+) root systems. This indicates there is an optimal level of mycorrhizal colonization above which the plant receives no enhanced P uptake yet continues to partition photosynthates to metabolism of the mycorrhiza.</t>
  </si>
  <si>
    <t>Citrus</t>
  </si>
  <si>
    <t>sinensis</t>
  </si>
  <si>
    <t>cross</t>
  </si>
  <si>
    <t>Glycine</t>
  </si>
  <si>
    <t>max</t>
  </si>
  <si>
    <t>Amsoy</t>
  </si>
  <si>
    <t>Kucey, R.M.N., Paul, E.A.</t>
  </si>
  <si>
    <t>Carbon flow, photosynthesis, and N2 fixation in mycorrhizal and nodulated faba beans (Vicea faba L.)</t>
  </si>
  <si>
    <t>Vicia</t>
  </si>
  <si>
    <t>faba</t>
  </si>
  <si>
    <t>10.1016/0038-0717(82)90013-X</t>
  </si>
  <si>
    <t>https://doi.org/10.1016/0038-0717(82)90013-X</t>
  </si>
  <si>
    <t>biomass</t>
  </si>
  <si>
    <t>Salix_Betula</t>
  </si>
  <si>
    <t>Agrostis_Anthoxanthum_Festuca_Poa</t>
  </si>
  <si>
    <t>capillaris_odoratum_rubra_pratensis</t>
  </si>
  <si>
    <t>Natural</t>
  </si>
  <si>
    <t>community</t>
  </si>
  <si>
    <t>Fragaria</t>
  </si>
  <si>
    <t>ananassa</t>
  </si>
  <si>
    <t>Elsanta</t>
  </si>
  <si>
    <t>Funneliformis_Rhizophagus</t>
  </si>
  <si>
    <t>mosseae_intraradices</t>
  </si>
  <si>
    <t xml:space="preserve">Medicago </t>
  </si>
  <si>
    <t>truncatula</t>
  </si>
  <si>
    <t>Gigaspora</t>
  </si>
  <si>
    <t>intraradices</t>
  </si>
  <si>
    <t>claroideum</t>
  </si>
  <si>
    <t>margarita</t>
  </si>
  <si>
    <t>13C-excess labelling experiment</t>
  </si>
  <si>
    <t>orchid</t>
  </si>
  <si>
    <t>Goodyera</t>
  </si>
  <si>
    <t>repens</t>
  </si>
  <si>
    <t>OM</t>
  </si>
  <si>
    <t>Ceratobasidium</t>
  </si>
  <si>
    <t>cornigerum</t>
  </si>
  <si>
    <t>lineDC1</t>
  </si>
  <si>
    <t>axenic</t>
  </si>
  <si>
    <t>Grimoldi, A., Kavanová, M., Lattanzi, F., Schäufele, R. and Schnyder, H.</t>
  </si>
  <si>
    <t>Arbuscular mycorrhizal colonization on carbon economy in perennial ryegrass: quantification by 13CO2/ 12CO2 steady‐state labelling and gas exchange.</t>
  </si>
  <si>
    <t>10.1111/j.1469-8137.2006.01853.x</t>
  </si>
  <si>
    <t>https://doi.org10.1111/j.1469-8137.2006.01853.x</t>
  </si>
  <si>
    <t>Lolium</t>
  </si>
  <si>
    <t>perenne</t>
  </si>
  <si>
    <t>crop_grass</t>
  </si>
  <si>
    <t>hoi</t>
  </si>
  <si>
    <t>1.3mgC/cm3</t>
  </si>
  <si>
    <t>1.3 mgC/g soil or 1.3mgC/cm if assume bulk density = 1, 5cmx35cm pots</t>
  </si>
  <si>
    <t>Ouimette, A., Ollinger, S., Richardson, A., Hollinger, D., Keenan, T., Lepine, L. and Vadeboncoeur, M.</t>
  </si>
  <si>
    <t>Agricultural and Forest Meteorology</t>
  </si>
  <si>
    <t>256-257</t>
  </si>
  <si>
    <t>10.1016/j.agrformet.2018.03.017</t>
  </si>
  <si>
    <t>https://doi.org/10.1016/j.agrformet.2018.03.017</t>
  </si>
  <si>
    <t>Acer_Fagus_Tsuga_Betula_Fraxinus_Acer_Populus</t>
  </si>
  <si>
    <t>rubrum_grandifolia_canadensis_alleghaniensis_papyrifera_americana_saccharum_grandidentata</t>
  </si>
  <si>
    <t>4% when grown with saprophytic fungus demonstrating competition</t>
  </si>
  <si>
    <t xml:space="preserve">Pinus </t>
  </si>
  <si>
    <t>sylvestris</t>
  </si>
  <si>
    <t>Paxillus_Suillus</t>
  </si>
  <si>
    <t>involutus_bovinus</t>
  </si>
  <si>
    <t>model</t>
  </si>
  <si>
    <t>mass_balance</t>
  </si>
  <si>
    <t>Pinus_Quercus_Arctostaphylos</t>
  </si>
  <si>
    <t xml:space="preserve">ponderosa_lambertiana_chrysolepis_kelloggii_glandulosa </t>
  </si>
  <si>
    <t>Cenococcum_Boletus_Rhizopogon_Genabea_Lactarius_Tomentella</t>
  </si>
  <si>
    <t>Allen, M.F, Allen, E.B., Lansing, J.L., Pregitzer,K.S., Hendrick, R.L., Ruess, R.W., Collins, S.L.</t>
  </si>
  <si>
    <t>https://doi.org/10.1016/j.jaridenv.2010.05.001</t>
  </si>
  <si>
    <t>10.1016/j.jaridenv.2010.05.001</t>
  </si>
  <si>
    <t>Pinus</t>
  </si>
  <si>
    <t>edulis</t>
  </si>
  <si>
    <t>Lactarius_Russula_Boletus_Rhizopogon_Clitocybe_Geastrum</t>
  </si>
  <si>
    <t>deliciosus_alutacea_zelleri_pinyonensis_clavipes_fornicatum</t>
  </si>
  <si>
    <t>viminalis</t>
  </si>
  <si>
    <t>Thelephora</t>
  </si>
  <si>
    <t xml:space="preserve">terrestris </t>
  </si>
  <si>
    <t>McDowell, N., Blaster, N. and Marshall, J.</t>
  </si>
  <si>
    <t>Belowground carbon allocation of Rocky Mountain Douglas-fir.</t>
  </si>
  <si>
    <t>https://doi.org/10.1139/x01-067</t>
  </si>
  <si>
    <t>10.1139/x01-067</t>
  </si>
  <si>
    <t xml:space="preserve">Pseudotsuga </t>
  </si>
  <si>
    <t>menziesii</t>
  </si>
  <si>
    <t>Picea</t>
  </si>
  <si>
    <t>abies</t>
  </si>
  <si>
    <t>pendula</t>
  </si>
  <si>
    <t>Rygiewicz, P. and Andersen, C.</t>
  </si>
  <si>
    <t>https://doi.org/10.1038/369058a0</t>
  </si>
  <si>
    <t>10.1038/369058a0</t>
  </si>
  <si>
    <t>ponderosa</t>
  </si>
  <si>
    <t>Hebaloma</t>
  </si>
  <si>
    <t>crustuliniforme</t>
  </si>
  <si>
    <t>ecoregion_Bailey</t>
  </si>
  <si>
    <t>landcover_8_clases_ESA</t>
  </si>
  <si>
    <t>Forest</t>
  </si>
  <si>
    <t>Shrubland</t>
  </si>
  <si>
    <t>Cropland</t>
  </si>
  <si>
    <t>Grassland</t>
  </si>
  <si>
    <t>multiple</t>
  </si>
  <si>
    <t>Tundra</t>
  </si>
  <si>
    <t>Zea</t>
  </si>
  <si>
    <t>mays</t>
  </si>
  <si>
    <t>1.56m/g</t>
  </si>
  <si>
    <t>Funneliformis</t>
  </si>
  <si>
    <t>Boreal forest along a nutrient gradient: spruce trees with short herb understory, relatively medium N</t>
  </si>
  <si>
    <t>Boreal forest along a nutrient gradient: pine trees with dwarf shrub understory, relatively high N</t>
  </si>
  <si>
    <t>Boreal forest along a nutrient gradient: spruce trees with tall herb understory, relatively low N</t>
  </si>
  <si>
    <t>192gC/m2</t>
  </si>
  <si>
    <t>464gC/m2</t>
  </si>
  <si>
    <t>193gC/m2</t>
  </si>
  <si>
    <t>Using CLM5 (a type of Earth Systems Model) to explore C and N costs globally for plant functional types and symbionts</t>
  </si>
  <si>
    <t>Hordeum</t>
  </si>
  <si>
    <t>vulgare</t>
  </si>
  <si>
    <t>Triticum</t>
  </si>
  <si>
    <t>aestivum</t>
  </si>
  <si>
    <t>rubra</t>
  </si>
  <si>
    <t>Drigo, B., Pijl, A. S., Duyts, H., Kielak, A. M., Gamper, H. A., Houtekamer, M. J., Boschker, H. T., Bodelier, P. L., Whiteley, A. S., van Veen, J. A., &amp; Kowalchuk, G. A.</t>
  </si>
  <si>
    <t>Shifting carbon flow from roots into associated microbial communities in response to elevated atmospheric CO2.</t>
  </si>
  <si>
    <t>https://doi.org/10.1073/pnas.0912421107</t>
  </si>
  <si>
    <t>10.1073/pnas.0912421107</t>
  </si>
  <si>
    <t>13C, arbuscular mycorrhizal, climate change, RNA-based stable isotope probing, rhizosphere</t>
  </si>
  <si>
    <t>https://doi.org/10.2136/sssaj2011.0440</t>
  </si>
  <si>
    <t>Sorghum</t>
  </si>
  <si>
    <t>bicolor</t>
  </si>
  <si>
    <t>clarum</t>
  </si>
  <si>
    <t>Plant Soil</t>
  </si>
  <si>
    <t>https://doi.org/10.1007/s11104-017-3350-6</t>
  </si>
  <si>
    <t>Allium</t>
  </si>
  <si>
    <t>porrum</t>
  </si>
  <si>
    <t>Medicago</t>
  </si>
  <si>
    <t>Rhizophagus_Funneliformis_Claroideoglomus_Diversispora</t>
  </si>
  <si>
    <t>https://doi.org/10.1007/s00572-016-0731-2</t>
  </si>
  <si>
    <t>Jemalong</t>
  </si>
  <si>
    <t>Gutierrezia</t>
  </si>
  <si>
    <t>resinosa</t>
  </si>
  <si>
    <t>Erigeron</t>
  </si>
  <si>
    <t xml:space="preserve">fasciculatus </t>
  </si>
  <si>
    <t>Araucaria</t>
  </si>
  <si>
    <t>araucana</t>
  </si>
  <si>
    <t>Shrub</t>
  </si>
  <si>
    <t>230ugC/gOM</t>
  </si>
  <si>
    <t>125ugC/gOM</t>
  </si>
  <si>
    <t>30ugC/gOM</t>
  </si>
  <si>
    <t>20ugC/gOM</t>
  </si>
  <si>
    <t>Phalaris</t>
  </si>
  <si>
    <t>arundinacea</t>
  </si>
  <si>
    <t>Palaton</t>
  </si>
  <si>
    <t>Miller, R.M., Jastrow, J.D. &amp; Reinhardt, D.R.</t>
  </si>
  <si>
    <t xml:space="preserve"> External hyphal production of vesicular-arbuscular mycorrhizal fungi in pasture and tallgrass prairie communities</t>
  </si>
  <si>
    <t>https://doi.org/10.1007/BF00328420</t>
  </si>
  <si>
    <t>10.1007/BF00328420</t>
  </si>
  <si>
    <t>Riviera</t>
  </si>
  <si>
    <t>FACE</t>
  </si>
  <si>
    <t>Paul, E. A. , Kucey, R. M. N.</t>
  </si>
  <si>
    <t>Carbon Flow in Plant Microbial Associations</t>
  </si>
  <si>
    <t>10.1126/science.213.4506.473</t>
  </si>
  <si>
    <t>https://doi.org/10.1126/science.213.4506.473</t>
  </si>
  <si>
    <t>taeda</t>
  </si>
  <si>
    <t>tracer</t>
  </si>
  <si>
    <t>climate_action</t>
  </si>
  <si>
    <t>mechanisms_glomalin_etc</t>
  </si>
  <si>
    <t>Abies</t>
  </si>
  <si>
    <t>amabilis</t>
  </si>
  <si>
    <t>Musselbrugh</t>
  </si>
  <si>
    <t>search</t>
  </si>
  <si>
    <t>Mycorrhizal role in net primary production and nutrient cycling in Abies amabilis ecosystems in western Washington</t>
  </si>
  <si>
    <t xml:space="preserve">Ek H. </t>
  </si>
  <si>
    <t>The influence of nitrogen fertilization on the carbon economy of Paxillus involutus in ectomycorrhizal association with Betula pendula</t>
  </si>
  <si>
    <t>10.1046/j.1469-8137.1997.00621.x</t>
  </si>
  <si>
    <t>https://doi.org/10.1046/j.1469-8137.1997.00621.x</t>
  </si>
  <si>
    <t>Mycorrhizal mycelium was allowed to grow into a compartment from which roots were excluded. Ammonium or nitrate was supplied exclusively to the fungus and the respiration rate before and after nitrogen addition was measured. Mycelial respiration in the fungal compartment represented 11-29%, of total fungal and root respiration. The mycelium in the fungal compartment received 20-29% of shoot net assimilation, and 43-64%, of the carbon allocated to the mycelium was respired. The nitrogen-induced respiration increase ranged, in the fungal compartment, from 54 to 180%.</t>
  </si>
  <si>
    <t>Paxillus</t>
  </si>
  <si>
    <t>involutus</t>
  </si>
  <si>
    <t>Do nutrient additions alter carbon sink strength of ectomycorrhizal fungi?</t>
  </si>
  <si>
    <t>https://doi.org/10.1046/j.1469-8137.2001.00180.x</t>
  </si>
  <si>
    <t>10.1046/j.1469-8137.2001.00180.x</t>
  </si>
  <si>
    <t>ammoniu, apetite, carbon, ectomycorrhiza, mycelium, respiration</t>
  </si>
  <si>
    <t>muricata</t>
  </si>
  <si>
    <t>Rhizopogon</t>
  </si>
  <si>
    <t>symbiont_spp_isolate</t>
  </si>
  <si>
    <t>Suillus</t>
  </si>
  <si>
    <t>pungens</t>
  </si>
  <si>
    <t>Asteraceae plant from semi-arid coastal matorral (aridity index 0.24). C allocation measured as % incorperation of 13C tracer into NLFA 16:1ω5c (storage compound specific to AM). Mycelium at 0-30cm after 14d labelling (added 0-10cm and 20-30cm). Per mill values were convered to % by dividing results in plot by 10</t>
  </si>
  <si>
    <t xml:space="preserve"> Asteraceae from arid shrubland (aridity index 0.06). C allocation measured as % incorperation of 13C tracer into NLFA 16:1ω5c (storage compound specific to AM). Mycelium at 0-30cm after 14d labelling (added 0-10cm and 20-30cm). Per mill values were convered to % by dividing results in plot by 10</t>
  </si>
  <si>
    <t>Egypt?s agriculture sector is highly vulnerable to climate change and its exposed to environmental threats in different faces such as energy, water and food security. Specifically, climate change is possible to change plant species composition, abundance and function of soil community, and plant-microbe interactions that together affect the quality of agricultural soils. For microorganisms inhabiting Egyptian soils, some insight has been exposed to high temperature and accumulating of carbonates and soluble salts in Aridisols (desert soils), and the other inhabiting in alluvial soils (Entisols) in the Nile Delta and the Qattara Depression of the western desert. Egyptian soils have a great diversity of microorganisms such as bacteria, actinobacteria, fungi and arbuscular mycorrhizal fungi that play an important role in nutrient cyclings. Unfortunately, the soil is a complex habitat for microbial growth, and the structure and function of microorganisms are tremendously complex in the soil. These complexations lead the difficult to predict the effects of climate change on the activity of Egyptian soil microorganisms. Climate change will have direct and indirect effects on soil microbial activity. Climate changes include increasing temperature, elevated or increasing the concentration of CO2, rise changing soil moisture content, increasing of soil salinity, and drought. These changes led to reversely impacted soil microbial communities that affect biogeochemical cycles of nutrients in agricultural soils. Therefore, understanding of microbial activity in the soil is essential for our ability to evaluate the necessity of biogeochemical cycles-climate feedbacks. Soil microbial activities play an important role in increasing soil fertility and recycling of nutrients within the soil. Activity in soil microorganism and/or enzyme is significant as a sensitive indicator of soil biological quality. These activities are informative to determine changes in soil biochemical properties that are affected by environmental stress from natural phenomena or anthropogenic activities. In this chapter, we review the currently available researches regarding the impact of climate change on soil microbial activity, especially in Egyptian soils. Soil microbial activity includes microbial populations, microbial biomass, enzymes activity, soil beneficial microorganisms and carbon sequestration in Egyptian soil. ? 2020, Springer Nature Switzerland AG.</t>
  </si>
  <si>
    <t>Saprotrophic micromycetes play a vital role in soil foodwebs both directly and via the influence on host plant and higher fungal mycelium growth. Mobilizing nitrogen of stable soil organic matter, that is common for boreal soils, micromycetes provide its faster involve in biological cycles. Successful use of stable isotope analysis for the role of both micro-and macromycetes in soil foodwebs, soil forming and biological cycles detailed understanding is strongly bonded with the correct determination of stable isotopes fractionation (?13C and ?15N). We studied the isotopic composition (ë13C and ë15N) of fungal mycelium of different ecology as well as the qualitative composition of soil micromycetes in its hyphosphere. The isotopic composition (ë13C and ë15N) of micromycete my-celium and exudates was researched in a laboratory experiment. Micromycetes of different phylogeny showed different values of isotopic fractionation both in mycelium and exsudates. Despite multidirectional15N fraction-ation by associated microfungi, their exsudates were similar in ë13C and ë15N values and are not shown to form a heavy isotope enriched pool of procurable soil organic matter. ? 2020, Russian Academy of Sciences. All rights reserved.</t>
  </si>
  <si>
    <t>Li Z.-F., L P.-P., Wang Y.-L., Yao H., Maitra P., Sun X., Zheng Y., Guo L.-D.</t>
  </si>
  <si>
    <t>The research team conducted pots experiment in a Silty clay loam soil to investigate the effect of inoculation with Mycorrhizae (MH), Vermicompost fertilizer (VRF) and chemical fertilization (CF) on the growth and yield of soybean (Glycine max) and some soil properties after cultivation, The team used complete randomized design CRD experimental system of three replications. Experimental treatments were; control (zero addition) (T1), the addition of CF alone as a complete recommendation (100 N, 160 P2O5, 80 K2O kg.ha-1) (T2), addition of MH fungi (10 g.pot-1) (T3), MH + half of the CF recommendation (T4), VRF (2 tons.ha-1) (T5), VRF + half of the CF recommendation (T6), VRF + MH (4 ton.donm-1) (T7), and finally MH + VRF + half CF recommendation (T8), in addition to interactions among these parameters. The seeds of the soybean were inoculated with specialized rhizobia (RHZ). Then, they were implanted on May 5, 2019. After maturity of the pods, they were harvested on 1st September, 2019. The important plant, yield, and some soil properties were analyzed post cultivation. The results indicated that (T8) was the best in improving the growth and yield properties and gave significant differences compared to T2, T3, and T4, as this treatment gave the maximum height of the plant (PLH) (89.8 cm. plant-1), the best leaf area (LA) of (68.4 dcm2.plant-1), the maximum green total weight (GTW) of (58.6 gm.plant-1), The highest dry weight of roots (DRW) (12.8 gm plant-1), the highest number of pods (NPP) of (195.6 pods.plant-1), the highest number of grains per pod (NGP) of (2.96 grain. pod-1) and the highest total yield (TY) of 110.8 gm plant-1. Regarding soil properties after cultivation, The T8 treatment recorded the least values of soil pH and EC, as it decreased to 7.25 and 2.26 dS.m-1, respectively, while the number of active root nodules (ARN) and O.M of soil increased to 60.3 nodes.plant-1 and 2.96%, respectively. The T8 treatment recorded the maximum soil nutrition content (SNC) after cultivation for total N and available PK which were (198.2%, 28.7 mg.kg-1, and 188.2 mg, kg-1) respectively. While the other treatments were in the following order T7 &amp;gt; T4 &amp;gt; T6 &amp;gt; T3 &amp;gt; T5 &amp;gt; T2 &amp;gt; T1. ? Advanced Scientific Research. All rights reserved.</t>
  </si>
  <si>
    <t>Mycoheterotrophic plants are non-photosynthetic plants that obtain nutrients from fungi. Even though most of these plants are associated with the mycorrhizal partners of surrounding photosynthetic plants, recent studies have suggested that some mycoheterotrophic orchids indirectly obtain carbon from decaying organic matter through associations with saprotrophic fungi. However, such suggestions have been based primarily on indirect evidence, such as the 13C and 15N abundances of fungi and plants. It was recently reported that some mycoheterotrophs yield elevated ? 14C values, owing to the indirect acquisition of 14C-enriched bomb carbon from dead wood. The approach was based on the anthropogenic change of ? 14C values; atmospheric CO2 were globally elevated by nuclear weapons testing in the 1950s and early 1960s, but have steadily declined since its peak after the atmospheric nuclear test ban treaty of 1963. The study has provided novel evidence that mycoheterotrophic plants can exploit both mycorrhizal and saprotrophic fungi. We suggest that the radiocarbon analysis is also useful for investigating the nutritional modes of mixotrophic plants as well as for investigating whether the recruitment of wood-decaying fungi into novel mycorrhizal partnerships preceded the evolution of full mycoheterotrophy. ? 2020, ? 2020 Taylor &amp; Francis Group, LLC.</t>
  </si>
  <si>
    <t>Carbon cycling; ectomycorrhizal fungi; mixotrophy; mycorrhizas; orchids; radiocarbon dating; saprotrophic fungi; ? 14C</t>
  </si>
  <si>
    <t>Excess water in the rooting zone critically reduces tree growth and may even kill trees; however, the relative importance of damage to roots versus aboveground parts and the time course of damage are not well understood. We studied the dynamics of fine-root growth and mortality of 7-year-old Scots pine (Pinus sylvestris L.) saplings affected by a 5-week period of waterlogging (WL) during the growing season. Two out of six WL-exposed saplings survived the treatment. After 1?2 weeks of WL, the mortality of the first-order short roots (usually mycorrhizas) started to increase and the production of these roots started to decrease. WLdecreased the longevity of short and long roots. Total root length (especially of fine roots with a diameter &lt; 0.5 mm), specific fine-root length, total root dry mass (including stump), and reverse-flow root hydraulic conductance were lower in WL saplings than in control saplings at the end of the experiment; however, several root traits were similar in control and surviving WL saplings. Because of the high importance of fine roots for tree growth and carbon sequestration, their responses to elevated water tables should be considered in sustainable use and management of boreal peatland forests, for example, by continuous cover forestry and (or) ditch network maintenance. ? 2020, Canadian Science Publishing. All rights reserved.</t>
  </si>
  <si>
    <t>May M., J?kalski M., Novotn  A., Dietel J., Ayasse M., Lallemand F., Figura T., Minasiewicz J., Selosse M.-A.</t>
  </si>
  <si>
    <t>Some mixotrophic plants from temperate forests use the mycorrhizal fungi colonizing their roots as a carbon source to supplement their photosynthesis. These fungi are also mycorrhizal on surrounding trees, from which they transfer carbon to mixotrophic plants. These plants are thus reputed difficult to transplant, even when their protection requires it. Here, we take profit of a successful ex situ pot cultivation over 1 to 3ÿyears of the mixotrophic orchid Epipacis helleborine to investigate its mycorrhizal and nutrition status. Firstly, compared with surrounding autotrophic plants, it did not display the higher N content and higher isotopic (13C and 15N) abundance that normally feature mixotrophic orchids because they incorporate N-, 13C-, and 15N-rich fungal biomass. Second, fungal barcoding by next-generation sequencing revealed that the proportion of ectomycorrhizal fungi (expressed as percentage of the total number of either reads or operational taxonomic units) was unusually low compared with E. helleborine growing in situ: instead, we found a high percentage of rhizoctonias, the usual mycorrhizal partners of autotrophic orchids. Altogether, this supports autotrophic survival. Added to the recently published evidence that plastid genomes of mixotrophic orchids have intact photosynthetic genes, this suggests that at least some of them have abilities for autotrophy. This adds to the ecological plasticity of mixotrophic plants, and may allow some reversion to autotrophy in their evolution. ? 2020, The Author(s).</t>
  </si>
  <si>
    <t>Fungal is a physiological trail and its understanding in the assimilation with the transfer of carbon (C) cum nitrogen (N) or (C/N) to orchid-seedlings have not been determined. Labelled stable isotopes 13C and 15N were used to plan the flow of C and N between orchid plants and mycorrhizal connotations in-terms of bulk transfer for C/N. This study attends to comprehend the mechanism, supporting mycorrhizal fungi which influences on orchid-seedling growth. Determined integration and transfer of C/N from amino acids (AA), ammonium nitrate (NH4NO3) and sugar for orchid-plant may lead to understand these mechanisms. This current study tries to estimate the importance of organic compounds as a source for C/N over the inorganic-NH4NO3. Generally, after begging of germination and when it is found to be associated to the nutrient resource, organic compound enhance the biomass accumulation of two orchid species. AA significantly increase the mass of 13C assimilated by two species. With amino acids the concentration of 13C in two species was greater than with NH4NO3 and sugar. At another phase, amount of 15N content shoots was a higher value in Anacamptis laxiflora shoots assimilated substantially additional of 15N with NH4NO3 plus sugar compared with ammonium nitrate only. This study showed that two terrestrial orchids species are reliant on organic compounds as a source of carbon and nitrogen more than inorganic compounds. ? 2019</t>
  </si>
  <si>
    <t>The oak forests of the Himalaya are an important repository of carbon. Forest degradation, in terms of loss in biomass and carbon, is a more pressing problem than loss of forest area in the Himalaya. The altitudinal gradient between 1,000 m and 2,200 m is dominated by chir pine and banj oak forest. As a result of small-scale chronic disturbances the structure and function of banj oak forest is rapidly changing, leaving few pristine patches. Forty permanent plots of 400 m2 in four disturbance categories of Central Himalayas (1,400 m?2,300 m asl) were studied over 3 years (2015, 2016 and 2017) to understand the impact of disturbance on banj oak forests. The study indicates that tree biomass declined by 62% from undisturbed to degraded forests, carbon sequestration rate declined by 73% and was maximum for Moderately disturbed-A forests, total soil carbon dropped by 79% and mycorrhizal sporocarps declined by 78% from undisturbed to degraded forests. There was an overall decline in tree density by 56% from undisturbed forests to degraded forests. In degraded forests, the invasion of pine, a species tolerant of disturbance, helps in maintaining the forest status but the population structure changes and significant decline in carbon sequestration rate and total biomass stocks (above ground biomass and below ground biomass) was observed. The study indicates that moderate level disturbance promotes better carbon sequestration rates, tree density and the survival of seedlings. ? 2019 The Ecological Society of Japan</t>
  </si>
  <si>
    <t>While it has long been held that invasive plants alter ecosystem processes, the magnitude and direction of these effects have rarely been quantified in situ. We measured the effects of an invasive C4 grass (Microstegium vimineum) on soil organic matter (SOM) decomposition in a deciduous forest in south-central Indiana, USA. The unique 13C signature of the C4 grass relative to the C3 trees allowed us to partition soil CO2 fluxes and estimate M. vimineum effects on decomposition. The magnitude and direction of priming effects hinged on the soil characteristics, which related to the mycorrhizal association of dominant trees. In forest plots dominated by ectomycorrhizal trees, with low nitrogen availability and most SOM in particulate (i.e., unprotected) forms, M. vimineum increased SOM decomposition by 58%. In contrast, in plots dominated by arbuscular mycorrhizal trees, characterized by high nitrogen availability and most SOM in mineral-associated (i.e., protected) forms, M. vimineum decreased decomposition by 14%. Collectively, our results demonstrate that invasive species can play a large role in altering ecosystem processes and suggest that the magnitude and direction of such effects depend on the dominant trees and edaphic characteristics of the stand. ? 2019 Elsevier Ltd</t>
  </si>
  <si>
    <t>Arbuscular mycorrhizal fungi (AMF) represent an important route for plant carbon (C) inputs into the soil. Nonetheless, the C input via AMF as well as its impact on soil organic matter (SOM) stabilization and C sequestration remains largely unknown. A mycorrhizal wild type progenitor (MYC) and its mycorrhiza defective mutant (reduced mycorrhizal colonization: rmc) of tomato were continuously labeled with 13CO2 to trace root C inputs into the soil and quantify rhizosphere priming effects (RPE) as affected by AMF symbiosis and N fertilization. Mycorrhizal abundance and 13C incorporation into shoots, roots, soil and CO2 were measured at 8, 12 and 16 weeks after transplanting. AMF symbiosis decreased the relative C allocation (% of total assimilated C) to roots, in turn increased the net rhizodeposition. Positive RPE was recorded for both MYC and rmc plants, ranging from 16?71% and 25?101% of the unplanted control, respectively. Although net rhizodeposition was higher for MYC than rmc plants 16 weeks after transplanting, the RPE was comparatively lower. This indicated a higher potential for C sequestration by plants colonized with AMF (MYC) because the reduced nutrient availability restricts the activity of free-living decomposers. Although N fertilization decreased the relative C allocation to roots, rhizosphere and bulk soil, it had no effect on the absolute amount of rhizodeposition to the soil. The RPE and N-cycling enzyme activities decreased by N fertilization 8 and 12 weeks after transplanting, suggesting a lower microbial N demand from SOM mining. The positive relationship between enzyme activities involved in C cycling, microbial biomass C and SOM decomposition underlines the microbial activation hypothesis, which explains the RPE. We therefore concluded that AMF symbiosis and N fertilization increase C sequestration in soil not only by increasing root C inputs, but also by lowering native SOM decomposition and RPE. ? 2019 Elsevier Ltd</t>
  </si>
  <si>
    <t>Field decomposition of wheat and maize straws was monitored for 20ÿmonths using litterbag method in Calcaric Fluvisol soils with three different textures (sand, sandy loam, and silty clay). Residual straw samples were collected at 0 or after 4, 6, 10, and 20ÿmonths of decomposition. The chemical structure of straw was analyzed by solid-state 13C nuclear magnetic resonance (13C-NMR) spectroscopy, and the composition of main microbial groups was evaluated by phospholipid fatty acid analysis. Regardless of the straw type and soil texture, the straw biomass and C loss increased steadily in the first 10ÿmonths and then leveled off in the following 10ÿmonths; both the chemical structure of straw and the composition of main microbial groups differed during incubation. During the first 4ÿmonths of wheat straw degradation, the decrease in di-O-alkyl and O-alkyl C and the increase in alkyl and N-alkyl/methoxyl C contents were related to the enrichment of fungi (18:1?9c) and Gram-negative bacteria (18:1?7c and 16:1?7c), while the degradation of maize straw was associated with the decrease in the fungal (18:1?9c) abundance and the increase in the abundance of Gram-negative (18:1?7c and 16:1?7c) and Gram-positive (a15:0) bacteria. During the 6?10-month period, the decrease in di-O-alkyl and O-alkyl C and the increase in alkyl, aryl, and carboxyl/amide C contents were related to the enrichment of arbuscular mycorrhizal fungi (AMF) (16:1?5c) and Gram-negative (cy19:0?8c) bacteria and the decrease in fungal (18:2?6,9c) abundance, with AMF playing an important role in the degradation of both straw types. The altered chemical structure of wheat and maize straws had opposite links with fungal abundance during the first 4ÿmonths, while alterations occurring during the 6?10-month period mainly depended on the variation in the AMF abundance. ? 2019, Springer-Verlag GmbH Germany, part of Springer Nature.</t>
  </si>
  <si>
    <t>While it has long been hypothesized that belowground carbon (C) allocation in plants is tightly coupled to nutrient uptake, empirical tests of this are rare, especially for woody plants. We grew tree saplings of nine species in soils enriched in isotopically-labeled nitrogen (N) and after several months, pulse-labeled trees with 13CO2. This approach allowed us to track how 13C allocation from foliage to absorptive root tissue related to 15N movement from soil to plant tissues as a measure of each species' N return on C investment. We hypothesized that tree species known to associate with ectomycorrhizal (ECM) fungi would have greater belowground C fluxes than those that associate with arbuscular mycorrhizal (AM) fungi, and that species with greater belowground C allocation would acquire the most soil N. Overall, we found large interspecific differences in both the amount of recently-fixed C allocated belowground and plant N uptake, yet no differences in either flux between AM and ECM trees (P &amp;gt; 0.05). Moreover, we found no differences between mycorrhizal groups in terms of their N return on C investment. However, mycorrhizal type influenced the relationship between belowground C allocation and N uptake, which was positive among AM species (r = 0.42; P = 0.001) and negative among ECM species (r = ?0.44; P = 0.003), suggesting that the relationship between C allocation and plant nutrition is more complex than theory predicts. Collectively, our results suggest that tree species' nutrient return on C investment can differ greatly among species, and that efforts to model these dynamics should consider the traits and tradeoffs that underlie these dynamics. ? Copyright ? 2019 Keller and Phillips.</t>
  </si>
  <si>
    <t>The long-term influence of climate change on spatio-temporal dynamics of the Polar mycobiota was analyzed on the eastern macro slope of the Polar Urals (Sob River valley and Mountain Slantsevaya) over a period of 60 years. The anthropogenic impact is minimal in the study area. Effects of environmental warming were addressed as changes in treeline and forest communities (greening of the vegetation). With warming, permafrost is beginning to thaw, and as it thaws, it decomposes. Therefore, we also included depth of soil thawing and litter decomposition in our study. Particular attention was paid to the reaction of aphyllophoroid fungal communities concerning these factors. Our results provide evidence for drastic changes in the mycobiota due to global warming. Fungal community composition followed changes of the vegetation, which was transforming from forest-tundra to northern boreal type forests during the last 60 years. Key fungal groups of the ongoing borealization and important indicator species are discussed. Increased economic activity in the area may lead to deforestation, destruction of swamps, and meadows. However, this special environment provides important services such as carbon sequestration, soil formation, protecting against flood risks, and filtering of air. In this regard, we propose to include the studied territory in the Polarnouralsky Natural Park. ? 2019 by the authors.</t>
  </si>
  <si>
    <t>Effective land-based solutions to climate change mitigation require actions that maximize soil carbon storage without generating surplus nitrogen. Land management for carbon sequestration is most often informed by bulk soil carbon inventories, without considering the form in which carbon is stored, its capacity, persistency and nitrogen demand. Here, we present coupling of European-wide databases with soil organic matter physical fractionation to determine continental-scale forest and grassland topsoil carbon and nitrogen stocks and their distribution between mineral-associated and particulate organic matter pools. Grasslands and arbuscular mycorrhizal forests store more soil carbon in mineral-associated organic carbon, which is more persistent but has a higher nitrogen demand and saturates. Ectomycorrhizal forests store more carbon in particulate organic matter, which is more vulnerable to disturbance but has a lower nitrogen demand and can potentially accumulate indefinitely. The share of carbon between mineral-associated and particulate organic matter and the ratio between carbon and nitrogen affect soil carbon stocks and mediate the effects of other variables on soil carbon stocks. Understanding the physical distribution of organic matter in pools of mineral-associated versus particulate organic matter can inform land management for nitrogen-efficient carbon sequestration, which should be driven by the inherent soil carbon capacity and nitrogen availability in ecosystems. ? 2019, The Author(s), under exclusive licence to Springer Nature Limited.</t>
  </si>
  <si>
    <t>Soudzilovskaia N.A., van Bodegom P.M., Terrer C., Zelfde M., McCallum I., Luke McCormack M., Fisher J.B., Brundrett M.C., de S  N.C., Tedersoo L.</t>
  </si>
  <si>
    <t>Vegetation impacts on ecosystem functioning are mediated by mycorrhizas, plant?fungal associations formed by most plant species. Ecosystems dominated by distinct mycorrhizal types differ strongly in their biogeochemistry. Quantitative analyses of mycorrhizal impacts on ecosystem functioning are hindered by the scarcity of information on mycorrhizal distributions. Here we present global, high-resolution maps of vegetation biomass distribution by dominant mycorrhizal associations. Arbuscular, ectomycorrhizal, and ericoid mycorrhizal vegetation store, respectively, 241 ñ 15, 100 ñ 17, and 7 ñ 1.8 GT carbon in aboveground biomass, whereas non-mycorrhizal vegetation stores 29 ñ 5.5 GT carbon. Soil carbon stocks in both topsoil and subsoil are positively related to the community-level biomass fraction of ectomycorrhizal plants, though the strength of this relationship varies across biomes. We show that human-induced transformations of Earth?s ecosystems have reduced ectomycorrhizal vegetation, with potential ramifications to terrestrial carbon stocks. Our work provides a benchmark for spatially explicit and globally quantitative assessments of mycorrhizal impacts on ecosystem functioning and biogeochemical cycling. ? 2019, The Author(s).</t>
  </si>
  <si>
    <t>In contrast to the situation in plants inhabiting most of the world?s ecosystems, mycorrhizal fungi are usually absent from roots of the only two native vascular plant species of maritime Antarctica, Deschampsia antarctica and Colobanthus quitensis. Instead, a range of ascomycete fungi, termed dark septate endophytes (DSEs), frequently colonise the roots of these plant species. We demonstrate that colonisation of Antarctic vascular plants by DSEs facilitates not only the acquisition of organic nitrogen as early protein breakdown products, but also as non-proteinaceous d-amino acids and their short peptides, accumulated in slowly-decomposing organic matter, such as moss peat. Our findings suggest that, in a warming maritime Antarctic, this symbiosis has a key role in accelerating the replacement of formerly dominant moss communities by vascular plants, and in increasing the rate at which ancient carbon stores laid down as moss peat over centuries or millennia are returned to the atmosphere as CO2. ? 2019 The Authors. Ecology Letters published by CNRS and John Wiley &amp; Sons Ltd</t>
  </si>
  <si>
    <t>Arbuscular mycorrhizal fungi (AMF) can be beneficial for improving restoration of radioactive-cesium (137Cs)-contaminated soils through soil remediation. However, there has been no information on species diversity and the composition of AMF communities in 137Cs-contaminated soil after the Fukushima-Daiichi Nuclear Power Plant (NPP) disaster. We examined the community dynamics of indigenous AMF colonizing roots of napiergrass (Pennisetum purpureum) in two different 137Cs-contaminated land-use fields (grassland and paddy field) by an Illumina MiSeq sequencing investigation within a 30-km radius around the Fukushima-Daiichi NPP in 2013 (sampling year 1) and 2014 (sampling year 2). We found nine AMF families, including Glomeraceae, Gigasporaceae, Paraglomeraceae, Claroideoglomeraceae, Acaulosporaceae, Archeosporaceae, Ambisporaceae, Diversisporaceae and uncultured Glomeromycotina in roots. Glomeraceae was the most abundant in both grassland and paddy field, followed by Paraglomeraceae. The diversity of AMF in grassland and paddy field was higher in 2014 than in 2013. Furthermore, the AMF community structure was impacted by sampling year and land-use type. The AMF community structures colonizing napiergrass roots were also significantly impacted by land-use type and year throughout the 2-year investigation. To our knowledge, our results are the first report to reveal the community dynamics of indigenous AMF in the 137Cs-contaminated fields around NPP. ? 2019, The Author(s).</t>
  </si>
  <si>
    <t>Plant invasion typically alters the microbial communities of soils, which affects ecosystem carbon (C) and nitrogen (N) cycles. The responses of the soil fungal communities to plant invasion along its chronosequence remain poorly understood. For this study, we investigated variations in soil fungal communities through Illumina MiSeq sequencing analyses of the fungal internal transcribed spacer (ITS) region, and quantitative polymerase chain reaction (qPCR), along a chronosequence (i.e., 9-, 13-, 20- and 23-year-old) of invasive Spartina alterniflora. We compared these variations with those of bare flat in a Chinese Yellow Sea coastal wetland. Our results highlighted that the abundance of soil fungi, the number of operational taxonomic units (OTUs), species richness, and Shannon diversity indices for soil fungal communities were highest in 9-year-old S. alterniflora soil, which gradually declined along the invasion chronosequence. The relative abundance of copiotrophic Basidiomycota revealed significant decreasing trend, while the relative abundance of oligotrophic Ascomycota gradually increased along the S. alterniflora invasion chronosequence. The relative abundance of soil saprotrophic fungi (e.g., undefined saprotrophs) was gradually reduced while symbiotic fungi (e.g., ectomycorrhizal fungi) and pathotrophic fungi (e.g., plant and animal pathogens) progressively increased along the S. alterniflora invasion chronosequence. Our results suggested that S. alterniflora invasion significantly altered soil fungal abundance and diversity, community composition, trophic modes, and functional groups along a chronosequence, via substantially reduced soil litter inputs, and gradually decreased soil pH, moisture, and soil nutrient substrates along the invasion chronosequence, from 9 to 23 years. These changes in soil fungal communities, particularly their trophic modes and functional groups along the S. alterniflora invasion chronosequence could well impact the decomposition and accumulation of soil C and N, while potentially altering ecosystem C and N sinks in a Chinese Yellow Sea coastal wetland. ? 2019 Elsevier B.V.</t>
  </si>
  <si>
    <t>Urban trees provide many ecosystem services, including carbon sequestration, air quality improvement, storm water attenuation and energy conservation, to people living in cities. Provisioning of ecosystem services by urban trees, however, may be jeopardized by the typically poor quality of the soils in urban areas. Given their well-known multifunctional role in forest ecosystems, ectomycorrhizal fungi (EcM) may also contribute to urban tree health and thus ecosystem service provisioning. Yet, no studies so far have directly related in situ EcM community composition to urban tree health indicators. Here, two previously collected datasets were combined: i) tree health data of 175 Tilia tomentosa trees from three European cities (Leuven, Strasbourg and Porto) estimated using a range of reflectance, chlorophyll fluorescence and physical leaf indicators, and ii) ectomycorrhizal diversity of these trees as characterized by next-generation sequencing. Tree health indicators were related to soil characteristics and EcM diversity using canonical redundancy analysis. Soil organic matter significantly explained variation in tree health indicators whereas no significant relation between mycorrhizal diversity variables and the tree health indicators was found. We conclude that mainly soil organic matter, through promoting soil aggregate formation and porosity, and thus indirectly tree water availability, positively affects the health of trees in urban areas. Our results suggest that urban planners should not overlook the importance of soil quality and its water holding capacity for the health of urban trees and potentially also for the ecosystem services they deliver. Further research should also study other soil microbiota which may independently, or in interaction with ectomycorrhiza, mediate tree performance in urban settings. ? 2019 Van Geel et al. This is an open access article distributed under the terms of the Creative Commons Attribution License, which permits unrestricted use, distribution, and reproduction in any medium, provided the original author and source are credited.</t>
  </si>
  <si>
    <t>Arbuscular mycorrhizal (AM) fungi are ecologically important for the growth and survival of most vascular plants. These fungi are known as obligate biotrophs that acquire carbon solely from host plants. A 13C-labeling experiment revealed the ability of axenically grown Rhizophagus irregularis DAOM 197198 to derive carbon from axenic culture on a relatively novel medium containing two sources of palmitic acid developed by Ishii (designated IH medium). In a separate experiment, this model fungus grew larger mycelia and produced more daughter spores on the IH medium in the presence of two Variovorax paradoxus strains than in axenic culture. In contrast, a strain of Mycobacterium sp. did not influence the growth of the AM fungus. Rhizophagus irregularis produced branched absorbing structures on the IH medium and, in monoxenic culture with V. paradoxus, sometimes formed densely packed hyphal coils. In this study, we report for the first time the formation of coarse terminal pelotons and of terminal and intercalary very fine (÷ 1 ?m diameter) hyphal elongations, which could form daughter spores in the presence of V. paradoxus. This study shows the value of IH medium and certain rhizobacteria in the culture of R. irregularis DAOM 197198 in vitro. ? 2019, Springer-Verlag GmbH Germany, part of Springer Nature.</t>
  </si>
  <si>
    <t>In-growth mesh bag technique is widely used for assessing production and turnover of the fungal mycelium in soil, but remains poorly standardized. This research aims at testing the use of quartz sand of different particle size, as a filling for in-growth mesh bags, in order to obtain a maximum amount of fungal mycelium. Mesh bags were incubated in a Norway spruce forest in Central Russia in June and September. Mycelial biomass was higher in sand of coarse (&amp;gt;0.5 mm) particle size and reached maximum (up to 798 ?g of mycelium dry weight g?1 sand) in June. A relatively short incubation time (up to 30 days) was sufficient for estimating mycelium biomass and for collecting mycelium for isotopic analyses. The ë13C and ë15N values of fungal mycelium collected at the depths of 10 and 25 cm did not differ. Mycelium was depleted by 2.5? in 15N compared to mycorrhizal and by 3.0? in 13C compared to saprotrophic fruit bodies. This observation should be taken into account in the isotope-based reconstructions of belowground food webs. ? 2019 Elsevier GmbH</t>
  </si>
  <si>
    <t>Mart¡nez-Diz M.D.P., Andr‚s-Sodupe M., Bujanda R., D¡az-Losada E., Eichmeier A., Gramaje D.</t>
  </si>
  <si>
    <t>Plant compartments provide unique niches that lead to specific microbial associations. The microbiota colonizing the endophytic compartment (endorhizosphere) and the rhizosphere contribute to productivity, plant growth, phytoremediation and carbon sequestration. The main objective of this study was to investigate how fungal communities are enriched in different habitats outside and inside of grapevine roots. For this purpose, the spatial dynamics of the fungal communities associated with three soil-plant compartments (bulk soil, rhizosphere and endorhizosphere) were characterized by ITS high-throughput amplicon sequencing (HTAS). Fungal communities were largely affected in their diversity and composition by soil-plant compartments, whereas the spatial variation (i.e. across five vineyards) was low. The endorhizosphere compartment differed most from the other two, suggesting that the root tissues entail a barrier for fungal colonization. The results of functional prediction via FUNGuild suggested an increase in the relative abundances of potential plant pathogens, endophytes and arbuscular mycorrhiza, and a decrease in wood, dung and undefined saprotrophs from bulk soil towards the endorhizosphere. Roots of asymptomatic vines were a microbial niche that is inhabited by soilborne fungi associated with grapevine trunk diseases, which opens up new perspectives in the study of the endophytic role of these pathogens on grapevines. Results obtained in this study provide helpful information to better know how the host shapes its microbiome and the implications for vineyard productivity and management. ? 2019 Elsevier Ltd and British Mycological Society</t>
  </si>
  <si>
    <t>Theory suggests that more complex food webs promote stability and can buffer the effects of perturbations, such as drought, on soil organisms and ecosystem functions. Here, we tested experimentally how soil food web trophic complexity modulates the response to drought of soil functions related to carbon cycling and the capture and transfer below-ground of recent photosynthate by plants. We constructed experimental systems comprising soil communities with one, two or three trophic levels (microorganisms, detritivores and predators) and subjected them to drought. We investigated how food web trophic complexity in interaction with drought influenced litter decomposition, soil CO2 efflux, mycorrhizal colonization, fungal production, microbial communities and soil fauna biomass. Plants were pulse-labelled after the drought with 13C-CO2 to quantify the capture of recent photosynthate and its transfer below-ground. Overall, our results show that drought and soil food web trophic complexity do not interact to affect soil functions and microbial community composition, but act independently, with an overall stronger effect of drought. After drought, the net uptake of 13C by plants was reduced and its retention in plant biomass was greater, leading to a strong decrease in carbon transfer below-ground. Although food web trophic complexity influenced the biomass of Collembola and fungal hyphal length, 13C enrichment and the net transfer of carbon from plant shoots to microbes and soil CO2 efflux were not affected significantly by varying the number of trophic groups. Our results indicate that drought has a strong effect on above-ground?below-ground linkages by reducing the flow of recent photosynthate. Our results emphasize the sensitivity of the critical pathway of recent photosynthate transfer from plants to soil organisms to a drought perturbation, and show that these effects may not be mitigated by the trophic complexity of soil communities, at least at the level manipulated in this experiment. ? 2019 The Authors. Global Change Biology published by John Wiley &amp; Sons Ltd</t>
  </si>
  <si>
    <t>Acari; Collembola; microorganisms; plant?soil interaction; pulse-labelling; root-derived C; soil biodiversity; stable isotope</t>
  </si>
  <si>
    <t>Agrostis</t>
  </si>
  <si>
    <t>capillaris</t>
  </si>
  <si>
    <t>?liwa M., Kaszycki P., Supel P., Korna? A., Kapro? A., Lttge U., Miszalski Z.</t>
  </si>
  <si>
    <t>Key message: Salix arenariafrom sandy sites tended to grow fast, notwithstanding particular stress conditions in the desert habitat. Abstract: The study was aimed at characterizing main adaptive changes in Salix arenaria exposed to harsh conditions of a desert-like environment. It was clearly shown that the plant was capable of adapting most of its photosynthesis parameters to enable efficient vegetative performance. A closer look at plant anatomical structures made it possible to better define the changes developed by plants populating sandy habitats as compared with the vegetation sites located in the nearby forest. The desert environment generated physiological stress of water availability and increased the plants? water use efficiency (WUE) during photosynthesis. All the collected data indicate that the photochemical apparatus in S. arenaria inhabiting desert areas got slightly adapted to strong light and drought, which involved some photoinhibition mechanism and the reduction of the reaction center (RC) size (photosystem II, PSII), while keeping the plant photochemical activity at a similar level. Determination of microbial frequency in the sandy soil of the desert-growing plants showed microbiota population high enough as not to hamper plant growth. The root zones of both the desert-growing and control plants provided favorable conditions enabling populous microbial proliferation, particularly biostimulated during the spring season. The arbuscular mycorrhiza was also shown to be well developed and independent of the original plant habitat (desert or forest). ? 2019, The Author(s).</t>
  </si>
  <si>
    <t>13C discrimination; B??dowska Desert; Chlorophyll a fluorescence; Microbiota; Mycorrhiza; Plant anatomy</t>
  </si>
  <si>
    <t>Biochar addition affects soil conditions and soil microorganisms, and it may reduce soil CO2 emissions. However, knowledge on how biochar addition induces the changes in soil microbial communities with soil depth and time and affects soil respiration is limited in forest ecosystems. We investigated the effects of biochar addition on soil respiration rate and its sensitivity to soil temperature and microbial community composition in moso bamboo (Phyllostachys eduis) plantations in subtropical China for two years. We set up four treatments of biochar addition onto the soil surface of the plantations with the level of 0 (control, CK), 5 (low biochar, LB), 10 (medium biochar, MB), or 20 t biochar ha?1 (high biochar, HB) in April 2014. Biochar addition significantly improved soil moisture at 5 cm soil depth but did not affect soil temperature. Microbial biomass increased significantly with biochar addition at 10?20 cm soil depth but showed no response in the 0?10 cm depth soil layer. Compared to CK, biochar addition significantly affected the mean soil respiration rate during the two?year experiment, but the difference between CK and biochar treatments decreased both with time following biochar addition and with increasing biochar dosage. Annual cumulative soil respiration was significantly and positively correlated with the biomass of total PLFAs, gram-negative bacteria, bacteria, and arbuscular mycorrhizal fungi (P &amp;lt; 0.05) at 0?10 cm soil depth but not at 10?20 cm. Overall, only LB significant decreased the total CO2 emissions. Our results suggest that lower dosage additions of biochar have a positive effect in reducing total CO2 emissions and promote soil organic carbon sequestration in bamboo forests in subtropical China. ? 2019 Elsevier B.V.</t>
  </si>
  <si>
    <t>Abstract: The use of isotopic analysis for reconstructing the structure of food webs requires determination of the trophic fractionation of carbon and nitrogen stable isotopes (?13C and ?15N). Fungi and mycophagous animals play a key role in soil communities, but there are very limited field data on the degree of isotope fractionation in animals that feed on fungi. We studied the bulk isotopic composition of mycetophagous Diptera larvae inhabiting fruit bodies of saprotrophic and mycorrhizal macromycetes, as well as larva feeding on parasitic rust fungi. Trophic enrichment in 13? and 15N was at the minimum (0.0 and 0.9?, respectively) in the larvae of gall midges Mycodiplosis sp. feeding on rust fungi (Pucciniales). In the larvae of dipterans inhabiting fruiting bodies of saprotrophic and mycorrhizal macromycetes, the ?13C and ?15N values averaged 0.9 and 3.4?, respectively. This corresponds to the values usually observed in grazing food chains. The accumulation of 15N was more pronounced in the larvae that fed on saprotrophic fungi, but no clear relationship was found between the degree of trophic fractionation and the taxonomic affiliation of animals or fungi. As suggested by our data and the analysis of published studies, the variations in the trophic fractionation in mycophages are strong, but they are not likely to impede the identification of the ?mycorrhizal? and ?saprotrophic? energy channels in the soil food webs. ? 2019, Pleiades Publishing, Inc.</t>
  </si>
  <si>
    <t>The majority of chlorophyllous orchids form mycorrhizal associations with so-called rhizoctonia fungi, a phylogenetically heterogeneous assemblage of predominantly saprotrophic fungi in Ceratobasidiaceae, Tulasnellaceae, and Serendipitaceae. It is still a matter of debate whether adult orchids mainly associated with rhizoctonia species are partially mycoheterotrophic. Here, we investigated the nutritional modes of green and albino variants of Goodyera velutina, an orchid species considered to be mainly associated with Ceratobasidium spp., by measuring their 13C and 15N abundances, and by molecular barcoding of their mycorrhizal fungi. Molecular analysis revealed that both green and albino variants of G.ÿvelutina harbored a similar range of mycobionts, mainly saprotrophic Ceratobasidium spp., Tulasnella spp., and ectomycorrhizal Russula spp. In addition, stable isotope analysis revealed that albino variants were significantly enriched in 13C but not so greatly in 15N, suggesting that saprotrophic Ceratobasidium spp. and Tulasnella spp. are their main carbon source. However, in green variants, 13C levels were depleted and those of 15N were indistinguishable from the co-occurring autotrophic plants. Therefore, we concluded that the albino G.ÿvelutina variants are fully mycoheterotrophic plants whose C derives mainly from saprotrophic rhizoctonia, while the green G.ÿvelutina variants are mainly autotrophic plants, at least at our study site, in spite of their additional associations with ectomycorrhizal fungi. This is the first report demonstrating that adult nonphotosynthetic albino variants can obtain their nutrition mainly from nonectomycorrhizal rhizoctonia. ? 2019 John Wiley &amp; Sons Ltd</t>
  </si>
  <si>
    <t>Vanegas-Le¢n M.L., Sulzbacher M.A., Rinaldi A.C., Roy M., Selosse M.-A., Neves M.A.</t>
  </si>
  <si>
    <t>Trechispora (Hydnodontaceae) is considered as a soil-inhabiting fungus. However, some species in the genus are frequently forming basidiomes on soil, a typical feature of ectomycorrhizal fungi. Ectomycorrhizal basidiomes are found in neotropical and subtropical region, but taxonomical information and DNA sequences of root fungi and basidiomes from native Atlantic Rainforest are poorly reported. Basidiomes and soil samples including roots, humus layer, and mineral soil were collected in the Atlantic Rainforest, in Florian¢polis (South of Brazil). Sequences of the ITS region were obtained from all sample types and subjected to phylogenetic reconstruction. Two sequences amplified from apparently ectomycorrhizal roots belonged to Trechispora and suggested a root-associated ecology, at least biotrophic and possibly ectomycorrhizal. The analysis of isotope abundance in the same Brazilian site and in French Guiana showed that Trechispora thelephora has high 15N abundance and is often intermediate between ectomycorrhizal and saprotrophic species in 13C abundance. This is congruent with a plant biotrophic ecology, perhaps ectomycorrhizal. Future investigations in subtropical regions are needed to determine whether such a mode of nutrition is widespread among Trechispora. ? 2019, German Mycological Society and Springer-Verlag GmbH Germany, part of Springer Nature.</t>
  </si>
  <si>
    <t>Root symbiont arbuscular mycorrhizal fungi (AMF) are ubiquitous in soils of terrestrial ecosystems and play a major role in determining the soil structure dynamics. Glomalin related soil protein (GRSP) produced in the hyphal cell walls is a store house of carbon that influences aggregate formation, stabilization and contributes in soil carbon sequestration. In this work, the variation in the glomalin concentrations was studied across soil of temperate Himalayan regime, its potential role in carbon storage and soil aggregation under different cropping systems. Aggregate stability showed a positive correlation with soil organic carbon (r = 0.966; p &lt; 0.01), total glomalin (TG) (r = 0.988; p &lt; 0.01) and easily extractable glomalin (EEG) (r = 0.967; p &lt; 0.01). TG showed highest value in the forest ecosystem (4.82 mg/g) which is supposed to be an undisturbed site while lowest value was recorded in the wheat field (2.12 mg/g). Positive correlation was observed between glomalin and soil organic carbon (r = 0.905, p &lt; 0.0001; r = 0.586, p &lt; 0.001, respectively) for TG and EEG re-iterating its contribution in maintaining the soils carbon pool. Overall, the study highlights the co-relation of glomalin with soil aggregation and land use type and its applicability as a putative indicator of aggregate stability for the hilly terrain. ? 2019</t>
  </si>
  <si>
    <t>We hypothesized that the rhizosphere priming effect (RPE) of soil organic matter by mutant barley lacking root hairs is dependant on a large network of symbiotic arbuscular mycorrhizal fungi (AMF). We thus predicted that fertilizing with phosphate-P would reduce AMF abundance and, in turn, reduce RPE of mutant barley. We packed microcosms with a P-responsive soil in which we grew mutant barley lacking root hairs as well as wild type barley and narrowleaf plantain, each possessing root hairs. One set of microcosms was fertilized with phosphate-P while another set was not fertilized. The plants were grown in a labelling chamber with 13C-depleted CO2. Soil respiration and ë13C of headspace CO2 were measured after 3, 4 and 5 weeks and RPE was calculated using an isotope mass balance approach. Root hair length was measured and soils were analyzed for the 16:1?5 neutral lipid fatty acid (i.e. AMF biomarker). AMF abundance was greater, whereas RPE was lower, in mutant barley soil under low-P than under high-P conditions. In the other two plant-types, P had no effect on AMF or on RPE. As our results contradict our prediction, we propose an alternative explanation based on plant N demand under high-P. ? 2019</t>
  </si>
  <si>
    <t>It has been suggested that plant carbon (C) use by symbiotic arbuscular mycorrhizal fungi (AMF) may be compensated by higher photosynthetic rates because fungal metabolism creates a strong C sink that prevents photosynthate accumulation and downregulation of photosynthesis. This mechanism remains largely unexplored and lacks experimental evidence. We report here two experiments showing that the experimental manipulation of the mycorrhizal C sink significantly affected the photosynthetic rates of cucumber host plants. We expected that a sudden reduction in sink strength would cause a significant reduction in photosynthetic rates, at least temporarily. Excision of part of the extraradical mycorrhizal mycelium from roots, and causing no disturbance to the plant, induced a sustained (10?40%) decline in photosynthetic rates that lasted from 30ÿmin to several hours in plants that were well-nourished and hydrated, and in the absence of growth or photosynthesis promotion by mycorrhizal inoculation. This effect was though minor in plants growing at high (700ÿppm) atmospheric CO2. This is the first direct experimental evidence for the C sink strength effects exerted by arbuscular mycorrhizal symbionts on plant photosynthesis. It encourages further experimentation on mycorrhizal source?sink relations, and may have strong implications in large-scale assessments and modelling of plant photosynthesis. ? 2019 The Authors. New Phytologist ? 2019 New Phytologist Trust</t>
  </si>
  <si>
    <t>carbon (C) assimilation; elevated CO2; gas-exchange; mycorrhiza; source?sink relations</t>
  </si>
  <si>
    <t>Although both living roots and mycorrhizal fungi are well known to interact with saprotrophic microbes to affect litter decomposition, their relative importance is largely unclear. Here, a two-year pot experiment was conducted with two ectomycorrhizal (Pinus elliottii and Pinus massoniana) and four arbuscular mycorrhizal (Cinnamomum camphora, Cunninghamia lanceolata, Michelia maudiae and Schima superba) subtropical tree species to evaluate the relative effects of living roots and mycorrhizal fungal hyphae on their own root litter decomposition and to test whether these effects differed between ectomycorrhizal and arbuscular mycorrhizal trees. To achieve these objectives, litterbags with 50-?m and 1-mm mesh sizes filled with root litter of a given tree species were simultaneously installed in pots planted with the same species and unplanted pots filled with composite soil for all species. Effects of living roots alone were calculated as differences in root litter decomposition between 50-?m and 1-mm mesh litterbags installed in planted pots. Mycorrhizal hyphal effects were calculated as differences in root litter decomposition between 50-?m litterbags installed in planted and unplanted pots. The presence of mycorrhizal fungal hyphae significantly reduced root litter mass loss and inhibited the activities of ?-glucosidase and phenol oxidase, while effects of living roots alone were non-significant when all tree species were pooled and inconsistent at the tree species level. Mycorrhizal fungal hyphae induced decreases in root litter mass loss that were markedly related to their inhibitory effects on ?-glucosidase and phenol oxidase activities. When tree species were grouped by their mycorrhizal types, non-significant differences were observed between ectomycorrhizal and arbuscular mycorrhizal trees in their living root or mycorrhizal fungal effects on root litter decomposition. These findings highlight the important roles of mycorrhizal fungi in mediating litter decomposition via interacting with saprotrophic microbes and suggest that changes in tree carbon allocation to mycorrhizal fungi owing to global change may affect soil carbon storage. ? 2019 by the authors.</t>
  </si>
  <si>
    <t>Accurate projections of the terrestrial carbon (C) sink are critical to understanding the future global C cycle and setting CO2 emission reduction goals. Current earth system models (ESMs) and dynamic global vegetation models (DGVMs) with coupled carbon-nitrogen cycles project that future terrestrial C sequestration will be limited by nitrogen (N) availability, but the magnitude of N limitation remains a critical uncertainty. Plants use multiple symbiotic nutrient acquisition strategies to mitigate N limitation, but current DGVMs omit these mechanisms. Fully coupling N-acquiring plant-microbe symbioses to soil organic matter (SOM) cycling within a DGVM for the first time, we show that increases in N acquisition via SOM decomposition and atmospheric N2 fixation could support long-term enhancement of terrestrial C sequestration at global scales under elevated CO2. The model reproduced elevated CO2 responses from two experiments (Duke and Oak Ridge) representing contrasting N acquisition strategies. N release from enhanced SOM decomposition supported vegetation growth at Duke, while inorganic N depletion limited growth at Oak Ridge. Global simulations reproduced spatial patterns of N-acquiring symbioses from a novel niche-based map of mycorrhizal fungi. Under a 100-ppm increase in CO2 concentrations, shifts in N acquisition pathways facilitated 200 Pg C of terrestrial C sequestration over 100ÿyears compared to 50 Pg C for a scenario with static N acquisition pathways. Our results suggest that N acquisition strategies are important determinants of terrestrial C sequestration potential under elevated CO2 and that nitrogen-enabled DGVMs that omit symbiotic N acquisition may underestimate future terrestrial C uptake. ?2019. American Geophysical Union. All Rights Reserved.</t>
  </si>
  <si>
    <t>Tropical forests play a dominant role in the global carbon (C) cycle, and models predict increases in tropical net primary productivity (NPP) and C storage in response to rising atmospheric carbon dioxide (CO2) concentrations. The extent to which increasing CO2 will enhance NPP depends in part on the availability of nitrogen (N) and phosphorus (P) to support growth. Some tropical trees can potentially overcome nutrient limitation by acquiring N via symbiotic dinitrogen (N2) fixation, which may provide a benefit in acquiring P via investment in N-rich phosphatase enzymes or arbuscular mycorrhizal (AM) fungi. We conducted a seedling experiment to investigate the effects of elevated CO2 and soil nutrient availability on the growth of two N2-fixing and two non-N2-fixing tropical tree species. We hypothesized that under elevated CO2 and at low nutrient availability (i.e., low N and P), N2 fixers would have higher growth rates than non-N2 fixers because N2 fixers have a greater capacity to acquire both N and P. We also hypothesized that differences in growth rates between N2 fixers and non-N2 fixers would decline as nutrient availability increases because N2 fixers no longer have an advantage in nutrient acquisition. We found that the N2 fixers had higher growth rates than the non-N2 fixers under elevated CO2 and at low nutrient availability, and that the difference in growth rates between the N2 and non-N2 fixers declined as nutrient availability increased, irrespective of CO2. Overall, N2 fixation, root phosphatase activity, and AM colonization decreased with increasing nutrient availability, and increased under elevated CO2 at low nutrient availability. Further, AM colonization was positively related to the growth of the non-N2 fixers, whereas both N2 fixation and root phosphatase activity were positively related to the growth of the N2 fixers. Though our results indicate all four tree species have the capacity to up- or down-regulate nutrient acquisition to meet their stoichiometric demands, the greater capacity for the N2 fixers to acquire both N and P may enable them to overcome nutritional constraints to NPP under elevated CO2, with implications for the response of tropical forests to future environmental change. ? 2019 by the Ecological Society of America</t>
  </si>
  <si>
    <t>A potculture study was conducted in soils collected from long-term fertilizer experiment (LTFE) being kept up as far the past 40ÿyears to determine whether arbuscular mycorrhizal fungus (AMF) Rhizoglomus intraradices colonization changes the active and passive pools of carbon in a maize (Zea mays)?finger millet (Eleusine crocana)- cowpea (Vigna sinensis) cropping sequence in the Experimental Farm of the Tamil Nadu Agricultural University, Coimbatore, India. Soil samples were processed, sterilized and maize plants were grown in various fertility gradients in the absence (M-) or presence (M+) of AMF (Rhizoglomus intraradices) inoculation. The data have clearly shown that M+ÿsoils had consistently higher active pools such as water soluble carbon, hot water soluble carbon and biomass carbon (M- 189; Mÿ+ÿ305ÿmg kg?1), and passive pools such as soil organic carbon (M- 4.17; Mÿ+ÿ4.31ÿmg g?1) and total glomalin. Among the fertility gradients, 100% NPK +ÿFarm Yard Manure (FYM) with or without mycorrhizal fungal inoculation registered higher values for both active and passive pools of C but the response was more pronounced in the presence AMF inoculation. Overall, the data suggest that mycorrhizal fungal inoculation assists in effective carbon sequestration in an intensive cereal-legume cropping system.Abbreviations: AMF: Arbuscular mycorrhizal fungi; DAS: Days After Sowing; LTFE: Long-Term Fertilizer Experiment; WSC: Water soluble organic carbon; HA: Humic acid; FA: Fulvic acid; HWSC: Hot water soluble carbon. ? 2018, ? 2018 Informa UK Limited, trading as Taylor &amp; Francis Group.</t>
  </si>
  <si>
    <t>Background: Ectomycorrhizal fungi (ECM) play a central role in nutrient cycling in boreal and temperate forests, but their role in the soil food web remains little understood. One of the groups assumed to live as specialised mycorrhizal feeders are Protura, but experimental and field evidence is lacking. We used a combination of three methods to test if Protura are specialized mycorrhizal feeders and compared their trophic niche with other soil invertebrates. Using pulse labelling of young beech and ash seedlings we analysed the incorporation of 13 C and 15 N into Acerentomon gallicum. In addition, individuals of Protura from temperate forests were collected for the analysis of neutral lipid fatty acids and natural variations in stable isotope ratios. Results: Pulse labelling showed rapid incorporation of root-derived 13 C, but no incorporation of root-derived 15 N into A. gallicum. The transfer of 13 C from lateral roots to ectomycorrhizal root tips was high, while it was low for 15 N. Neutral lipid fatty acid (NLFA) analysis showed high amounts of bacterial marker (16:1?7) and plant marker (16:0 and 18:1?9) fatty acids but not of the fungal membrane lipid 18:2?6,9 in A. gallicum. Natural variations in stable isotope ratios in Protura from a number of temperate forests were distinct from those of the great majority of other soil invertebrates, but remarkably similar to those of sporocarps of ECM fungi. Conclusions: Using three in situ methods, stable isotope labelling, neutral lipid fatty acid analysis and natural variations of stable isotope ratios, we showed that Protura predominantly feed on mycorrhizal hyphae via sucking up hyphal cytoplasm. Predominant feeding on ectomycorrhizal mycelia by Protura is an exception; the limited consumption of ECM by other soil invertebrates may contribute to carbon sequestration in temperate and boreal forests. ? 2019 The Author(s).</t>
  </si>
  <si>
    <t>Background and aims: Revegetation with xeric shrubs is a widely applied measure for restoring degraded ecosystems in the deserts of northern China. However, knowledge on the soil fungal assemblages in revegetated shrubs still remains veiled. This study aimed to evaluate how soil fungal diversity and composition respond to shrub species. Methods: We characterized soil fungal communities in three different shrublands (Artemisia ordosica, Salix psammophila, and Caragana microphylla), which had been planted on bare sandland for about 20ÿyears, in the Mu Us Desert in northern China, using high-throughput 18S rRNA gene sequencing. The relationships of fungal community diversity and composition with environmental variables were explored by regression analysis and Mantel test, respectively. Results: The dominant phyla across the studied samples were Ascomycota and Basidiomycota. Compared to bare sandland, fungal diversity was significantly greater in A. ordosica and C. microphylla but not in S. psammophila. There was a positive linear relationship between soil fungal and understory plant diversity. A. ordosica and C. microphylla shrublands showed the greatest relative abundance of Ascomycota; S. psammophila shrubland showed the greatest relative abundance of Basidiomycota. In terms of functional groups, the highest relative abundance of ectomycorrhizal fungi and the lowest relative abundance of pathogenic fungi were found in S. psammophila shrubland. Soil collected from A. ordosica shrubland showed the highest relative abundance of arbuscular mycorrhizal fungi. Conclusions: Variations in fungal diversity and assemblages were directly affected by the revegetated shrub species. The strong correlation of the fungal community and shrubs provides a better understanding of soil organic carbon sequestration and plant?soil interaction in different revegetated shrublands. ? 2018, Springer Nature Switzerland AG.</t>
  </si>
  <si>
    <t>Background and aims: Soil organic carbon (SOC) accrual is central to the discussion on active atmospheric CO 2 removal strategies, but it requires a clear understanding of the mechanisms driving new SOC formation. SOC is formed from the decomposition of above- and below-ground plant inputs, yet their accurate quantification remains a major challenge. In the current study the in-growth soil core and ë 13 C methods were combined to quantify the net C input from single or combined above- and below-ground parts of a poplar (Populus) bioenergy plantation. Methods: Three different mesh sizes were used for the in-growth cores in four different treatments designed to estimate the relative contributions of above-ground litter fall, fine roots and mycorrhizae (C3 input from the poplar) to the new C formation in cores filled with a C4 soil, by applying a mass balance equation. Results: Soil C formation was higher in the treatments with roots as compared to the treatments with above-ground C inputs only (29 vs 16ÿg C m ?2 ), despite the disproportionally lower root inputs as compared to above-ground C inputs (34 vs 175ÿg C m ?2 y ?1 ). Soil C formation from different sources (above- and below-ground) was additive; i.e. the observed soil C formation in the combined treatment was the sum of those in the single soil C input treatments. As a result, below-ground C-inputs had a high conversion efficiency to SOC of 76%. Above-ground plant inputs had a very low SOC formation efficiency of 9%, and were presumably mainly mineralized by microorganisms. Conclusion: The higher soil C accumulation rates from below-ground C inputs are particularly important in bioenergy plantations where the above-ground biomass is frequently removed for biomass and energy production. ? 2018, The Author(s).</t>
  </si>
  <si>
    <t>Beech forests reaches its native distribution limit in SE Norway, but is expected to expand substantially northwards due to climate warming. This may potentially result in a fundamental transformation of contemporary Northern European forests, with tentative effects on the associated belowground fungi. Fungal communities mediate vital ecosystem processes such as ecosystem productivity and carbon sequestration in boreal forests. To investigate how soil fungi is affected by the vegetation transition from spruce to beech forest, we sampled litter, humus and mineral soil in a forest landscape dominated by beech, spruce or a mixture of these. The fungal communities in the soil samples were analyzed by DNA metabarcoding of the rDNA ITS2 region. Although soil layers were the most important structuring gradient, we found clear differences in fungal species composition between spruce and beech plots. The differences in fungal community composition were most evident in the litter and least in the mineral soil. Decomposers, most notably Mycena, dominated the litter layer while various mycorrhizal fungi dominated the humus and mineral layers. Some ectomycorrhizal taxa, such as Cenoccocum and Russula, were more abundant in spruce forests. Differences in fungal community composition between forest types can potentially have large impacts on carbon sequestration rates. ? FEMS 2018.</t>
  </si>
  <si>
    <t>Agricultural perspectives of mycorrhizal glomalin as ?soil fertility determinants?</t>
  </si>
  <si>
    <t>Agriculture is a multifunctional unit that involves microorganisms, plants, and animals. They interact together by carrying out various metabolic functions either symbiotically or parasitically or mutualistically. Such interactions help maintain the ecological balance. However, microorganisms play an essential role in maintaining the integrity of soil ecology. In particular, arbuscular mycorrhizal (AM) fungi are the most common microorganisms symbiotically associated with plants. The AM fungi are important in agriculture and have been explored because of their plant growth-improving properties. However, the present review illustrates how the protein (glomalin) produced by AM fungi is helpful in enriching the soil nutrient pool. As soil fertility is one of the factors that determine the output of agriculture, functional properties of AMF are also responsible for mitigation of heavy metal contamination caused by anthropological activities in addition to soil nutrient enrichment. ? Springer Nature Singapore Pte Ltd. 2019.</t>
  </si>
  <si>
    <t>The intensive application of chemical fertilizers and modification in traditional cultivation patterns have affected the physical, chemical, and biological properties of land, converting fertile land into marginal land. Some important microbes facilitate the revegetation of degraded ecosystems by mitigating abiotic and biotic stresses on plants. In recent years, plant growth-promoting rhizobacteria (PGPR) and arbuscular mycorrhizal fungi (AMF) have drawn considerable attention towards alleviation of various environmental stresses such as salinity, drought, and poor nutrient soil. The marginal lands are being reclaimed and/or rehabilitated through afforestation and growing crops in alliance to biological amendments. PGPR promotes plant growth and restoring soil fertility by various mechanisms that involve biological nitrogen fixation, phosphate solubilization, siderophore production, and synthesis of plant hormones such as indole acetic acid, cytokinins, or gibberellins. On the other hand AMF provides agricultural assistance by numerous mechanisms including nutrient acquisition and transport to the plant, preventing crop diseases, and increasing soil carbon storage. The AMF also improves soil aggregation by secreting the glycoprotein glomalin. ? 2019 Elsevier B.V. All rights reserved.</t>
  </si>
  <si>
    <t>Arbuscular mycorrhizal association is ubiquitous and can be found in majority of natural habitats. Arbuscular mycorrhizal fungi (AMF) play a key role in the absorption of plant nutrients, soil aggregation and fertility. The basic role of AMF in the plant growth is to increase the absorption and translocation of relatively immobile ions and elements. In the past, studies have focused primarily on the mycorrhiza development and their general role in the growth of plants. Here, in this review manuscript, we highlight the role of AMF in the growth of old forests. In many studies, it has been found that concentration of phosphorous (P) decreases with the stand age which as a result leads to phosphorous (P) deficiency. This phosphorous (P) deficiency is considered as a cause of slow growth of old forests. In this review article, we argued that apart from the low concentration of phosphorous (P), weak arbuscular mycorrhizal associations are also a cause of slow growth of old forests. Furthermore, we also highlight the ecological role of AMF in the soil carbon storage. AMF provide physical (hyphae frame) and chemical support (Glomalin) to the dispersed soil particles to create stable aggregated soil structure. The Glomalin compound which is released by AMF acts like a glue and consequently increases soil aggregation. The soil organic matters stored in soil aggregates are less exposed to decomposition. Hence, soil can be used as a large sink where a huge amount of carbon can be stored in the form of soil organic matters which as a result can contribute to the mitigation of global climate change. ? 2019, AL™KI Kft., Budapest, Hungary.</t>
  </si>
  <si>
    <t>Changes of the 137Cs and 40K content during a year in the plants of forest ecosystems were investigated on the terri-tory of the ?Paryshev? sampling area (the Chornobyl NPP exclusion zone). One- and two-year-old needles and branches of P. sylvestris were used as objects of study. Samples were selected at intervals of 1 time every two weeks during 2014 and 2015. As a result of the research, it was found that the magnitude of the specific activity of 137Cs and 40K in the needles and branches of P. sylvestris is not constant, but leaped during the year. It has been suggested that fluctuations in the concentrations of activity of these radionuclides in the studied organs of P. sylvestris are associated with their circulation in the chain ?soil - fungus-symbiotroph - plant?. The correlation coefficients R within 0.5 - 0.68 indicate the existence of direct and moderate relationship between fluctuations in the concentration of 40K and 137Cs activity in the needles and branches of P. sylvestris throughout the year. Probably, the mechanisms of absorption and escape of these radionuclides in P. sylvestris are similar. The content of 40K in the researched organs is higher than the content of 137Cs. It can be connected to the ability of the mycorrhiza to hold radiocaesium (to be a barrier) and to the selective accumula-tion of potassium by the plant. ? 2019, National Academy of Sciences of Ukraine. All rights reserved.</t>
  </si>
  <si>
    <t>There is evidence that anthropogenic nitrogen (N) deposition enhances carbon (C) sequestration in boreal forest soils. However, it is unclear how free-living saprotrophs (bacteria and fungi, SAP) and ectomycorrhizal (EM) fungi responses to N addition impact soil C dynamics. Our aim was to investigate how SAP and EM communities are impacted by N enrichment and to estimate whether these changes influence decay of litter and humus. We conducted a long-term experiment in northern Sweden, maintained since 2004, consisting of ambient, low N additions (0, 3, 6, and 12ÿkgÿNÿha?1ÿyear?1) simulating current N deposition rates in the boreal region, as well as a high N addition (50ÿkgÿNÿha?1ÿyear?1). Our data showed that long-term N enrichment impeded mass loss of litter, but not of humus, and only in response to the highest N addition treatment. Furthermore, our data showed that EM fungi reduced the mass of N and P in both substrates during the incubation period compared to when only SAP organisms were present. Low N additions had no effect on microbial community structure, while the high N addition decreased fungal and bacterial biomasses and altered EM fungi and SAP community composition. Actinomycetes were the only bacterial SAP to show increased biomass in response to the highest N addition. These results provide a mechanistic understanding of how anthropogenic N enrichment can influence soil C accumulation rates and suggest that current N deposition rates in the boreal region (ó12ÿkgÿNÿha?1ÿyear?1) are likely to have a minor impact on the soil microbial community and the decomposition of humus and litter. ? 2019 John Wiley &amp; Sons Ltd</t>
  </si>
  <si>
    <t>Sosa-Hern ndez M.A., Leifheit E.F., Ingraffia R., Rillig M.C.</t>
  </si>
  <si>
    <t>With growing populations and climate change, assuring food and nutrition security is an increasingly challenging task. Climate-smart and sustainable agriculture, that is, conceiving agriculture to be resistant and resilient to a changing climate while keeping it viable in the long term, is probably the best solution. The role of soil biota and particularly arbuscular mycorrhizal (AM) fungi in this new agriculture is believed to be of paramount importance. However, the large nutrient pools and the microbiota of subsoils are rarely considered in the equation. Here we explore the potential contributions of subsoil AM fungi to a reduced and more efficient fertilization, carbon sequestration, and reduction of greenhouse gas emissions in agriculture. We discuss the use of crop rotations and cover cropping with deep rooting mycorrhizal plants, and low-disturbance management, as means of fostering subsoil AM communities. Finally, we suggest future research goals that would allow us to maximize these benefits. ? 2007 - 2019 Frontiers Media S.A. All Rights Reserved.</t>
  </si>
  <si>
    <t>Plant roots release recent photosynthates into the rhizosphere, accelerating decomposition of organic matter by saprotrophic soil microbes ("rhizosphere priming effect") which consequently increases nutrient availability for plants. However, about 90% of all higher plant species are mycorrhizal, transferring a significant fraction of their photosynthates directly to their fungal partners. Whether mycorrhizal fungi pass on plant-derived carbon (C) to bacteria in root-distant soil areas, i.e., incite a "hyphosphere priming effect," is not known. Experimental evidence for C transfer from mycorrhizal hyphae to soil bacteria is limited, especially for ectomycorrhizal systems. As ectomycorrhizal fungi possess enzymatic capabilities to degrade organic matter themselves, it remains unclear whether they cooperate with soil bacteria by providing photosynthates, or compete for available nutrients. To investigate a possible C transfer from ectomycorrhizal hyphae to soil bacteria, and its response to changing nutrient availability, we planted young beech trees (Fagus sylvatica) into "split-root" boxes, dividing their root systems into two disconnected soil compartments. Each of these compartments was separated from a litter compartment by a mesh penetrable for fungal hyphae, but not for roots. Plants were exposed to a 13C-CO2-labeled atmosphere, while 15N-labeled ammonium and amino acids were added to one side of the split-root system. We found a rapid transfer of recent photosynthates via ectomycorrhizal hyphae to bacteria in root-distant soil areas. Fungal and bacterial phospholipid fatty acid (PLFA) biomarkers were significantly enriched in hyphae-exclusive compartments 24 h after 13C-CO2-labeling. Isotope imaging with nanometer-scale secondary ion mass spectrometry (NanoSIMS) allowed for the first time in situ visualization of plant-derived C and N taken up by an extraradical fungal hypha, and in microbial cells thriving on hyphal surfaces. When N was added to the litter compartments, bacterial biomass, and the amount of incorporated 13C strongly declined. Interestingly, this effect was also observed in adjacent soil compartments where added N was only available for bacteria through hyphal transport, indicating that ectomycorrhizal fungi were acting on soil bacteria. Together, our results demonstrate that (i) ectomycorrhizal hyphae rapidly transfer plant-derived C to bacterial communities in root-distant areas, and (ii) this transfer promptly responds to changing soil nutrient conditions. ? 2007 - 2019 Frontiers Media S.A. All Rights Reserved.</t>
  </si>
  <si>
    <t>Tropical secondary forests currently represent over half of the world?s remaining tropical forests and are critical candidates for maintaining global biodiversity and enhancing potential carbon-use efficiency (CUE) and, thus, carbon sequestration. However, these ecosystems can exhibit multiple successional pathways, which have hindered our understanding of the soil microbial drivers that facilitate improved CUE. To begin to address this, we examined soil % C; % N; C:N ratio; soil microbial biomass C (C mic ); NO 3 ? ; NH 4 + ; pH; % moisture; % sand, silt, and clay; and elevation, along with soil bacterial and fungal community composition, and determined which soil abiotic properties structure the soil C mic and the soil bacterial and fungal communities across a primary forest, 33-year-old secondary forest, and 22-year-old young secondary in the Northern Zone of Costa Rica. We provide evidence that soil microbial communities were mostly distinct across the habitat types and that these habitats appear to have affected the soil ectomycorrhizal fungi and the soil microbial groups associated with the degradation of complex carbon compounds. We found that soil C mic levels increased along the management gradient from young, to old secondary, to primary forest. In addition, the changes in soil C mic and soil fungal community structure were significantly related to levels of soil NO 3 ? . Our analyses showed that even after 33ÿyears of natural forest regrowth, the clearing of tropical forests can have persistent effects on soil microbial communities and that it may take a longer time than we realized for secondary forests to develop carbon-utilization efficiencies similar to that of a primary forest. Our results also indicated that forms of inorganic N may be an important factor in structuring soil C mic and the soil microbial communities, leading to improved CUE in regenerating secondary forests. This study is the first in the region to highlight some of the factors which appear to be structuring the soil C mic and soil microbial communities such that they are more conducive for enhanced CUE in secondary forests. ? 2018, Springer Science+Business Media, LLC, part of Springer Nature.</t>
  </si>
  <si>
    <t>Carbon fluxes and interannual drivers in a temperate forest ecosystem assessed through comparison of top-down and bottom-up approaches.ÿ</t>
  </si>
  <si>
    <t>Trophic rewilding - the (re)introduction of missing large herbivores and/or their predators - is increasingly proposed to restore biodiversity and biotic interactions, but its effects on soils have been largely neglected. The high diversity of soil organisms and the ecological functions they perform mean that the full impact of rewilding on ecosystems cannot be assessed considering only above-ground food webs. Here we outline current understanding on how animal species of rewilding interest affect soil structure, processes and communities, and how in turn soil biota may affect species above ground. We highlight considerable uncertainty in soil responses to and feedbacks on above-ground consumers, with potentially large implications for rewilding interactions with global change. For example, the impact of large herbivores on soil decomposers and plant-soil interactions could lead to reduced carbon sequestration, whereas herbivore interactions with keystone biota such as mycorrhizal fungi, dung beetles and bioturbators could promote native plants and ecosystem heterogeneity. Moreover, (re)inoculation of keystone soil biota could be considered as a strategy to meet some of the objectives of trophic rewilding. Overall, we call for the rewilding research community to engage more with soil ecology experts and consider above-ground-below-ground linkages as integral to assess potential benefits as well as pitfalls. ? 2018 The Author(s) Published by the Royal Society.</t>
  </si>
  <si>
    <t>Earth?s land surface is raised from conventionally flat 15 Gha to &amp;gt;64 Gha accounting for hilly slope undulation and topsoil relief detail. Three main aspects are: topography, rugosity/tortuosity, and micro-relief/porosity of ice/vegetation-free ground. Recalibration arises from four approaches: First, direct empirical estimates of compiled satellite/LiDAR data means of +2.5?26% surface progressively overlain by +94% at cm2 scale for soil ruggedness then +108% for mm2 micro-relief; Second, from digital elevation models with thrice 1.6?2.0 times flat areas; Third, by ?reverse engineering? global soil bulk densities and carbon reserves requiring ?4?6 land. Finally, a Fermi estimation doubles the Earth?s surface?as exposed to Sun, air and rain?conveniently set at 100 Gha (with 64 Gha land:36 Gha ocean). Soil organic carbon (SOC) thereby grows to 8580 Gt mainly in SOM-humus with its biotic complexity plus roots, Vesicular-Arbuscular Mycorrhiza (VAM-fungi), leaf-litter and earthworms itself totaling 17,810 Gt. Although four to six times IPCC?s or NASA/NOAA?s calculated 1500?2300 Gt SOC, this is likely an underestimation. Global biomass and biodiversity are at least doubled (?2?3.5) and net primary productivity (NPP) increases to &amp;gt;270 Gt C yr?1 due to terrain. Rationale for a ?Soil Ecology Institute? gains ground. ? 2018 by the author. Licensee MDPI, Basel, Switzerland.</t>
  </si>
  <si>
    <t>Aim: To compare Australian dryland soils with dryland soils globally. Location: Australian and global drylands. Methods: We used data from standardized surveys of soil properties (C, N, and P content and stoichiometry, and pH) and microbes (diversity, composition, and correlation networks) from Australian and global drylands, which occupy three-quarters of the Australian land mass and are the largest biome on Earth. Results: We found that Australian dryland soils were different, exhibiting characteristics of ancient weathered soils. They had lower pH, total and available P, and total N, and greater C:N and C:P ratios than global dryland soils. Australian soils had distinctive microbial community composition and diversity, with more Proteobacteria and fewer Basidiomycota than global dryland soils, and promoted the abundance of specific microbial phylotypes including pathogens, mycorrhizae, and saprobes. Main conclusions: Australian dryland soils are clearly different from dryland soils elsewhere. These differences need to be considered when managing dryland soils to avoid unreasonable expectations about plant productivity and carbon stocks, or when predicting likely changes in ecosystem processes resulting from global environmental change. ? 2018 John Wiley &amp; Sons Ltd</t>
  </si>
  <si>
    <t>Global warming has many negative impacts, such as droughts, floods, and crop failures. Agricultural cultivation activities can capture and produce CO2. This study aims to assess the sequestration and release of carbon from the cultivation of upland rice with straw and mycorrhiza application. This field study used two factors (types of straw and levels of mycorrhiza) which were arranged in a Completely Randomized Block Design. The first factors were three types of straw (control, fresh and weathered), and the second factors were two levels of mycorrhiza. The results showed that application of straw and mycorrhiza significantly increased the C storage soil. Furthermore, the application of fresh and weathered straw incorporated with mycorrhiza increased C sequestration up to 24,449.81 kg Ha-1 and 26,631.73 kg Ha-1. ? Published under licence by IOP Publishing Ltd.</t>
  </si>
  <si>
    <t>Glomalin-related soil protein (GRSP) is a glycoprotein from the hyphae and spores of arbuscular mycorrhizal fungi. Despite urbanization being the leading cause of present-day land-use changes, there is limited information available on the effects of urbanization on GRSP. We sampled soil from 257 plots in Harbin City, China, and surveyed forest characteristics, soil properties, and urbanization gradients related to ring road development, urban history, and land use. Two glomalin components (easily extracted glomalin, EEG; and total glomalin, TG) and their relative contributions to soil organic carbon (SOC: EEG/SOC, TG/SOC) were measured in the laboratory. We found exponential increases in EEG/SOC and TG/SOC from the most urbanized to the most rural regions, indicating that urbanization sharply reduced glomalin-related SOC sequestration. In general, 1.3?1.4-fold higher glomalin levels were found in the newly urbanized, previously rural areas, while glomalin contribution to SOC sequestration was lower by 38?59% for EEG and 74?85% for TG in the most urbanized regions compared to rural regions. Accompanying these recorded changes in glomalin, linear decreases in soil pH and electrical conductance were observed in all three urban-rural gradients from the urban center to the rural area, and steep decreases in conifer ratio and shrub richness were seen in two of the gradients. The complex associations among glomalin and forest characteristics, soil properties, and urbanization gradients were decoupled and cross-checked using redundancy analysis variation partitioning and structural equation model analysis. Urbanization indirectly changed glomalin features by altering soil properties, with soil properties accounting for over 60% of the glomalin variation. Forest characteristics and urbanization gradients contributed to 10?15% of the glomalin variation. With rapid urbanization occurring in China and on a global scale, glomalin variation should be considered when evaluating soil carbon sequestration and in developing effective forest management strategies, with the aim of ameliorating soil degradation in urbanized regions by rehabilitating glomalin accumulation. ? 2018 Elsevier Ltd</t>
  </si>
  <si>
    <t>Halbwachs H., Easton G.L., Bol R., Hobbie E.A., Garnett M.H., Per?oh D., Dixon L., Ostle N., Karasch P., Griffith G.W.</t>
  </si>
  <si>
    <t>Several lines of evidence suggest that the agaricoid, non-ectomycorrhizal members of the family Hygrophoraceae (waxcaps) are biotrophic with unusual nitrogen nutrition. However, methods for the axenic culture and lab-based study of these organisms remain to be developed, so our current knowledge is limited to field-based investigations. Addition of nitrogen, lime or organophosphate pesticide at an experimental field site (Sourhope) suppressed fruiting of waxcap basidiocarps. Furthermore, stable isotope natural abundance in basidiocarps were unusually high in 15N and low in 13C, the latter consistent with mycorrhizal nutritional status. Similar patterns were found in waxcap basidiocarps from diverse habitats across four continents. Additional data from 14C analysis of basidiocarps and 13C pulse label experiments suggest that these fungi are not saprotrophs but rather biotrophic endophytes and possibly mycorrhizal. The consistently high but variable ë15N values (10?20?) of basidiocarps further indicate that N acquisition or processing differ from other fungi; we suggest that N may be derived from acquisition of N via soil fauna high in the food chain. ? 2018 The Authors. Environmental Microbiology published by Society for Applied Microbiology and John Wiley &amp; Sons Ltd.</t>
  </si>
  <si>
    <t>Most tree roots on Earth form a symbiosis with either ecto- or arbuscular mycorrhizal fungi. Nitrogen fertilization is hypothesized to favor arbuscular mycorrhizal tree species at the expense of ectomycorrhizal species due to differences in fungal nitrogen acquisition strategies, and this may alter soil carbon balance, as differences in forest mycorrhizal associations are linked to differences in soil carbon pools. Combining nitrogen deposition data with continental-scale US forest data, we show that nitrogen pollution is spatially associated with a decline in ectomycorrhizal vs. arbuscular mycorrhizal trees. Furthermore, nitrogen deposition has contrasting effects on arbuscular vs. ectomycorrhizal demographic processes, favoring arbuscular mycorrhizal trees at the expense of ectomycorrhizal trees, and is spatially correlated with reduced soil carbon stocks. This implies future changes in nitrogen deposition may alter the capacity of forests to sequester carbon and offset climate change via interactions with the forest microbiome. ? 2018 John Wiley &amp; Sons Ltd</t>
  </si>
  <si>
    <t>Hupe A., Schulz H., Bruns C., Haase T., Heá J., Joergensen R.G., Wichern F.</t>
  </si>
  <si>
    <t>Background and aims: Soil nutrient dynamics are affected by root-microbe interactions and plant development. We investigated the influence of plant growth stage and arbuscular mycorrhiza fungi (AMF) on carbon (C) and nitrogen (N) rhizodeposition and the transfer into the microbial biomass (MB). Methods: Pea varieties (Pisum sativum L.) with (Frisson) and without mycorrhiza (P2) were 13C-15N-labelled and harvested at 45, 63, 71, and 95ÿdays after sowing. Mycorrhization, MB, total C, N, 13C, 15N were determined in plant and soil compartments to calculate C and N derived from rhizodeposition (CdfR, NdfR). Results: Total CdfR increased until pea maturity, NdfR until end of flowering. Their relative contribution steadily decreased over time, accounting for 4?10% of total plant C and N at harvest. Rhizodeposition contributed between 1 and 6% to MB C and N, although 20% of the rhizodeposits were discovered in the MB. Frisson released more NdfR than P2 but it was not possible to accurately estimate AMF effects on C and N due to differences in biomass partitioning. Conclusions: CdfR followed an even flow from early growth until senescence. NdfR flow ceased after flowering possibly due to N relocation within the plant. Rhizodeposits contribute very little to MB in our study. ? 2018, Springer Nature Switzerland AG.</t>
  </si>
  <si>
    <t>Understanding how soil processes, belowground plant and fungal species composition, and nutrient cycles are altered by disturbances is essential for understanding the role forests play in mitigating global climate change. Here we ask: How are root and fungal communities altered in a mid-successional forest during shifts in dominant tree species composition? This study utilizes the Forest Accelerated Succession ExperimenT (FASET) at the University of Michigan Biological Station (UMBS) as a platform for addressing this question. FASET consists of a 39-ha treatment in which all mature early successional aspen (Populus spp.) and paper birch (Betula papyrifera) were killed by stem-girdling in 2008. Four years after girdling, neither overall fungal diversity indices, plant diversity indices, nor root biomass differed between girdled (treated) and non-girdled (reference) stands. However, experimental advancement of succession by removal of aspen and birch resulted in 1) a shift in fungal functional groups, with significantly less ectomycorrhizal fungi, 2) a trend toward less arbuscular mycorrhizal fungi, and 3) a significant increase in the proportion of saprotrophs in girdled stands. In addition to shifts in functional groups between treated and untreated stands, ectomycorrhizal fungi proportions were negatively correlated with NH4 + and total dissolved inorganic nitrogen (DIN) in soil. This research illustrates the propensity for disturbances in forest ecosystems to shift fungal community composition, which has implications for carbon storage and nutrient cycling in soils under future climate scenarios. ? 2018 Elsevier Ltd</t>
  </si>
  <si>
    <t>Klime?ov  J., Mart¡nkov  J., Ottaviani G.</t>
  </si>
  <si>
    <t>In recent years, belowground plant ecology has experienced a booming interest. This has resulted in major advances towards a greater understanding of belowground plant and ecosystem functioning focused on fine roots, mycorrhizal associations and nutrient acquisition. Despite this, other important functions (e.g., on-spot persistence, space occupancy, resprouting after biomass removal) exerted by different belowground plant organs (e.g., roots, rhizomes, bulbs) remain largely unexplored. Here, we propose a framework providing a comprehensive perspective on the entire set of belowground plant organs and functions. We suggest a compartment-based approach. We identify two major belowground compartments, that is, acquisitive and nonacquisitive, associated with biomass allocation into these functions. Also, we recommend the nonacquisitive compartment to be divided into structural (e.g., functional roles carried out by rhizomes, such as sharing of resources, space occupancy) and nonstructural (e.g., functional roles exerted by carbohydrates reserve affecting resprouting ability, protection against climate adversity) subcompartments. We discuss methodological challenges?and their possible solutions?posed by changes in biomass allocation across growth forms and ontogenetic stages, and in relation to biomass partitioning and turnover. We urge the implementation of methods and approaches considering all the belowground plant compartments. This way, we would make sure that key, yet less-studied functions would be incorporated into the belowground plant ecology research agenda. The framework has potential to advance the understanding of belowground plant and ecosystem functioning by considering relations and trade-offs between different plant functions and organs. At last, we identify four major areas where using the proposed compartment-based approach would be particularly important, namely (a) biomass scaling, (b) clonality-resource acquisition relations, (c) linkages between resprouting and changing environmental conditions and (d) carbon sequestration. A plain language summary is available for this article. ? 2018 The Authors. Functional Ecology ? 2018 British Ecological Society</t>
  </si>
  <si>
    <t>Partial mycoheterotrophy in the leafless orchid Cymbidiumÿmacrorhizon</t>
  </si>
  <si>
    <t>Premise of the Study: The evolution of full mycoheterotrophy is one of the most interesting topics within plant evolution. The leafless orchid Cymbidium macrorhizon is often assumed to be fully mycoheterotrophic even though it has a green stem and fruit capsule. Here, we assessed the trophic status of this species by analyzing the chlorophyll content and the natural 13C and 15N abundance in the sprouting and the fruiting season. Methods: The chlorophyll content was measured in five sprouting and five fruiting individuals of C. macrorhizon that were co-occurring. In addition, their 13C and 15N isotopic signatures were compared with those of neighboring autotrophic and partially mycoheterotrophic reference plants. Key Results: Fruiting individuals of C. macrorhizon were found to contain a remarkable amount of chlorophyll compared to their sprouting counterparts. In addition, the natural abundance of 13C in the tissues of the fruiting plants was slightly depleted relative to the sprouting ones. Linear two-source mixing model analysis revealed that fruiting C. macrorhizon plants obtained approximately 73.7 ñ 2.0% of their total carbon from their mycorrhizal fungi when the sprouting individuals were used as the 100% carbon gain standard. Conclusions: Our results indicated that despite its leafless status, fruiting plants of C. macrorhizon were capable of fixing significant quantities of carbon. Considering the autotrophic carbon gain increases during the fruiting season, its photosynthetic ability may contribute to fruit and seed production. These results indicate that C. macrorhizon should, therefore, be considered a partially mycoheterotrophic species rather than fully mycoheterotrophic, at least during the fruiting stage. ? 2018 Botanical Society of America</t>
  </si>
  <si>
    <t>Per?oh D., Stolle N., Brachmann A., Begerow D., Rambold G.</t>
  </si>
  <si>
    <t>Saprotrophic and ectomycorrhizal (EcM) forest fungi decompose organic matter and mobilize nutrients for host plants, respectively. Competition between the two guilds may cause the so-called Gadgil effect, i.e., decreased litter decomposition rates resulting in increased carbon storage in soil. The Gadgil effect was supposed to even affect global climate, highlighting the necessity to understand fungal distribution and interactions in soil. Searching for evidence of competition between saprotrophic and mycorrhizal fungi, we analyzed the distribution of fungi along a well-stratified vertical spruce forest soil profile in two seasons, i.e., autumn and the following spring. The different soil strata (i.e., two mineral horizons and two organic layers) underneath the litter layer were colonized by distinct fungal communities, which included roughly consistent proportions of all fungal guilds and phyla at each time. However, the community composition changed quantitatively between the sampling dates. Along the vertical soil profile, it differed mostly between the organic layers and the mineral soil, which is supposed to be due to differences in the predominant energy sources (i.e., aboveground litter and rhizodeposition, respectively). Network analyses revealed co-occurrences (i.e., positive correlations of individual abundances) to outweigh mutual exclusions (i.e., negative correlations) between individual fungi in each soil stratum and season. This also applied for interactions between saprotrophic and EcM fungi. Network analyses therefore provided no indications for a possible Gadgil effect. However, considering individual nutrient use efficiencies might refine insights from network analyses in future studies and facilitate linking community dynamics to ecosystem processes. ? 2018, German Mycological Society and Springer-Verlag GmbH Germany, part of Springer Nature.</t>
  </si>
  <si>
    <t>Forest soils store large amounts of carbon (C) and nitrogen (N), yet how predicted shifts in forest composition will impact long-term C and N persistence remains poorly understood. A recent hypothesis predicts that soils under trees associated with arbuscular mycorrhizas (AM) store less C than soils dominated by trees associated with ectomycorrhizas (ECM), due to slower decomposition in ECM-dominated forests. However, an incipient hypothesis predicts that systems with rapid decomposition?e.g. most AM-dominated forests?enhance soil organic matter (SOM) stabilization by accelerating the production of microbial residues. To address these contrasting predictions, we quantified soil C and N to 1ÿm depth across gradients of ECM-dominance in three temperate forests. By focusing on sites where AM- and ECM-plants co-occur, our analysis controls for climatic factors that covary with mycorrhizal dominance across broad scales. We found that while ECM stands contain more SOM in topsoil, AM stands contain more SOM when subsoil to 1ÿm depth is included. Biomarkers and soil fractionations reveal that these patterns are driven by an accumulation of microbial residues in AM-dominated soils. Collectively, our results support emerging theory on SOM formation, demonstrate the importance of subsurface soils in mediating plant effects on soil C and N, and indicate that shifts in the mycorrhizal composition of temperate forests may alter the stabilization of SOM. ? 2018 John Wiley &amp; Sons Ltd</t>
  </si>
  <si>
    <t>Despite the great importance of fine roots, which are referred to as roots smaller than 2 mm in diameter, in terms of carbon and nutrient cycling in terrestrial ecosystems, how fine root biomass, production, and turnover rate change with stand development remains poorly understood. Here we assessed the variations of fine root biomass, production, and morphology of trees and understory vegetation in Chinese fir (Cunninghamia lanceolata (Lamb.) Hook) plantations at the ages of 7 years old, 17 years old and 25 years old in southern China, representing the sapling, pole and mature stage, respectively. Fine roots of trees and understory vegetation were sampled with sequential coring method to a depth of 60 cm and sliced into 4 layers (0-15, 15-30, 30-45 and 45-60 cm). Fine root biomass and necromass were highest in the pole stages among these three different aged Chinese fir plantations, although the significant differences were only detected for fine root necromass between 25-year-old and 7-year-old plantations. Fine root biomass of Chinese fir was heterogeneous in both temporal and spatial dimensions. Seasonal variation of fine root biomass in three age groups showed a similar pattern that the standing fine root biomass reached a peak in January and fell to the lowest in July. Vertically, the fine root biomass decreased with the increase of soil depth, but this extinction rate decreased with stand development. The effects of stand age on either total fine root length and surface area, or specific root length were not significant. However, the root tissue density increased significantly with Chinese fir stand ages, which suggested that the fine roots on Chinese fir may resort more to the mycorrhizal associations for the nutrient and water acquisition in the later stage of Chinese fir plantations. In addition to the stand age effect, the fine roots exhibited highly spatial and temporal variations in Chinese plantations, indicating different root foraging strategies for soil nutrient and water acquisition. Therefore, the fine root research not only helps to understand its role in carbon sequestration in terrestrial ecosystem under global climate change, but can also improve our understanding of nutrient management in forest ecosystem. At the same time, the research on the productivity of the Chinese fir growth stage provides guiding significance for the construction and management of Chinese fir. ? 2018 by the authors.</t>
  </si>
  <si>
    <t>Summary: Glomalin-related soil protein (GRSP) can bind heavy metals and plays an important role in soil carbon sequestration. The GRSP contains glycoproteins produced by arbuscular mycorrhizal fungi (AMF), as well as lipids, humic materials and non-mycorrhizal-related heat-stable proteins, which might be affected by environmental conditions. Current and predicted changes in global climate make it important to understand how GRSP might be affected by higher atmospheric temperatures and heavy metal contamination of soil. Here, we investigated the response of GRSP to higher temperature in the rhizosphere of Robinia pseudoacacia L. seedlings in cadmium (Cd)-contaminated soil. Easily extractable (EE) and total (T) GRSP concentrations increased significantly (P &lt; 0.05) under Cd pollution alone. Compared with ambient temperature, a higher temperature (2.7øC) alone significantly (P &lt; 0.05) increased EE- and T-GRSP concentrations, the EE-GRSP:T-GRSP ratio and the GRSP:soil organic carbon (SOC) ratio, but significantly (P &lt; 0.05) decreased SOC content in the rhizosphere. Higher temperature significantly (P &lt; 0.05) increased EE- and T-GRSP concentrations, the EE-GRSP:T-GRSP ratio and the GRSP:SOC ratio, but decreased SOC content under Cd pollution. Under higher temperature, the amount of Cd bound to GRSP increased significantly (P &lt; 0.05), and available Cd content decreased significantly (P &lt; 0.05). Glomalin-related soil protein contributed more carbon to the rhizosphere SOC pool under higher temperature + Cd than under Cd alone, and the higher temperature led to a significant (P &lt; 0.05) decrease in available Cd. Under the higher temperature, T-GRSP contributed more to the decrease in available Cd than did EE-GRSP. Increases in GRSP resulting from higher temperatures could increase Cd binding in contaminated soil. Highlights: Higher temperature increased GRSP in the rhizosphere of R. pseudoacacia seedlings. The amount of Cd bound to GRSP increased under higher temperature. Available Cd in rhizosphere soil decreased under higher temperature. Higher temperature could contribute to chelation of Cd-contaminated soil. ? 2018 British Society of Soil Science</t>
  </si>
  <si>
    <t>Mercado-Blanco J., Abrantes I., Caracciolo A.B., Bevivino A., Ciancio A., Grenni P., Hrynkiewicz K., Kredics L., Proen‡a D.N.</t>
  </si>
  <si>
    <t>Trees are crucial for sustaining life on our planet. Forests and land devoted to tree crops do not only supply essential edible products to humans and animals, but also additional goods such as paper or wood. They also prevent soil erosion, support microbial, animal, and plant biodiversity, play key roles in nutrient and water cycling processes, and mitigate the effects of climate change acting as carbon dioxide sinks. Hence, the health of forests and tree cropping systems is of particular significance. In particular, soil/rhizosphere/root-associated microbial communities (known as microbiota) are decisive to sustain the fitness, development, and productivity of trees. These benefits rely on processes aiming to enhance nutrient assimilation efficiency (plant growth promotion) and/or to protect against a number of (a)biotic constraints. Moreover, specific members of the microbial communities associated with perennial tree crops interact with soil invertebrate food webs, underpinning many density regulation mechanisms. This review discusses belowground microbiota interactions influencing the growth of tree crops. The study of tree-(micro)organism interactions taking place at the belowground level is crucial to understand how they contribute to processes like carbon sequestration, regulation of ecosystem functioning, and nutrient cycling. A comprehensive understanding of the relationship between roots and their associate microbiota can also facilitate the design of novel sustainable approaches for the benefit of these relevant agro-ecosystems. Here, we summarize the methodological approaches to unravel the composition and function of belowground microbiota, the factors influencing their interaction with tree crops, their benefits and harms, with a focus on representative examples of Biological Control Agents (BCA) used against relevant biotic constraints of tree crops. Finally, we add some concluding remarks and suggest future perspectives concerning the microbiota-assisted management strategies to sustain tree crops. ? 2018 Mercado-Blanco, Abrantes, Barra Caracciolo, Bevivino, Ciancio, Grenni, Hrynkiewicz, Kredics and Proen‡a.</t>
  </si>
  <si>
    <t>Glomalin-related soil protein (GRSP), a particular terrigenous-derived carbon (C), is transported to the coastal oceans, where it accumulates in sediments. We hypothesized that terrigenous C (GRSP) accumulation could enhance marine C sequestration, and sediment fertility would increase the C stock in the marine ecosystem. In this study, we tested GRSP contribution to marine sediment C, nitrogen (N) and iron (Fe), and explored whether GRSP deposition varied with sediment fertility levels in the Old Yellow River delta. The mean concentration of total GRSP was 1.10 ñ 0.04 mg g? 1 (0.24 Mg C ha? 1), accounting for 6.41 ñ 0.17% of total organic C and 3.75 ñ 0.13% of total N in the 0?10 cm marine sediments, indicating that the coastal marine system is an important sink of GRSP. GRSP also contained 1.46 ñ 0.06% Fe (20.7 kg Fe ha? 1), accounting for 0.058 ñ 0.003% of total Fe in marine sediments. Meanwhile, Fe-content in GRSP significantly decreased with distance from the shore, indicating that Fe was released with GRSP transfer and thus GRSP was a new natural Fe fertilization in marine environment. Furthermore, GRSP enhanced marine C sequestration by its rapid deposition and Fe contribution. Combined indicators of sediment fertility (factor 1) were significantly positively correlated with GRSP concentrations by Principal Component Analysis. Co-deposited with nutrient elements, GRSP fractions were accumulated more in more fertile sediments but less in less fertile sediments. GRSP, a mixture of co-existent multiple elements, can be used as a nutrient controlled-release agent in the marine ecosystem. GRSP fractions were responsive to marine sediment fertility levels and the understanding of their function in sediment C sequestration will provide new insights into the importance of terrestrial-marine linkages. ? 2017 Elsevier B.V.</t>
  </si>
  <si>
    <t>Despite the general appreciation that arbuscular mycorrhizal fungi (AMF) can influence decomposition of organic materials, the underlying mechanisms remain unclear. Here we investigated whether AMF influence decomposition and change the associated soil bacterial and fungal communities through nutrient acquisition and whether this effect is altered by the level of soil phosphorus (P). We conducted a pot experiment using Medicago truncatula as host plant without or with AMF (a mixture of six species) and with two levels of soil P (4 and 24 mg kg?1). Hyphal-ingrowth mesh bags (which excluded roots but not hyphae or other microbes) were used to measure the effect of AMF hyphae on decomposition. Maize leaves dual-labeled with 15N:13C stable isotopes were used as the organic substrate. Bacterial and fungal communities were accessed via sequencing of partial 16S rRNA and ITS genes. The results showed the 15N and 13C content of the organic matter remaining in the mesh bags under low soil P availability were significantly lower in the treatment with AMF than without AMF. Under high soil P availability, however, no significant difference of 15N content remaining was found between AMF and non-AMF treatments, while 13C content remaining was higher in AMF than in non-AMF treatment. Levels of mycorrhizal colonization and 15N transport from organic matter to the host by AMF hyphae were higher at low P availability than at high P availability, suggesting that the host can acquire more nutrients through the AM from organic matter when soil P availability was low. The composition of bacterial and fungal communities were altered by AMF at both soil P levels. For bacterial community, the richness and diversity were higher with low P availability, especially for the phyla Saccharibacteria and Nitrospirae. For fungal community, AMF increased the richness but not the diversity under low P availability. Together, we show that AMF acquire nutrients from organic matter for host, influence decomposition and alter the bacterial and fungal communities, and that these effects were modulated by the soil P availability. ? 2018 Elsevier Ltd</t>
  </si>
  <si>
    <t>Fungi play a pivotal role in the carbon sequestration potential of boreal peatlands through the process of decomposition. As such, climate-driven changes in the diversity and community composition of peatland fungal communities could have substantial impacts on carbon release from these ecosystems, especially in subsurface peat that represents an important global carbon stock. We used Illumina MiSeq sequencing of rDNA to examine fungal communities after 18 months in intact peatland mesocosms subjected to conditions associated with Canada's future climate, including: warming, elevated atmospheric CO2 and lowered water table. Warming was the main driver of changes in fungal communities across three depths of the peat profile with both Ascomycota- and Basidiomycota-dominated groups becoming more homogenous under warming conditions. Specific changes in fungal functional groups, however, were temperature dependent with potential cellulose decomposers and mycorrhizal root-associated fungi from Basidiomycota dominant under warming of +4 øC, whereas there was a prevalence of potential lignocellulose decomposers and mycorrhizal root-associated fungi from Ascomycota under +8 øC warming. These climate change-induced shifts in the structure of fungal communities in favour of recalcitrant compound decomposers observed across a depth gradient, may reduce long-term carbon storage of boreal peatlands under future climate change scenarios. ? 2018 Elsevier Ltd</t>
  </si>
  <si>
    <t>Most temperate green orchids form mycorrhizae with rhizoctonias fungi and are considered autotrophic. Some orchids, however, associate with fungi that also form ectomycorrhizae with surrounding trees and derive part of their carbon from these fungi. This evolutionarily derived condition, called mixotrophy, is characterized by natural 13C enrichment and high N content. Some orchid genera display both syndromes depending on species. Here, we further document the isotopic features of a rhizoctonias-associated species, Epipactis palustris, in a genus otherwise encompassing many mixotrophic orchids. First, E. palustris in two wetland sites from Northern Europe displayed similar to slightly-depleted 13C abundance and identical N content as compared with surrounding autotrophic plants, confirming published results on this species. Second, some individuals growing in darker conditions (63% reduced irradiation) revealed a decrease of 13C abundance as expected (and observed at the same place) for autotrophic plants. The latter result expands previous observations on other rhizoctonias-associated orchid species. We discuss our results in relationship with the current views of the two nutritional syndromes of green orchids (especially, with the doubts on autotrophy of rhizoctonias-associated species) and in the framework of the phylogeny of Epipactis that evolved secondarily mixotrophy. The latter observation entails that the tribe Neottieae repeatedly evolved mixotrophy. ? 2018, ? 2018 Soci‚t‚ botanique de France.</t>
  </si>
  <si>
    <t>Biochar: Reality and potential use in forestry [Biocarv?o: Realidade e potencial de uso no meio florestal]</t>
  </si>
  <si>
    <t>The use of carbonized plant biomass has been recovered and evaluated as an alternative of improving soil fertility. The material generated, called biochar, is the product formed by pyrolysis, which is the thermal decomposition of biomass in a closed container under limited supply of oxygen and at relatively low temperatures. The chemical and structural composition of biochar is highly heterogeneous, with the exception of pH, which is usually higher than seven. Some properties are present in all kinds of biochar, including high carbon content and degree of aromaticity, which explains its high level of recalcitrance. However, its exact chemical composition and structure depends on the combination of raw material and pyrolysis conditions. When applied to soil, biochar can increase pH, cation exchange capacity and organic carbon and nutrient availability, raises in the abundance and functioning of mycorrhizal fungi, providing refuge for micro-organisms in the biochar micropores and improving soil structure and water availability. All these features in the soil interaction make its use in the agriculture normally to have positive effects on plant growth. It is believed that the use of biochar can contribute to carbon sequestration, it is considered by many as ?carbon negative? due to its ability to promote plant growth and its stability in the soil. Studies with biochar have reached worldwide proportions involving different areas, and have grown a lot in recent years. However, there are still many uncertainties about its use in agriculture, mainly because the published papers have given more focus to biochar ability to maintain and improve soil fertility and increase agricultural productivity than to clarify the possible risks involved in biochar utilization. ? 2018, Universidade Federal de Santa Maria. All rights reserved.</t>
  </si>
  <si>
    <t>Looney B.P., Meidl P., Piatek M.J., Miettinen O., Martin F.M., Matheny P.B., Labb‚ J.L.</t>
  </si>
  <si>
    <t>The family Russulaceae is considered an iconic lineage of mostly mushroom-forming basidiomycetes due to their importance as edible mushrooms in many parts of the world, and their ubiquity as ectomycorrhizal symbionts in both temperate and tropical forested biomes. Although much research has been focused on this group, a comprehensive or cohesive synthesis by which to understand the functional diversity of the group has yet to develop. Interest in ectomycorrhizal fungi, of which Russulaceae is a key lineage, is prodigious due to the important roles they play as plant root mutualists in ecosystem functioning, global carbon sequestration, and a potential role in technology development toward environmental sustainability. As one of the most species-diverse ectomycorrhizal lineages, the Russulaceae has recently been the focus of a dense sampling and genome sequencing initiative with the Joint Genome Institute aimed at untangling their functional roles and testing whether functional niche specialization exists for independent lineages of ectomycorrhizal fungi. Here we present a review of important studies on this group to contextualize what we know about its members' evolutionary history and ecosystem functions, as well as to generate hypotheses establishing the Russulaceae as a valuable experimental system. ? 2018 UT-Battelle New Phytologist ? 2018 New Phytologist Trust</t>
  </si>
  <si>
    <t>Orchids produce dust seeds dependent on the provision of organic carbon by mycorrhizal fungi for their early development stages. Hence, all chlorophyllous orchids experience a dramatic switch in trophic strategies from initial mycoheterotrophy to either autotrophy or partial mycoheterotrophy during ontogeny. Yet, the degree to which partially mycoheterotrophic orchids gain carbon from their mycorrhizal fungi is unclear based on existing approaches. Here, we propose a novel approach to quantify the fungal-derived organic matter gain of chlorophyllous mature orchids mycorrhizal with rhizoctonia fungi, using the stable isotope signatures of their fully mycoheterotrophic (FMH) seedlings in a linear two-source mixing model. We conducted a field germination experiment with seven orchid species and measured carbon, nitrogen and hydrogen stable isotope natural abundances and nitrogen concentrations of mature orchids, underground seedlings, and autotrophic references. After in situ burial for 19?30ÿmonths, germination rates varied considerably among five orchid species and failed for two. On average, underground seedlings were enriched in 13C and 15N relative to mature orchids and had higher nitrogen concentrations. Using the mean enrichment factors î13C and î2H of seedlings as FMH endpoint, the organic matter gain derived by mature orchids from mycorrhizas was c. 20%. Chlorophyllous orchids mycorrhizal with rhizoctonias are predisposed to partially mycoheterotrophic nutrition due to their initially mycoheterotrophic seedling stage. We show that the carbon and hydrogen isotope abundances of underground seedlings can be used in an improved mixing-model to identify a significant proportion of fungal-derived organic matter in mature orchids. A plain language summary is available for this article. ? 2018 The Authors. Functional Ecology ? 2018 British Ecological Society</t>
  </si>
  <si>
    <t>As part of the conservation programme for Cypripedium calceolus in England, seedlings have been produced in axenic culture and grown in pots prior to planting out at putatively suitable locations in northern England, the success of these introductions is expected to be dependent on the presence of appropriate mycorrhizal fungi at the introduction sites and the re-establishment of mycorrhizal associations by the introduced plants. To investigate mycorrhizal function, leaf samples of C. calceolus and associated non-orchid species were collected from the native wild site and from plants at three of the introduction sites and screened for enrichment in isotopes of carbon (C), nitrogen (N) and hydrogen (H) that are indicative of an exchange of matter between fungi and orchids in orchid mycorrhizal associations. Total N concentration was also measured. At all sites, plants of C. calceolus were enriched in 2H and, to a lesser extent, 15N relative to the associated species and had higher concentrations of total N. There was no apparent enrichment in 13C. Together, these results indicate that all the screened individuals of C. calceolus (wild and introduced) are likely to have formed a mycorrhizal association with a rhizoctonia. Thus, after introduction the axenically produced seedlings may have established a mycorrhizal relationship with the same type of fungus utilized by C. calceolus elsewhere in its range. ? 2018 The Linnean Society of London.</t>
  </si>
  <si>
    <t>Phosphorus ore extraction for soil fertilization supports the demand of modern agriculture, but extractable resource limitations, due to scarcity, impose a P reuse and recycling research agenda. Here we propose to integrate biochar production (pyrogenic carbon) with municipal and agricultural waste management systems, to recover and reuse phosphorous that would otherwise be lost from the ecological food web. A meta-analysis and available data on total P in biochar indicated that P-enriched feedstocks include animal manure, human excreta, and plant-biomass collected from P-polluted sites. Phosphorus in biochar could participate in P equilibriums in soils and is expected to supply P. The release, sorption and desorption of P by biochar will codetermine the potential of P replenishment by biochar and P loss from biochar-amended soils. Abiotic and biotic factors are expected to affect sorption/desorption of P between biochar and soil aggregates, and P acquisition by plants. Chemical extraction, using acid or alkaline solutions, is considered as a means for P retrieval from high P biochar, especially for biochar with high heavy metal contents. To bridge the gap between academia and practice, this paper proposes future development for phosphorus acclamation by pyrolysis: 1) identification of high-P bio-waste for pyrolysis; 2) retrieval of P by using biochar as soil amendment or by chemical leaching; 3) biochar modification by inorganic nutrients, P solubilizing microorganisms and other organic matter; and 4) compatible pyrolysis equipment fit to the current waste management context, such as households, and waste water treatment plants. ? 2017 Elsevier Ltd</t>
  </si>
  <si>
    <t>From mycorrhizal fungal traits to ecosystem properties ? and back again</t>
  </si>
  <si>
    <t>Mycorrhizal fungi are known for their functional importance in plant growth and nutrition, and because these symbiotic fungi represent a fundamental linkage between plants and soils, they likely underpin a number of biogeochemical processes in ecosystems. However, our ability to isolate and quantify their role in ecosystems has remained a challenge. This special feature presents seven new studies that advance our understanding of how mycorrhizal fungi contribute to ecosystem function. We specifically highlight two complementary approaches by which ecologists are gaining insight: focusing on mycorrhizal fungal traits to target the biological mechanisms that scale up to the ecosystem, and capturing patterns and processes across ecosystems to understand the net effect of complex plant?fungal?soil interactions. The studies in our special feature provide evidence that traits both within and across species of mycorrhizal fungi can contribute to ecosystem processes, and that disturbance from global change and management may result in altered mycorrhizal traits and lead to compromised ecosystem function. From a broader perspective, studies also demonstrate that key ecosystem properties vary over gradients of mycorrhizal dominance and time, suggesting that mycorrhizal effects emerge from complex interactions within ecosystems Synthesis. Employing complementary approaches to the study of mycorrhizal ecology may allow us to isolate the mycorrhizal traits that matter most for ecosystem properties, as well as the suite of ecosystem properties that result from mycorrhizal fungi, thus converging on biogeochemical mechanisms that underpin terrestrial ecosystem function. ? 2018 The Authors. Journal of Ecology ? 2018 British Ecological Society</t>
  </si>
  <si>
    <t>carbon sequestration; ecosystem function; ecosystem productivity; functional traits; global change; mycorrhiza; plant?microbial symbiosis; successional trajectory</t>
  </si>
  <si>
    <t>Root-derived inputs are increasingly viewed as primary controls of soil organic matter (SOM) formation; however, we have a limited understanding of how root decay rates depend on soil factors, and how decaying roots influence the breakdown of leaf litter and SOM. We incubated root and leaf litter (alone and in combination) from arbuscular mycorrhizal (AM) and ectomycorrhizal (ECM) trees in soils collected from forest plots dominated by AM and ECM trees in a factorial design. In each microcosm, we quantified litter decay rates and the effects of decaying litters on soil C balance. We hypothesized that (1) AM root litters would decompose faster than ECM root litters, (2) root litter decay would be greatest when decomposed in ?home? soils (e.g. AM litters in AM soils and ECM litters in ECM soils) and (3) root and leaf litters would decompose faster when decaying in the same microcosms than when decaying in separate microcosms, resulting in the largest CO2 losses. Overall, AM root litter decomposed faster than ECM root litter, and the magnitude of this effect depended on soil origin. AM litters decayed fastest in AM soils, but ECM and mixed AM?ECM litters were unaffected by soil origin. Decaying roots increased leaf litter mass loss, but only in microcosms containing soils of the same origin (e.g. AM litters in AM soils; mixed litters in mixed soils). Carbon losses were dominated by microbial respiration, and the magnitude of this flux depended on litter type and soil origin. When leaves and roots decayed together, respiratory losses exceeded those from microcosms containing leaves and roots alone, with the largest losses occurring in each litters' ?home? soil. In AM soils, elevated losses were driven by roots accelerating leaf decay, while in ECM soils, elevated losses resulted from roots and leaves accelerating the decay of SOM; in mixed soils, root-induced increases in leaf and SOM decay contributed to elevated C losses. Synthesis. Our results suggest that root, leaf and SOM decay are intertwined, and that measurements of these processes in isolation may lead to incorrect estimates of the magnitude and source of C losses from soils. ? 2018 The Authors. Journal of Ecology ? 2018 British Ecological Society</t>
  </si>
  <si>
    <t>ecosystem carbon storage; home-field advantage; mycorrhizal association; plant?soil interactions; priming effects; root turnover</t>
  </si>
  <si>
    <t>Arbuscular mycorrhizal fungi (AMF) form symbiotic relationships with most plant roots in natural and agroecosystems. The benefit of the relationship to AMF, host plant and soil is realized through the production of extraradical hyphae important to nutrient acquisition and soil carbon (C) storage. Maize grown in rotation with soybeans is a major agroecosystem in the Midwest and northern Great Plains of the United States and its potential to sequester C is the subject of much research. The goal of this study was to determine the impact of crop rotation and N rate on the production of extraradical AMF biomass in a long-term, minimal till field in eastern Nebraska (USA) where maize had been grown continuously (M-M; current crop in bold) or in rotation with soybeans (M-S; S-M) and treated with five nitrogen (N) rates (0, 50, 100, 150 and 300 kg N ha?1) for 12 years. The amount of extraradical AMF biomass was measured in the top 20 cm of soil using fatty acid methyl ester (FAME) analysis of the AMF biomarker C16:1cis11. AMF biomass was highest under M-M with significant rotation by date by N rate interactions. At peak crop biomass in August the AMF biomarker under 0 N addition declined from 37.5 nmol g?1 in M-M to 16.7 nmol g?1 in M-S to 8.0 nmol g?1 in soybean following maize (S-M). In M-M extraradical AMF biomass declined sharply as N rate increased from 0 to 100 kg ha?1. A similar trend was found for M-S, but significant only at p &amp;lt; 0.1. Declining soil pH with increasing N rate could not account for this difference indicating a more direct effect of N on soil AMF biomass. This is in contrast to maize roots sampled the same year from the same field site where intraradical AMF structures were non-responsive to N rate (Tian et al., 2013). During soybean growth (S-M), there was no relationship between soil AMF biomass and the previous year's maize N rate. The effect of crop rotation and long-term N application on the extraradical AMF biomass in soil has implications for nutrient cycling, crop growth promotion, soil tilth, and C storage. ? 2017 Elsevier B.V.</t>
  </si>
  <si>
    <t>Fine root litter is the principal source of carbon stored in forest soils and a dominant source of carbon for fungal decomposers. Differences in decomposer capacity between fungal species may be important determinants of fine-root decomposition rates. Variable-retention harvesting (VRH) provides refuge for ectomycorrhizal fungi, but its influence on fine-root decomposers is unknown, as are the effects of functional shifts in these fungal communities on carbon cycling. We compared fungal communities decomposing fine roots (in litter bags) under VRH, clearcut, and uncut stands at two sites (6 and 13 years postharvest) and two decay stages (43 days and 1 year after burial) in Douglas fir forests in coastal British Columbia, Canada. Fungal species and guilds were identified from decomposed fine roots using high-throughput sequencing. Variable retention had short-term effects on ?-diversity; harvest treatment modified the fungal community composition at the 6-year-postharvest site, but not at the 13-year-postharvest site. Ericoid and ectomycorrhizal guilds were not more abundant under VRH, but stand age significantly structured species composition. Guild composition varied by decay stage, with ruderal species later replaced by saprotrophs and ectomycorrhizae. Ectomycorrhizal abundance on decomposing fine roots may partially explain why fine roots typically decompose more slowly than surface litter. Our results indicate that stand age structures fine-root decomposers but that decay stage is more important in structuring the fungal community than shifts caused by harvesting. The rapid postharvest recovery of fungal communities decomposing fine roots suggests resiliency within this community, at least in these young regenerating stands in coastal British Columbia. ? 2018 American Society for Microbiology.</t>
  </si>
  <si>
    <t>Hess C., Niemeyer T., Fichtner A., Jansen K., Kunz M., Maneke M., von Wehrden H., Quante M., Walmsley D., von Oheimb G., H„rdtle W.</t>
  </si>
  <si>
    <t>Global change affects the functioning of forest ecosystems and the services they provide, but little is known about the interactive effects of co-occurring global change drivers on important functions such as tree growth and vitality. In the present study we quantified the interactive (i.e. synergistic or antagonistic) effects of atmospheric nitrogen (N) deposition and climatic variables (temperature, precipitation) on tree growth (in terms of tree-ring width, TRW), taking forest ecosystems with European beech (Fagus sylvatica L.) as an example. We hypothesised that (i) N deposition and climatic variables can evoke non-additive responses of the radial increment of beech trees, and (ii) N loads have the potential to strengthen the trees' sensitivity to climate change. In young stands, we found a synergistic positive effect of N deposition and annual mean temperature on TRW, possibly linked to the alleviation of an N shortage in young stands. In mature stands, however, high N deposition significantly increased the trees? sensitivity to increasing annual mean temperatures (antagonistic effect on TRW), possibly due to increased fine root dieback, decreasing mycorrhizal colonization or shifts in biomass allocation patterns (aboveground vs. belowground). Accordingly, N deposition and climatic variables caused both synergistic and antagonistic effects on the radial increment of beech trees, depending on tree age and stand characteristics. Hence, the nature of interactions could mediate the long-term effects of global change drivers (including N deposition) on forest carbon sequestration. In conclusion, our findings illustrate that interaction processes between climatic variables and N deposition are complex and have the potential to impair growth and performance of European beech. This in turn emphasises the importance of multiple-factor studies to foster an integrated understanding and models aiming at improved projections of tree growth responses to co-occurring drivers of global change. The present study shows that interaction effects of global change drivers such as climate change and nitrogen pollution non-additively affect tree growth and have the potential to impair performance and services of European beech forest ecosystems. ? 2017 Elsevier Ltd</t>
  </si>
  <si>
    <t>Arbuscular mycorrhizal (AM) fungi produce a recalcitrant glycoprotein, (glomalin-related soil protein (GRSP)), which can contribute to soil carbon sequestration. Here we made a first study to characterize the spatial distribution of GRSP fractions in a mangrove forest at Zhangjiang Estuary, Southeastern China and to explore potential contributions of GRSP to sediment organic carbon (SOC) in this forest. We identified GRSP fractions in surface sediments, as well as those at a depth of 50 cm. The contents of easily extractable GRSP (EE-GRSP), total GRSP (T-GRSP), GRSP in particulate organic matter (POM-GRSP) and GRSP in pore water (PW-GRSP) ranged between 1.20?2.22 mg g? 1, 1.38?2.61 mg g? 1, 1.45?10.78 mg g? 1 and 10.35?39.65 mg L? 1 respectively, and these four GRSPs are significantly affected by sample sites and sediment layers. Carbon in GRSP accounted for 2.8?5.9% of SOC and its contributions can far exceed that of microbial biomass carbon (0.21?0.73%) in the 0?50 cm sediment layers. Our data indicate that GRSP could be transported by pore water and accumulated in sediment profiles. The non-linear regression analysis revealed that as SOC and particulate organic carbon (POC) contents decrease, GRSP proportions increase, indicating the increase of the recalcitrant carbon offsetting the effects of mangrove carbon loss, especially labile C. Regression and ordination analyses indicated that GRSP fractions were mainly positively correlated with sediment carbon fractions and spore density but were negatively correlated with sand, pH. Strikingly, the unfavorable environmental factors for microbial organisms, especially AM fungi, prove to be able to promote the production or accumulation of GRSP. We propose that there are two different pathways for affecting the pool size of GRSP in mangrove ecosystems: (i) directly via indigenous AM fungi propagules; (ii) or via the GRSP transport and deposition by pore water and tides. ? 2017 Elsevier B.V.</t>
  </si>
  <si>
    <t>In this chapter, we evaluate the role of various plant community attributes as determinants of soil carbon cycling and storage. We firstly consider how vegetation composition influences carbon uptake, the molecular forms and stabilization of soil carbon, and losses of carbon while highlighting contrasts across vegetation types. We then discuss the various roles of the soil microbial community in these processes, consider the importance of diurnal and seasonal cycles, and the potential effect of climate change on soil carbon cycling and storage. We also provide case studies to illustrate the mechanisms by which vegetation composition impacts soil carbon storage and identify important gaps in vegetation models that seek to predict soil carbon dynamics at regional and global scales. ? 2018 Elsevier Inc. All rights reserved.</t>
  </si>
  <si>
    <t>Soils are key ecosystem components that provide rooting material for plants and are the habitat for the saprophytic organisms that recycle matter and nutrients through the decomposition process. Soil ecology is concerned with the interactions between organisms in the soil (both microbe and fauna) and between soil organisms and their physical and chemical environments. The heterogeneity of the soil habitat supports a very high diversity of bacteria, fungi, and microscopic and macroscopic soil animals. These organisms are the primary drivers of the decomposition of organic materials, the efflux of carbon dioxide soils, and the cycling of nutrients within soils. The diversity of soil organisms is also seen in its functional characteristics, with organisms influencing ecosystem properties ranging from soil physical characteristics to the rate of nutrient dynamics. Trophic interactions in soil food webs drive much of these ecosystem functions. The opaque nature of soil, difficulty of in situ observation, and the relatively unexplored diversity of soil organisms make direct, explicit links between diversity and function in soils problematic. Confounding this is the highly heterogeneous and complex structure and composition of soils. Modern techniques and conceptual tools are allowing progress to be made in linking the microscopic scales of soil organisms to the broad scales at which ecosystems and the biosphere function. ? 2008 Elsevier B.V. All rights reserved.</t>
  </si>
  <si>
    <t>In terrestrial ecosystems, plants are the transducers that provide the energy for microbial metabolism through root exudation, cell sloughing, and the input of leaf and root litter. They have profound impacts on biogeochemical cycles and are pivotal control points in the soil for the regulation of ecosystem biogeochemistry. Plant biomass is composed of C-, N-, and P-containing molecules, which are synthesized during plant growth after assimilation of atmospheric CO2 and mineral nutrients, thus leading to coupling of elemental cycles. Plant-derived litter compounds will undergo different fates depending upon their properties, their localization, and availability to the soil microbial biomass. Microbial degradation leads to decoupling of C, N, and P cycles, and it results in CO2 emission and nutrient release. Soluble N and P forms are susceptible to be lost from the system if not taken up by plants or microorganisms. On the other hand, microbial activity stimulated by plant-derived organic matter input may also reuse these mineral N and P and recouple them with C. All three processes may be influenced by plant activity. Plants are able to control microbial processes by exudation of signalling molecules and to closely interact with rhizosphere microorganisms. In addition, CNP coupling and decoupling may be controlled by plants through their symbiosis with mycorrhizal fungi. The aim of this chapter is to shed light on plants? impact on the processes involved in the coupling and decoupling processes, which control stoichiometric relationships in different ecosystems, and to show how they control carbon sequestration and other ecosystem services. By understanding the plants? control on CNP cycles, important advances for the understanding of biogeochemical feedbacks, which may ultimately constrain long-term ecosystem responses to global change, can be achieved. ? 2019 Elsevier Inc. All rights reserved.</t>
  </si>
  <si>
    <t>The boreal green orchid Goodyera repens is an object of debates on its mycorrhizal symbionts' diversity and nutritional strategy. The study was focused on biodiversity of G. repens mycobionts and root fungal endophytes diversity revealing by direct molecular identification from roots and rhizomes and estimation of its possible partial heterotrophy by 13C/15N stable isotope analysis. Thirteen fungal taxa, predominantly basidiomycetes, both saprotrophs and ectomycorrhizal were detected, and the shared with coniferous tree mycobiont (Russula vinosa) was revealed both in orchid and neighbouring trees roots. The presence of wood and litter decay fungi can indicate the first steps G. repens on mycoheterotrophic pathway. 13C depletion along with 15N enrichment characterizes G. repens as initially mycoheterotrophic- autotrophic species. The similarity of ë15N values with litter saprotroph fungi both with sharp increase in 13C/15N in underground parts need further investigation with particular attention to clonal growth and intraclonal transfer potential and mycobiont diversity. ? Botanical Garden-Institute FEB RAS. 2018.</t>
  </si>
  <si>
    <t>Partial mycoheterotrophy (PMH) is a nutritional mode in which plants utilize organic matter, i.e. carbon, both from photosynthesis and a fungal source. The latter reverses the direction of plant-to-fungus carbon flow as usually assumed in mycorrhizal mutualisms. Based on significant enrichment in the heavy isotope 13C, a growing number of PMH orchid species have been identified. These PMH orchids are mostly associated with fungi simultaneously forming ectomycorrhizas with forest trees. In contrast, the much more common orchids that associate with rhizoctonia fungi, which are decomposers, have stable isotope profiles most often characterized by high 15N enrichment and high nitrogen concentrations but either an insignificant 13C enrichment or depletion relative to autotrophic plants. Using hydrogen stable isotope abundances recent investigations showed PMH in rhizoctonia-associated orchids growing under light-limited conditions. Hydrogen isotope abundances can be used as substitute for carbon isotope abundances in cases where autotrophic and heterotrophic carbon sources are insufficiently distinctive to indicate PMH. To determine whether rhizoctonia-associated orchids growing in habitats with high irradiance feature PMH as a nutritional mode, we sampled 13 orchid species growing in montane meadows, four forest orchid species and 34 autotrophic reference species. We analysed ë2H, ë13C, ë15N and ë18O and determined nitrogen concentrations. Orchid mycorrhizal fungi were identified by DNA sequencing. As expected, we found high enrichments in 2H, 13C, 15N and nitrogen concentrations in the ectomycorrhiza-associated forest orchids, and the rhizoctonia-associated Neottia cordata from a forest site was identified as PMH. Most orchids inhabiting sunny meadows lacked 13C enrichment or were even significantly depleted in 13C relative to autotrophic references. However, we infer PMH for the majority of these meadow orchids due to both significant 2H and 15N enrichment and high nitrogen concentrations. Pseudorchis albida was the sole autotrophic orchid in this study as it exhibited neither enrichment in any isotope nor a distinctive leaf nitrogen concentration. Synthesis. Our findings demonstrate that partial mycoheterotrophy is a trophic continuum between the extreme endpoints of autotrophy and full mycoheterotrophy, ranging from marginal to pronounced. In rhizoctonia-associated orchids, partial mycoheterotrophy plays a far greater role than previously assumed, even in full light conditions. ? 2017 The Authors. Journal of Ecology ? 2017 British Ecological Society</t>
  </si>
  <si>
    <t>Weremijewicz J., da Silveira Lobo O?Reilly Sternberg L., Janos D.P.</t>
  </si>
  <si>
    <t>Arbuscular mycorrhizal fungi form extensive common mycorrhizal networks (CMNs) that may interconnect neighboring root systems of the same or different plant species, thereby potentially influencing the distribution of limiting mineral nutrients among plants. We examined how CMNs affected intra- and interspecific interactions within and between populations of Andropogon gerardii, a highly mycorrhiza dependent, dominant prairie grass and Elymus canadensis, a moderately dependent, subordinate prairie species. We grew A. gerardii and E. canadensis alone and intermixed in microcosms, with individual root systems isolated, but either interconnected by CMNs or with CMNs severed weekly. CMNs, which provided access to a large soil volume, improved survival of both A. gerardii and E. canadensis, but intensified intraspecific competition for A. gerardii. When mixed with E. canadensis, A. gerardii overyielded aboveground biomass in the presence of intact CMNs but not when CMNs were severed, suggesting that A. gerardii with intact CMNs most benefitted from weaker interspecific than intraspecific interactions across CMNs. CMNs improved manganese uptake by both species, with the largest plants receiving the most manganese. Enhanced growth in consequence of improved mineral nutrition led to large E. canadensis in intact CMNs experiencing water-stress, as indicated by 13C isotope abundance. Our findings suggest that in prairie plant communities, CMNs may influence mineral nutrient distribution, water relations, within-species size hierarchies, and between-species interactions. ? 2017, Springer-Verlag GmbH Germany.</t>
  </si>
  <si>
    <t>Konvalinkov , T., Pschel, D., ?ez ?ov , V.ÿet al.ÿ</t>
  </si>
  <si>
    <t>Evidence is increasing that soil animal food webs are fueled by root-derived carbon (C) and also by root-derived nitrogen (N). Functioning as link between the above- and belowground system, trees and their species identity are important drivers structuring soil animal communities. A pulse labeling experiment using 15N and 13C was conducted by exposing beech (Fagus sylvatica) and ash (Fraxinus excelsior) seedlings to 13CO2 enriched atmosphere and tree leaves to 15N ammonium chloride solution in a plant growth chamber under controlled conditions for 72 h. C and N fluxes into the soil animal food web of beech, associated with ectomycorrhizal fungi (EMF), and ash, associated with arbuscular mycorrhizal fungi (AMF), were investigated at two sampling dates (5 and 20 days after labeling). All of the soil animal taxa studied incorporated root-derived C, while root-derived N was only incorporated into certain taxa. Tree species identity strongly affected C and N incorporation with the incorporation in the beech rhizosphere generally exceeding that in the ash rhizosphere. Incorporation differed little between 5 and 20 days after labeling indicating that both C and N are incorporated quickly into soil animals and are used for tissue formation. Our results suggest that energy and nutrient fluxes in soil food webs depend on the identity of tree species with the differences being associated with different types of mycorrhiza. Further research is needed to prove the generality of these findings and to quantify the flux of plant C and N into soil food webs of forests and other terrestrial ecosystems. ? 2017 Zieger et al. This is an open access article distributed under the terms of the Creative Commons Attribution License, which permits unrestricted use, distribution, and reproduction in any medium, provided the original author and source are credited.</t>
  </si>
  <si>
    <t>Million of acres of U.S. wildlands are sprayed with herbicides to control invasive species, but relatively little is known about non-target effects of herbicide use. We combined greenhouse, field, and laboratory experiments involving the invasive forb spotted knapweed (Centaurea stoebe) and native bunchgrasses to assess direct and indirect effects of the forb-specific herbicide picloram on arbuscular mycorrhizal fungi (AMF), which are beneficial soil fungi that colonize most plants. Picloram had no effect on bunchgrass viability and their associated AMF in the greenhouse, but killed spotted knapweed and reduced AMF colonization of a subsequent host grown. Results were similar in the field where AMF abundance in bunchgrass-dominated plots was unaffected by herbicides one year after spraying based on 16:1?5 phospholipid fatty acid (PLFA) and neutral lipid fatty acid (NLFA) concentrations. In spotted-knapweed-dominated plots, however, picloram application shifted dominance from spotted knapweed, a good AMF host, to bulbous bluegrass (Poa bulbosa), a poor AMF host. This coincided with a 63% reduction in soil 16:1?5 NLFA concentrations but no reduction of 16:1?5 PLFA. Because 16:1?5 NLFA quantifies AMF storage lipids and 16:1?5 PLFA occurs in AMF membrane lipids, we speculate that the herbicide-mediated reduction in host quality reduced fungal carbon storage, but not necessarily fungal abundance after one year in the field. Overall, in greenhouse and field experiments, AMF were only affected when picloram altered host quantity and quality. This apparent lack of direct effect was supported by our in-vitro trial where picloram applied to AMF mycelia did not reduce fungal biomass and viability. We show that the herbicide picloram can have profound, indirect effects on AMF within one year. Depending on herbicide-mediated shifts in host quality, rapid interventions may be necessary post herbicide applications to prevent loss of AMF abundance. Future research should assess consequences of these potential shifts for the restoration of native plants that differ in mycorrhizal dependency. ? 2017 by the Ecological Society of America.</t>
  </si>
  <si>
    <t>16:1?5 lipid analysis; arbuscular mycorrhizal fungi; Centaurea stoebe; herbicide application; invasion meltdown; picloram; plant composition; Poa bulbosa; range restoration; Tordon</t>
  </si>
  <si>
    <t>Carbon sequestration below ground depends on organic matter input and decomposition, but regulatory bottlenecks remain unclear. The relative importance of plant production, climate and edaphic factors has to be elucidated to better predict carbon storage in forests. In Swedish forest soil inventory data from across the entire boreal latitudinal range (n = 2378), the concentration of exchangeable manganese was singled out as the strongest predictor (R2 = 0.26) of carbon storage in the extensive organic horizon (mor layer), which accounts for one third of the total below ground carbon. In comparison, established ecosystem models applied on the same data have failed to predict carbon stocks (R2 &amp;lt; 0.05), and in our study manganese availability overshadowed both litter production and climatic factors. We also identified exchangeable potassium as an additional strong predictor, however strongly correlated with manganese. The negative correlation between manganese and carbon highlights the importance of Mn-peroxidases in oxidative decomposition of recalcitrant organic matter. The results support the idea that the fungus-driven decomposition could be a critical factor regulating humus carbon accumulation in boreal forests, as Mn-peroxidases are specifically produced by basidiomycetes. ? 2017 The Author(s).</t>
  </si>
  <si>
    <t>Plant?soil interactions link ecosystem fertility and organic matter accumulation below ground. Soil microorganisms play a central role as mediators of these interactions, but mechanistic understanding is still largely lacking. Correlative data from a coniferous forest ecosystem support the hypothesis that interactions between fungal guilds play a central role in regulating organic matter accumulation in relation to fertility. With increasing ecosystem fertility, the proportion of saprotrophic basidiomycetes increased in deeper organic layers, at the expense of ectomycorrhizal fungal species. Saprotrophs correlated positively with the activity of oxidative enzymes, which in turn favoured organic matter turnover and nitrogen recycling to plants. Combined, our findings are consistent with a fungus-mediated feedback loop, which results in a negative correlation between ecosystem fertility and below-ground carbon storage. These findings call for a shift in focus from plant litter traits to fungal traits in explaining organic matter dynamics and ecosystem fertility in boreal forests. ? 2017 John Wiley &amp; Sons Ltd/CNRS</t>
  </si>
  <si>
    <t>Carbon sequestration; decomposition; ecosystem productivity; ectomycorrhiza; enzymes; Gadgil-effect; metabarcoding; Mn-peroxidase; nitrogen cycling; plant?soil feedback</t>
  </si>
  <si>
    <t>Tree roots and mycorrhizal fungi form an important resource for soil microinvertebrates; however, there is little knowledge on the role of root feeders and microbial grazers on belowground carbon flux of forest trees. Using oak (Quercus robur) microcuttings (Clone DF159) inoculated with an ectomycorrhizal symbiont partner (Piloderma croceum), the present study investigated the impact of multitrophic interactions in the rhizosphere on the carbon flow to the soil food web in a pulse-chase labelling experiment. Changes in plant biomass, microbial communities (soil phospholipid fatty acids - PLFAs) and Collembola lipid pattern (total lipid fatty acids - TLFAs) as well as the 13C incorporation into fatty acids were assessed at 2, 5 and 20 days post labelling of oak microcuttings. Microcosms were inoculated with Pratylenchus penetrans (root-feeding nematode), Protaphorura armata (fungal-feeding Collembola) or their combination. The interaction of P. penetrans and P. armata synergistically reduced oak biomass. Both soil animals independently impacted growth of microorganisms in the rhizosphere, P. penetrans inhibited whilst P. armata promoted bacterial biomass. Irrespective of treatment and time, Gram-positive bacteria derived most of the recent photoassimilated oak carbon, with amounts ranging between 80 and 92% of the total 13C allocated in microbial PLFAs. Presence of either P. armata or P. penetrans enhanced the incorporation of plant carbon in bacteria, whereas collective effects of these two functional groups was scarce. Predominantly the impact of the root-feeding nematode on belowground carbon flow diminished with time. In sum, root feeders and detritivores played independent roles in carbon allocation patterns and community structure of microorganisms in the rhizosphere of oaks. ? 2017 Elsevier Ltd</t>
  </si>
  <si>
    <t>Loss of belowground biodiversity by land-use change can have a great impact on ecosystem functions, yet appropriate investigations remain rare in high-elevation Tibetan ecosystems. We compared arbuscular mycorrhizal (AM) fungal communities in arable soils with those in native forest and grassland in southeast Tibet and investigated their potential contribution to carbon sequestration. The AM fungi were abundant and diverse. AM fungal diversity was significantly higher in grassland than in forest or arable land. Significant differences in AM fungal community composition were found among different land use types. The relative abundance of operational taxonomic units (OTUs) in forest and grassland were positively related to glomalin-related soil protein (GRSP), soil organic carbon, macroaggregates, and the unprotected and physically protected carbon, while the AM fungal community in arable soils was dominated by a few OTUs which were positively linked to soil pH. Changes in GRSP content were closely related to water-stable macroaggregates and carbon storage in grassland and forest soils but not in arable soil. Given the inevitable trend toward agricultural management this study emphasizes the need to implement effective agricultural practices that can enhance AM fungal activity to maintain soil quality and carbon sequestration for the sustainable development of this fragile ecosystem. ? The Author(s) 2017.</t>
  </si>
  <si>
    <t>The distribution characteristics of organic carbon (Corg) in coastal wetlands were significant for researching carbon sequestration and responding to environmental evolution and global climate changes. While total soil carbon is an important indicator of carbon sequestration capacity, the form this carbon takes is perhaps more important. Glomalin-related soil protein (GRSP), one existence form of Corg, could represent and perform the relevant influences of Corg to carbon sequestration in coastal wetlands. GRSP, the recently described glycoprotein formed by arbuscular mycorrhizal fungi (AMF), was released to soil after hyphal death/turnover. The residence time of GRSP were estimated to be from 6 to 42 years, even thousands of years under the anaerobic environment in an coastal area. With about 30%~50% of carbon in GRSP, up to 30%~60% of soil carbon may be contributed by GRSP under certain conditions in upland agricultural soils, whereas more typical values may be around 5%, These observations demonstrate that GRSP has the potential to accumulate and comprise a substantial proportion of soil carbon. In addition to being refractory, GRSP also helps bind soil particles to form soil aggregates. Such soil aggregation may further contribute to long-term carbon storage by protecting soil organic matter from oxygen and microbial decomposers. GRSP is therefore considered the key link between AMF and soil carbon storage, having scientific significance for coastal wetland carbon sequestration and subsequent long-term storage. Therefore, this study analyzed the spatial distribution pattern of GRSP in modern coastal wetland, and explored its relationship with the physical and geochemical properties of surface sediments, to identify the conditions that result in a maximum production and preservation of GRSP, also the carbon sequence. Correspondingly, the temporal distribution of carbon sequence was analyzed based on core sediment, which revealed the coupling association between carbon burial and other elements in geological evolution historical periods. To access the function of Corg in wetlands filtration, this study also investigated the influence of GRSP and Corg chelation to heavy metal migration. Bradford-reactive GRSP (BR-GRSP) were analyzed for 150 surface sediment samples in Liaohe Delta (LHD), showing a range of 0.11~11.31 mg g-1, which was among the scope of most temperate soil (2~14 mg g-1). Significant differences were found for different vegetation types (p=0.0018), and this was the synthetic influence of plant type, the colonization level of AMF, land-use type and the physical and geochemical properties of sediments. For the lowest BR-GRSP content in seablite, the plant-AMF interaction, salt stress, and the accelerated microbial organic matter mineralization and increased sulfate reduction following salt-water intrusion could be responsible. However, the second lower BR-GRSP content in maize field, the main reasons were increased tilling, crop monoculture and use of certain fungicides. The significant positive relation was recognized between BR-GRSP and Corg (r =0.511, p=0.000), and 6.213%~10.35% of sediment total Corg, 4.901%~8.35% of sediment total carbon, and 8.147%~13.219% of sediment total nitrogen could be bound directly to BR-GRSP, which indicated that BR-GRSP was an important constituent in sediment carbon/nitrogen sink of LHD. Moreover, significant relationships between BR-GRSP and sediment physical properties (bulk density, water content and clay content) suggested that clay particles could offer physical protection for AMF and GRSP, in return, AMF and GRSP could also improve the sediment/soil structure, both facilitating the accumulation of GRSP in coastal wetland. Various chemical properties, including nutrition elements (C, N, P), stoichiometric ratio (TN/TP, TC/TP and TP/TK), and mineral element (Cu, Fe, Zn), had relation with BR-GRSP content, implying the stoichiometric ratio related P and sufficient nutrient in sediment could favour GRSP accumulation. Multi-heavy metal elements (As, Cd, Cr, Hg, and Pb) showed significant positive relation with BR-GRSP content, indicated the heavy metal fixed effect of GRSP. Nevertheless, the ability of GRSP to absorb heavy metal was weaker than humic substance, the increased BR-GRSP/Corg in farmland could reduce the Corg-heavy metal chelation degree. To proof the influence of decreased farmland Corg-heavy metal chelation to heavy metal migration, also to evaluate the spatial distribution, transportation environmental dynamics of metals, the provenance of metal pollution, and assess the filtration functions of wetlands in LHD, grain size, concentrations of Corg and particulate heavy metals (PHMs) As, Cd, Cr, Cu, Hg, Pb, Zn, Al, Fe, Mn of 373 surface sediment samples, salinities in 67 surface water samples, were analyzed in various environments, including the upper delta plain wetlands (UDPW), its adjacent shallow sea wetland (SSW) in the Liaodong Bay, and river channels that are running through the LHD. The concentrations of PHMs for UDPW were generally higher by a factor of ~10%~22% compared with its analogues in SSW, suggesting the accumulation of PHMs within the UDPW, indicate that the UDPW systems are efficiently physical and chemical traps for PHMs of anthropogenic sources by retaining and storing pollutants flowing into the sea. However, there was sever sewage-irrigation-induced-Cd-pollution in an area of ~86 km2 of the adjacent shallow sea wetland, where large amount wetlands were historical moved for agriculture in the UDPW. Remarkably, the distributions of PHMs were controlled by salinity induced desorption and re-adsorption mechanisms, and significantly dispersed the contamination coverage by the three-dimensional hydrodynamic and sedimentation processes that dominated by inputs of freshwater and ocean dynamics including NE-SW tidal currents and NE-E longshore drifts in the SSW of the Liaodong Bay. A high agreement between the UDPW and the SSW datasets in Principle Component Analysis essentially reflects that the characteristics of PHM sources in the SSW were actually inherited from that in the UDPW, with a much closer relationship among heavy metals, organic matter and fine particulates in SSW than that of UDPW, which was judged by their correlation coefficient range of 0.406~0.919 in SSW against the those of 0.042~0.654 in UDPW. By analyzing the correlationship between Corg and PHMs in different land-use types, the degree of farmland Corg-heavy metal chelation was indeed declined, accelerating heavy metal migration to rivers and SSW. In the case of coastal wetlands, glomalin is expected to have both autochthonous and allochthonous sources. The difference between GRSP ë13C of upland C3 plant and wetland C4 wetland may help distinguish between allochthonous and autochthonous glomalin in the wetland. By calculation, the autochthonous glomalin were major component with range of 45.87%~97.79% and mean value of (70.47ñ0.84)%. The differences between isotope values of BR-GRSP and SED could rule out the influence terrestrial and wetland plants, directly reflecting the material input of marine environments. Spatial distribution of ë15NSED-ë15NBR-GRSP and ë13C SED-ë13C BR-GRSP could mirror the degree of mixing mechanism in estuary and coastal erosion, providing evidences for ocean-land interaction. Based on the significant correlation between BR-GRSP, Corg and multiple physical and geochemical properties of sediments, the associations between carbon sequestration and several physical and chemical index with the mediation of BR-GRSP in modern coastal wetlands were identified, which is the coupling nature of carbon cycle and other elements cycle. However, in geological evolution historical periods, the modern coastal wetlands have experienced different marine and terrestrial depositional environments because of sea-level changes, the carbon sequestration in sediments could revealed distinct characteristics. This paper studied the impact of Si and Fe to carbon burial in sedimentary environment evolution history, and highlight the more significant coupled relationship between carbon and Si and Fe. To explore these relationships, we present foraminifera data, physical and chemical parameters, and ages determined by accelerator mass spectrometry 14C and optically stimulated luminescence from a core drilled at the southwestern edge of the Lower Liaohe Plain in May 2012. We divide the sedimentary environments since 33000 cal yr BP into four depositional units, namely, a fluvial deposit (U1), lacustrine deposit (U2), marine-related deposit (U3) and upper delta plain deposit (U4). Environmentally mediated differences in apparent mass accumulation rates (AMARs) of BSi and organic carbon (Corg) were significant. The BSi-AMAR in the later parts of U1 and U2 occurred mainly in the Pleistocene and averaged (11.34ñ0.22) g m-2 yr-1 and (16.69ñ0.91) g m-2 yr-1, which is lower than the analogues for U3 ((23.59ñ2.89) g m-2 yr-1~(41.74ñ6.37) g m-2 yr-1) and U4 ((37.25 ñ 9.96) g m-2 yr-1) that occurred during the Holocene. The BSi record responded more coherently and was more sensitive than Corg to Northern Hemisphere paleoclimatic variations on a long timescale and to abrupt/periodic winter monsoon winds or warming forcings on a short timescale. There was a negative correlation between the concentration of bio-available Fe2O3 and the ratio of BSi/Corg, the implication being that Fe availability may have modulated silicic acid uptake on a very short timescale and in turn impacted the dynamics of carbon burial. ? 2017, Science Press. All right reserved.</t>
  </si>
  <si>
    <t>Aims: Moso bamboo (Phyllostachys pubescens) is a fast-growing species that can invade neighboring forests through its vigorous rhizome system, leading to large shifts of plant diversity and soil properties. A primary concern is the response of arbuscular mycorrhizal fungal (AMF) communities and related soil C sequestration to bamboo forest expansion. Methods: We used a long-term soil chronosequence from primary broadleaved forest to moso bamboo forest to examine the changes in AMF abundance and communities, as well as their role in soil C storage. Results: AMF communities showed strong niche differentiation, and were highly structured by forest type (r2ÿ=ÿ0.648, Pÿ=ÿ0.001), and marginally correlated to soil pH and organic C. Bamboo forest expansion increased soil AMF biomass as indicated by neutral lipid fatty acids (NLFA) 16:1?5 abundance, easily extracted glomalin-related soil protein (EE-GRSP), and water-stable macroaggregates. We observed that soil AMF biomass contributed substantially to both soil macroaggregates and EE-GRSP, which were tightly correlated with soil organic C. The influence of bamboo forest expansion on soil C sequestration was mainly due to its indirect effect on AMF biomass. Conclusions: Bamboo forest expansion significantly changed soil AMF communities and increased AMF biomass, which in turn contributed to enhanced soil aggregation and C storage. ? 2017, Springer International Publishing AG.</t>
  </si>
  <si>
    <t>H”gberg P., N„sholm T., Franklin O., H”gberg M.N.</t>
  </si>
  <si>
    <t>The supply of nitrogen commonly limits plant production in boreal forests and also affects species composition and ecosystem functions other than plant growth. These interrelations vary across the landscapes, with the highest N availability, plant growth and plant species richness in ground-water discharge areas (GDAs), typically in toe-slope positions, which receive solutes leaching from the much larger groundwater recharge areas (GRAs) uphill. Plant N sources include not only inorganic N, but, as heightened more recently, also organic N species. In general, also the ratio inorganic N over organic N sources increase down hillslopes. Here, we review recent evidence about the nature of the N limitation and its variations in Fennoscandian boreal forests and discuss its implications for forest ecology and management. The rate of litter decomposition has traditionally been seen as the determinant of the rate of N supply. However, while N-rich litter decomposes faster than N-poor litter initially, N-rich litter then decomposes more slowly, which means that the relation between N % of litter and its decomposability is complex. Moreover, in the lower part of the mor-layer, where the most superficial mycorrhizal roots first appear, and N availability matters for plants, the ratio of microbial N over total soil N is remarkably constant over the wide range in litter and soil C/N ratios of between 15 and 40 for N-rich and N-poor sites, respectively. Nitrogen-rich and -poor sites thus differ in the sizes of the total N pool and the microbial N pool, but not in the ratio between them. A more important difference is that the soil microbial N pool turns over faster in N-rich systems because the microbes are more limited by C, while microbes in N-poor systems are a stronger sink for available N. Furthermore, litter decomposition in the most superficial soil horizon (as studied by the so-called litter-bag method) is associated with a dominance of saprotrophic fungi, and absence of mycorrhizal fungi. The focal zone in the context of plant N supply in N-limited forests is further down the soil profile, where ectomycorrhizal (ECM) roots become abundant. Molecular evidence and stable isotope data indicate that in the typical N-poor boreal forests, nitrogen is retained in saprotrophic fungi, likely until they run out of energy (available C-compounds). Then, as heightened by recent research, ECM fungi, which are supplied by photosynthate from the trees, become the superior competitors for N. In N-poor boreal soils strong N retention by microorganisms keeps levels of available N very low. This is exacerbated by an increase in tree C allocation to mycorrhizal fungi (TCAM) relative to net primary production (NPP) with decreasing soil N supply, which causes ECM fungi to retain much of the available soil N for their own growth and transfer little to their tree hosts. The transfer of N through the ECM fungi, and not the rate of litter decomposition, is likely limiting the rate of tree N supply under such conditions. All but a few stress-tolerant less N-demanding plant species, like the ECM trees themselves and ericaceous dwarf shrubs, are excluded. With increasing N supply, a weakening of ECM symbiosis caused by the relative decline in TCAM contributes to shifts in soil microbial community composition from fungal dominance to bacterial dominance. Thus, bacteria, which are less C-demanding, but more likely to release N than fungi, take over. This, and the relatively high pH in GDA, allow autotrophic nitrifying bacteria to compete successfully for the NH4 + released by C-limited organisms and causes the N cycle to open up with leaching of nitrate (NO3 ?) and gaseous N losses through denitrification. These N-rich conditions allow species-rich communities of N-demanding plant species. Meanwhile, ECM fungi have a smaller biomass, are supplied with N in excess of their demand and will export more N to their host trees. Hence, the gradient from low to high N supply is characterized by profound variations in plant and soil microbial physiologies, especially their relations to the C-to-N supply ratio. We propose how interactions among functional groups can be understood and modelled (the plant-microbe carbon-nitrogen model). With regard to forest management these perspectives explain why the creation of larger tree-free gaps favors the regeneration of tree seedlings under N-limited conditions through reduced belowground competition for N, and why such gaps are less important under high N supply (but when light might be limiting). We also discuss perspectives on the relations between N supply, biodiversity, and eutrophication of boreal forests from N deposition or forest fertilization. ? 2017 The Authors</t>
  </si>
  <si>
    <t>The functioning of human-managed grassland ecosystems strongly depends on how common management practices will affect grassland "belowground compartment" including soil biogeochemistry and plant roots. Key questions remain about how animal grazing, liming (e.g., the addition of CaCO3 to soils), and nutrient fertilization might affect, in the long-term, soil nutrient cycling and multiple root traits. Here we focus on a mesotrophic grassland located in Berkshire, UK, where contrasting levels of rabbit grazing, liming, and different inorganic fertilizers have been applied since 1991. We ask how (1) soil nitrogen (N) availability and cycling, (2) total root mass, (3) root mass decomposition, and (4) arbuscular mycorrhizal fungal (AMF) root colonization might respond to 22 years of very different management. We found that liming strongly affected total root mass, root decomposition, root AMF colonization as well as soil N availability and cycling and that these effects were mainly driven by liming-induced increases in soil pH. Increases in soil pH were associated with significant (1) decreases in root mass, (2) increases in root mass decomposability and in the mineralization of N in decomposing root detritus, and (3) increases in AMF infection. Soil pH was also significantly related to greater N availability (i.e., soil NO3 levels) and to lower ë15N natural abundance, which suggests more efficient N uptake by plants in limed soils as we found in our study. The application of multiple nutrients (N, P, K, Mg) also reduced total root mass, while N-only fertilization was associated with greater AMF infection. Surprisingly the long-term impact of grazing was generally weak and not significant on most plant and soil parameters. Despite soil pH affecting most belowground variables, changes in soil pH were not associated with any change in soil C and N stocks. Because liming can improve nutrient cycling (and benefits soil pH and grass yields) without negatively affecting soil C sequestration, we suggest that regular liming applications may provide management solutions for increasing the long-term sustainability of permanent grassland. ? 2017 by the Ecological Society of America.</t>
  </si>
  <si>
    <t>Background and Aims In temperate forests, some green plants, namely pyroloids (Pyroleae, Ericaceae) and some orchids, independently evolved a mode of nutrition mixing photosynthates and carbon gained from their mycorrhizal fungi (mixotrophy). Fungal carbon is more enriched in 13C than photosynthates, allowing estimation of the proportion of carbon acquired heterotrophically from fungi in plant biomass. Based on 13C enrichment, mixotrophic orchids have previously been shown to increase shoot autotrophy level over the growth season and with environmental light availability. But little is known about the plasticity of use of photosynthetic versus fungal carbon in pyroloids. ? Methods Plasticity of mixotrophy with leaf age or light level (estimated from canopy openness) was investigated in pyroloids from three Estonian boreal forests. Bulk leaf 13C enrichment of five pyroloid species was compared with that of control autotrophic plants along temporal series (over one growth season) and environmental light gradients (n=405 samples). ? Key Results Mixotrophic 13C enrichment was detected at studied sites for Pyrola chlorantha and Orthilia secunda (except at one site for the latter), but not for Chimaphila umbellata, Pyrola rotundifolia and Moneses uniflora. Enrichment with 13C did not vary over the growth season or between leaves from current and previous years. Finally, although one co-occurring mixotrophic orchid showed 13C depletion with increasing light availability, as expected for mixotrophs, all pyroloids responded identically to autotrophic control plants along light gradients. ? Conclusions A phylogenetic trend previously observed is further supported: mixotrophy is rarely supported by 13C enrichment in the Chimaphila + Moneses clade, whereas it is frequent in the Pyrola + Orthilia clade. Moreover, pyroloid mixotrophy does not respond plastically to ageing or to light level. This contrasts with the usual view of a convergent evolution with orchids, and casts doubt on the way pyroloids use the carbon gained from their mycorrhizal fungi, especially to replace photosynthetic carbon. ? The Author 2017.</t>
  </si>
  <si>
    <t>Fonseca M.B., Dias T., Carolino M.M., Fran‡a M.G.C., Cruz C.</t>
  </si>
  <si>
    <t>Dimorphandra wilsonii, a Cerrado endemic Fabaceae tree, is threatened by land-use changes. The few remaining individuals occur in areas dominated by alien grasses like Urochloa decumbens. We tested the impact of nitrogen (N) availability and symbionts' presence on mitigating the effects of competition from U. decumbens. Dimorphandra wilsonii seedlings were 50-week pot-cultivated under limiting (3ÿmM) or non-limiting (10ÿmM) N, with or without U. decumbens, and inoculated or not with a N-fixer (Bradyrhizobium sp.) and an arbuscular mycorrhizal fungus (AMF ? Glomus etunicatum), both forming symbioses in the field. Since D. wilsonii seedlings grew more and ?lost' fewer nutrients under the symbionts' presence, symbionts mitigated plant-plant competition. Under limiting N, inoculated D. wilsonii seedlings grew more (despite no nodulation), but N fixation was only suggested when inoculated D. wilsonii seedlings competed with U. decumbens. D. wilsonii 13C, and substrate's carbon and respiration suggest that only the microbes performing key functions received plant carbon. Under non-limiting N, inoculated D. wilsonii seedlings became enriched in 13C, substrate accumulated carbon and microbial respiration increased, suggesting a more generalist microbial community. Data suggest inoculating D. wilsonii seeds/seedlings with AMF and N-fixers as a conservation measure. However, long-term field-studies need to confirm these conclusions. ? 2017 Elsevier B.V.</t>
  </si>
  <si>
    <t>Two distinct nutritional syndromes have been described in temperate green orchids. Most orchids form mycorrhizas with rhizoctonia fungi and are considered autotrophic. Some orchids, however, associate with fungi that simultaneously form ectomycorrhizas with surrounding trees and derive their carbon from these fungi. This evolutionarily derived condition has been called mixotrophy or partial mycoheterotrophy and is characterized by13C enrichment and high N content. Although it has been suggested that the two major nutritional syndromes are clearly distinct and tightly linked to the composition of mycorrhizal communities, recent studies have challenged this assumption. Here, we investigated whether mycorrhizal communities and nutritional syndromes differed between seven green orchid species that co-occur under similar ecological conditions (coastal dune slacks). Our results showed that mycorrhizal communities differed significantly between orchid species. Rhizoctonia fungi dominated in Dactylorhiza sp., Herminium monorchis, and Epipactis palustris, which were autotrophic based on13C and N content. Conversely, Liparis loeselii and Epipactis neerlandica associated primarily with ectomycorrhizal fungi but surprisingly,13C and N content supported mixotrophy only in E. neerlandica. This, together with the finding of some ectomycorrhizal fungi in rhizoctonia-associated orchids, suggests that there exists an ecological continuum between the two syndromes. The presence of a large number of indicator species associating with individual orchid species further confirms previous findings that mycorrhizal fungi may be important factors driving niche-partitioning in terrestrial orchids and therefore contribute to orchid coexistence. ? 2017 Jacquemyn, Waud, Brys, Lallemand, Courty, Robionek and Selosse.</t>
  </si>
  <si>
    <t>Root-derived resources are receiving increased attention as basal resources for soil animal food webs. They predominantly function as carbon and energy resources for microbial metabolism in the rhizosphere, however, root-derived nitrogen may also be important. We explored both the role of root-derived carbon (C) and nitrogen (N) for the nutrition of soil animal species. Using 13C and 15N pulse labeling we followed in situ the flux of shoot-derived C and N into the soil animal food web of young beech (Fagus sylvatica) and ash (Fraxinus excelsior) trees. For labeling with 13C, trees were exposed to increased atmospheric concentrations of 13CO2 and for labeling with 15N leaves were immersed in a solution of Ca15NO3. Twenty days after labeling root-derived N was detected in each of the studied soil animal species whereas incorporation of root-derived C was only detected in the ash rhizosphere. More root-derived N was incorporated into soil animals from the beech as compared to the ash rhizosphere, in spite of the higher 15N signatures in fine roots of ash as compared to beech. The results suggest that soil animal food webs not only rely on root C but also on root N with the contribution of root N to soil animal nutrition varying with tree species. This novel pathway of plant N highlights the importance of root-derived resources for soil animal food webs. ? 2017 Gesellschaft fr ™kologie</t>
  </si>
  <si>
    <t>In this study, we investigated the effect of forest types changes (from coniferous and broadleaf mixed forest (CBMF) to plantation forests of bamboo (Phyllostachys pubescens forest, MBF) and hickory (Carya cathayensis forest, CHF)) combined with intensive management on soil organic carbon (SOC) and microbial community structure, using the 13C-nuclear magnetic resonance (NMR) and phospholipid fatty acid (PLFA). The results indicated that soil organic carbon significantly decreased by 30.7 and 28.5% in MBF and CHF, respectively. The aromatic C and aromaticity also significantly decreased in MBF and CHF (Pÿ&amp;lt;ÿ0.05), while alkyl, O-alkyl and carbonyl C contents increased (Pÿ&amp;gt;ÿ0.05). Significant changes of the soil microbial community were found after the forest type changed from CBMF to MBF and CHF. Total soil microbial PLFAs, soil bacteria PLFAs, fungus PLFAs, actinobacteria PLFAs, arbuscular mycorrhizal fungi PLFAs and protozoan PLFAs ranked as follows: CBMFÿ&amp;gt;ÿCHFÿ&amp;gt;ÿMBF (Pÿ&amp;lt;ÿ0.05). The ratio of soil fungus to bacteria was in the order of MBF (0.78)ÿ&amp;gt;ÿCHF (0.66)ÿ&amp;gt;ÿCBMF (0.49) (Pÿ&amp;lt;ÿ0.05), while an opposite order was found for ratio of G+/G? values (CBMFÿ&amp;gt;ÿCHFÿ&amp;gt;ÿMBF, Pÿ&amp;lt;ÿ0.05). The converting CBMF into MBF and CHF combined with fertilization and tillage significantly changed the SOC and microbial community. Therefore, necessary measures should be taken to improve the SOC and soil fertility in the MBF and CHF. ? 2017, Springer-Verlag GmbH Germany.</t>
  </si>
  <si>
    <t>Keymer A., Pimprikar P., Wewer V., Huber C., Brands M., Bucerius S.L., Delaux P.-M., Klingl V., von R”penack-Lahaye E., Wang T.L., Eisenreich W., D”rmann P., Parniske M., Gutjahr C.</t>
  </si>
  <si>
    <t>Arbuscular mycorrhiza (AM) symbioses contribute to global carbon cycles as plant hosts divert up to 20% of photosynthate to the obligate biotrophic fungi. Previous studies suggested carbohydrates as the only form of carbon transferred to the fungi. However, de novo fatty acid (FA) synthesis has not been observed in AM fungi in absence of the plant. In a forward genetic approach, we identified two Lotus japonicus mutants defective in AM-specific paralogs of lipid biosynthesis genes (KASI and GPAT6). These mutants perturb fungal development and accumulation of emblematic fungal 16:1w5 FAs. Using isotopolog profiling we demonstrate that 13C patterns of fungal FAs recapitulate those of wild-type hosts, indicating cross-kingdom lipid transfer from plants to fungi. This transfer of labelled FAs was not observed for the AM-specific lipid biosynthesis mutants. Thus, growth and development of beneficial AM fungi is not only fueled by sugars but depends on lipid transfer from plant hosts. ? Keymer et al.</t>
  </si>
  <si>
    <t>Rhizodeposits act as major carbon (C) source for microbial communities and rhizosphere-driven effects on forest C cycling receive increasing attention for maintaining soil biodiversity and ecosystem functions. By in situ 13CO2 pulse labeling we investigated C input and microbial utilization of rhizodeposits by analyzing 13C incorporation into phospholipid fatty acids (PLFA) of beech- (Fagus sylvatica) and ash-associated (Fraxinus excelsior) rhizomicrobial communities. Plant compartments and soil samples were analyzed to quantify the allocation of assimilates. For 1 m high trees, ash assimilated more of the applied 13CO2 (31%) than beech (21%), and ash allocated twice as much 13C belowground until day 20. Approximately 0.01% of the applied 13C was incorporated into total PLFAs, but incorporation varied significantly between microbial groups. Saprotrophic and ectomycorrhizal fungi under beech and ash, but also arbuscular mycorrhizal fungi and Gram negative bacteria under ash, incorporated most 13C. PLFA allowed differentiation of C fluxes from tree roots into mycorrhiza: twice as much 13C was incorporated into the fungal biomarker 18:2?6,9 under beech than under ash. Within 5 days, 30% of the fungal PLFA-C was replaced by rhizodeposit-derived 13C under beech but only 10% under ash. None of the other microbial groups reached such high C replacement, suggesting direct C allocation via ectomycorrhizal symbioses dominates the C flux under beech. Based on 13CO2 labeling and 13C tracing in PLFA we conclude that ash allocated more C belowground and has faster microbial biomass turnover in the rhizosphere compared to beech. ? 2017 Elsevier Masson SAS</t>
  </si>
  <si>
    <t>Glomalin, which sequesters substantial amounts of carbon, plays a critical role in sustaining terrestrial biome functions and contributes to the fate of many pollutants from terrestrial to aquatic ecosystems. Despite having focused on the amount of glomalin produced, very few attempts have been made to understand how landscapes and environmental conditions influence glomalin composition and characteristics. This study focused on glomalin-related soil protein (GRSP) exported as storm runoff including eroded sediment and water that was collected before flowing to surface waters in a peri-urban watershed. GRSP characteristics were assessed by Bradford protein analysis, fluorescence spectroscopy combined with parallel factor analysis (PARAFAC), and the determination of aromaticity based on the specific ultraviolet absorption value (280ÿnm) and molecular weight. General linear models (GLMs) was established by integrating microbial activity, land cover, water temperature, precipitation, and other solution chemical properties to explain the variations in GRSP characteristics. Results showed that a higher GRSP concentration in agricultural reference sites was produced in the form of specific materials with low molecular weight and aromaticity, as well as high percentage of C1 and C5 components which indicate microbial-processed sources, relative to urbanized and forested sites. Compared with forested land, urbanized land clearly produced runoff GRSP with low molecular weight and aromaticity, as well as more degradation of humic-like materials (C3 component). The highest GLM explaining 89% of the variables, including significant variables (pÿ&lt;ÿ0.05) such as microbial activity, water temperature, and water conductivity, was observed for GRSP characteristics. Therefore, changes in eroded soil GRSP quality can serve as an indicator for improving watershed management and thus protecting aquatic ecosystems. ? 2017, Springer International Publishing Switzerland.</t>
  </si>
  <si>
    <t>Climate change may alter mycorrhizal communities, which impact ecosystem characteristics such as carbon sequestration processes. These impacts occur at a greater magnitude in Arctic ecosystems, where the climate is warming faster than in lower latitudes. Cassiope tetragona (L.) D. Don is an Arctic plant species in the Ericaceae family with a circumpolar range. C. tetragona has been reported to form ericoid mycorrhizal (ErM) as well as ectomycorrhizal (ECM) symbioses. In this study, the fungal taxa present within roots of C. tetragona plants collected from Svalbard were investigated using DNA metabarcoding. In light of ongoing climate change in the Arctic, the effects of artificial warming by open-top chambers (OTCs) on the fungal root community of C. tetragona were evaluated. We detected only a weak effect of warming by OTCs on the root-associated fungal communities that was masked by the spatial variation between sampling sites. The root fungal community of C. tetragona was dominated by fungal groups in the Basidiomycota traditionally classified as either saprotrophic or ECM symbionts, including the orders Sebacinales and Agaricales and the genera Clavaria, Cortinarius, and Mycena. Only a minor proportion of the operational taxonomic units (OTUs) could be annotated as ErM-forming fungi. This indicates that C. tetragona may be forming mycorrhizal symbioses with typically ECM-forming fungi, although no characteristic ECM root tips were observed. Previous studies have indicated that some saprophytic fungi may also be involved in biotrophic associations, but whether the saprotrophic fungi in the roots of C. tetragona are involved in biotrophic associations remains unclear. The need for more experimental and microscopy-based studies to reveal the nature of the fungal associations in C. tetragona roots is emphasized. ? 2017, Springer-Verlag Berlin Heidelberg.</t>
  </si>
  <si>
    <t>Llad¢ S., L¢pez-Mond‚jar R., Baldrian P.</t>
  </si>
  <si>
    <t>The ecology of forest soils is an important field of research due to the role of forests as carbon sinks. Consequently, a significant amount of information has been accumulated concerning their ecology, especially for temperate and boreal forests. Although most studies have focused on fungi, forest soil bacteria also play important roles in this environment. In forest soils, bacteria inhabit multiple habitats with specific properties, including bulk soil, rhizosphere, litter, and deadwood habitats, where their communities are shaped by nutrient availability and biotic interactions. Bacteria contribute to a range of essential soil processes involved in the cycling of carbon, nitrogen, and phosphorus. They take part in the decomposition of dead plant biomass and are highly important for the decomposition of dead fungal mycelia. In rhizospheres of forest trees, bacteria interact with plant roots and mycorrhizal fungi as commensalists or mycorrhiza helpers. Bacteria also mediate multiple critical steps in the nitrogen cycle, including N fixation. Bacterial communities in forest soils respond to the effects of global change, such as climate warming, increased levels of carbon dioxide, or anthropogenic nitrogen deposition. This response, however, often reflects the specificities of each studied forest ecosystem, and it is still impossible to fully incorporate bacteria into predictive models. The understanding of bacterial ecology in forest soils has advanced dramatically in recent years, but it is still incomplete. The exact extent of the contribution of bacteria to forest ecosystem processes will be recognized only in the future, when the activities of all soil community members are studied simultaneously. Copyright ? 2017 American Society for Microbiology. All Rights Reserved.</t>
  </si>
  <si>
    <t>Most land plants acquire nitrogen (N) through associations with arbuscular (AM) and ectomycorrhizal (ECM) fungi, but these symbionts employ contrasting strategies for N acquisition, which may lead to different stocks of soil carbon (C). We experimentally test this hypothesis with a mesocosm system where AM and ECM tree seedling roots, or their hyphae only, could access mineral soils with 13C- and 15N-enriched organic matter. We quantified loss of soil C and N, plant uptake of N and new inputs of plant C to soil. We found that AM, but not ECM, seedlings reduced soil C relative to controls. Soil C loss was greater in the presence of roots relative to hyphae only for both AM and ECM seedlings, but was correlated with plant N uptake for AM seedlings only. While new plant C inputs stimulated soil C loss in both symbioses, we detected plant C inputs more frequently and measured higher rates of decomposer activity in soils colonized by AM relative to ECM seedlings. Our study experimentally demonstrates how mycorrhizal strategies for N can affect soil C and C:N, even at the scale of an individual plant. Such effects may contribute to broad patterns in soil C across terrestrial ecosystems. ? 2017 by the Ecological Society of America</t>
  </si>
  <si>
    <t>Purpose: The aim of this study was to investigate whether two subtropical fruit species, Dimocarpus longan Lour. (Wulonglin) and Eriobotrya japonica Lindl. (Zaozhong 6), could directly take up soluble organic nitrogen (N), and if there was differential uptake of different forms of N between the two species. Materials and methods: The stable isotopic tracing experiment was carried out using three 15N-labeled tracers [glycine-2-13C-15N, (15NH4)2SO4, and K(15NO3)] to examine the short-term (2, 6, and 72ÿh) uptake and distribution pattern of N within the plant in 1-year-old seedlings of both fruit species. Results and discussion: After glycine-2-13C-15N application, the ratios of 13C to 15N concentration in the roots and whole seedlings of both Wulonglin and Zaozhong 6 were close to 1:1 at 2 and 6ÿh, respectively, showing that both fruit species could directly take up intact glycine. The 15NH4 + absorbed by Wulonglin and Zaozhong 6 whole seedlings in the (15NH4)2SO4 treatment were 13.2 and 9.2 times higher than glycine-derived-15N, while 15NO3 ? absorbed in the K(15NO3) treatment were 27.7 and 7.7 times higher than glycine-derived-15N in the glycine-2-13C-15N treatment, respectively. This indicated that soluble organic N might not be the dominant N source taken up by both fruit species. Results also showed that Wulonglin preferred NO3 ?, while Zaozhong 6 preferred NH4 +. The greater uptake of 15NH4 + and 15NO3 ? than glycine-derived-15N by both fruit species might be related to their long-term adaptation to the supply of large quantity of inorganic N via fertilization. To elucidate the mechanisms responsible for the differential uptake of different forms of N by these two fruit species, further studies on mycorrhizal associations, transporter genes, and glycine metabolisms are warranted. Conclusions: This study has demonstrated that both D. longan Lour. and E. japonica Lindl. seedlings were able to take up intact glycine directly, while the NO3 ? and NH4 + were still dominant N forms absorbed by both fruit species. ? 2016, Springer-Verlag Berlin Heidelberg.</t>
  </si>
  <si>
    <t>The global climate change presents a serious threat to nature and has been predicted to largely impact the life of human beings in the twenty-first century. The Intergovernmental Panel on Climate Change predicted that human-induced climate change is a major threat and also emphasized to develop global plans for mitigation and adaptation to climate change. Taking into consideration the existing feedbacks between carbon cycle and climate change, understanding whether terrestrial ecosystems will respond to elevated atmospheric carbon dioxide concentration (eCO2) or up to what extent is of utmost significance. In the global ecosystems, CO2 is largely used by plants in the process of photosynthesis (net primary production). On the other hand, microbes contribute directly, to a great extent, to net carbon exchange through decomposition and respiration and indirectly by developing symbiotic associations with plants. One of the most common symbiotic associations established between plants and fungi is known as arbuscular mycorrhizal fungi (AMF). This association facilitates the host plants for the better acquisition of water and nutrients and seems to sequester soil organic carbon. AMF could play a vital role in the global carbon cycle, as they can utilize a large proportion of the carbon fixed by the plants, deposit slow- cycling organic compounds (Glomalin), and protect organic matter from microbial attack by promoting soil aggregation. In view of the importance of AM symbiosis in the terrestrial ecosystems, this chapter highlights whether the arbuscular mycorrhizal fungi contribute to soil carbon sequestration or influence soil carbon decomposition. ? Springer International Publishing AG 2017. All rights reserved.</t>
  </si>
  <si>
    <t>Background and Aims Partially mycoheterotrophic plants are enriched in 13C and 15N compared to autotrophic plants. Here, it is hypothesized that the type of mycorrhizal fungi found in orchid roots is responsible for variation in 15N enrichment of leaf tissue in partially mycoheterotrophic orchids. Methods The genus Epipactis was used as a case study and carbon and nitrogen isotope abundances of eight Epipactis species, fungal sporocarps of four Tuber species and autotrophic references were measured. Mycorrhizal fungi were identified using molecular methods. Stable isotope data of six additional Epipactis taxa and ectomycorrhizal and saprotrophic basidiomycetes were compiled from the literature. Key Results The 15N enrichment of Epipactis species varied between 3ú2ñ0ú8% (E. gigantea; rhizoctoniaassociated) and 24ú6ñ1ú6% (E. neglecta; associated with ectomycorrhizal ascomycetes). Sporocarps of ectomycorrhizal ascomycetes (10ú7ñ2ú2%) were significantly more enriched in 15N than ectomycorrhizal (5ú2ñ4ú0%) and saprotrophic basidiomycetes (3ú3ñ2ú1%). Conclusions As hypothesized, it is suggested that the observed gradient in 15N enrichment of Epipactis species is strongly driven by 15N abundance of their mycorrhizal fungi; i.e. ?15N in Epipactis spp. associated with rhizoctonias &amp;lt; ?15N in Epipactis spp. with ectomycorrhizal basidiomycetes &amp;lt; ?15N in Epipactis spp. with ectomycorrhizal ascomycetes and basidiomycetes &amp;lt; ?15N in Epipactis spp. with ectomycorrhizal ascomycetes. ? The Author 2017.</t>
  </si>
  <si>
    <t>Nitrogen (N) availability influences the productivity and distribution of plants in tropical montane forests. Strategies to acquire soil N, such as direct uptake of organic compounds or associations with root symbionts to enhance N acquisition in exchange for carbon (C), may facilitate plant species coexistence and ecosystem N retention. Alternatively, rapid microbial turnover of soil N forms in tropical soils might promote flexible plant N-uptake strategies and mediate species coexistence. We tested whether sympatric plant species with different root symbiont associations, and therefore potentially different nutrient acquisition strategies, partition chemical forms of N or show plasticity in N uptake in a tropical pre-montane forest in Panama. We traced the movement of three 15N forms into soil pools, microbes, and seedlings of eleven species differing in root traits. Seedlings were grown in a split-plot field transplant experiment, with plots receiving equimolar mixtures of ammonium, nitrate, and glycine, with one form isotopically labeled in each block. After 48 h, more 15N was recovered in microbes than in plants, while all pools (extractable organic and inorganic N, microbial biomass, and leaves) contained greater amounts of 15N from nitrate than from ammonium or glycine. Furthermore, 13C from dual-labeled glycine was not recovered in the leaves of any seedling, suggesting the studied species do not directly take up organic N or transform organic N prior to translocation to leaves. Nitrogen uptake differed by root symbiontÿgroup only for nitrate, with greater 15N recovery in plants with arbuscular mycorrhizalÿ(AM) associations or proteoid roots compared to orchids. Some root trait groups differed in 15N recovery among N forms, with greater nitrate uptake than ammonium or glycine by AM-associated and N2-fixing plants. However, only five of eleven species showed differences in uptake among N forms. These results indicate flexibility in uptake of N forms in tropical plants across root trait groups, with only a few species displaying weak preferences for a specific N form. ? 2017 by the Ecological Society of America</t>
  </si>
  <si>
    <t>Glomalin related soil protein (GRSP) is a hydrophobic glycoprotein that is significant for soil organic carbon (SOC) persistence and sequestration, owing to its large contribution to SOC pool and long turnover time. However, the contribution of GRSP to dissolve OC (DOC) leach from soil is not yet comprehensively explored, though it could have implication in understanding SOC dynamics. We, therefore, aim to measure the contribution of GRSP to DOC, in a range of land uses and climatic seasons in the dry tropical ecosystem. Our results demonstrated that a significant proportion of GRSP (water soluble GRSP; WS-GRSP) leached with DOC (7.9?21.9ÿmgÿkg-1), which accounts for 0.2?0.23% of soils total GRSP (T-GRSP). Forest exhibited significantly higher WS-GRSP and DOC leaching than fallow and agriculture. WS-GRSP and DOC accumulations were higher in the dry season (summer and winter) than in rainy. The extent of seasonal variations was higher in forest than in other two land uses, indicating the role of vegetation and biological activity in soil dissolve organic matter (DOM) dynamics. The regression analysis among WS-GRSP, T-GRSP, DOC and SOC prove that the accumulations and leaching of GRSP and other soil OM (SOM) depend on similar factors. The ratio of WS-GRSP-C to DOC was higher in agriculture soil than in forest and fallow, likely a consequence of altered soil chemistry, and organic matter quantity and quality due to soil management practices. Multivariate analysis reflects a strong linkage among GRSP and SOC storage and leaching, soil nutrients (nitrogen and phosphorus) and other important soil properties (pH and bulk density), suggesting that improving GRSP and other SOM status is an urgent need for the both SOC sequestration and soil health in dry tropical agro-ecosystems. ? 2017 Elsevier Ltd</t>
  </si>
  <si>
    <t>Many beneficial soil microbes are sensitive to chemical and mechanical disturbances associated with conventional row crop agriculture, including arbuscular mycorrhizal (AM) fungi. AM fungi provide agricultural benefits through multiple mechanisms including increasing crop pathogen resistance, helping with crop nutrient acquisition, and increasing soil carbon storage. Conversion to less intensive row crop agricultural management systems such as biologically-based organic and no-till may reduce the negative effects of conventional management to AM fungi. In this study, AM fungus activity (via glomalin production), spore diversity, community structure, and community stability were surveyed over 20 years in no-till, biologically-based organic, and conventionally managed plots at the W.K. Kellogg Biological Station Long Term Ecological Research Site in Michigan, USA. A complementary greenhouse experiment tested for direct effects of AM fungal inocula from these different agricultural management treatments on growth of corn and wheat plants. Soil glomalin increased in no-till and organic management systems, most likely due to decreases in disturbance associated with tillage and chemical inputs. No-till management slightly increased AM fungus diversity and community stability. AM fungus community structure significantly differed between conventional and no-till treatments, with an indicator species analysis showing that Acaulospora spp. were characteristic of conventional management, while Glomus spp. and Gigaspora spp. were associated with no-till management. AM fungal inocula from organically-managed treatments increased wheat, but not corn, growth. Overall, conversion from long-term conventional row crop agricultural management to no-till or biologically-based organic systems increased soil glomalin, but did not uniformly improve AM fungus diversity or crop plant benefits. In the future, novel agricultural systems combining organic management with conservation tillage may further improve AM fungal benefits to soils and crops. ? 2017</t>
  </si>
  <si>
    <t>Fine roots (?2ÿmm in diameter) of tree species, traditionally regarded as homogenous entities, are expected to be major contributors of forest soil organic carbon (C), but their contributions need to be reevaluated given the heterogeneity in many root characteristics within fine-root architecture. Here, literature data were synthesized to analyze whether there existed heterogeneity of decomposition rates within fine-root architecture of tree species and quantify the relative contributions of roots of each branching order to forest soil C storage by combining variations in annual litter inputs among fine-root branching hierarchies. Results showed the presence of heterogeneity in decomposition rates within fine-root architecture, and this pattern was influenced by classification methods (root order or diameter class). Specifically, the heterogeneity in decomposition rates was shown only when fine roots were classified by root order, but not when fine roots were classified by diameter class. The slower decomposition rates of lower-order roots (the first two orders) were related to their higher acid-unhydrolyzable residues. Furthermore, lower-order roots were found to account for 57?71% of annual root litter inputs of the first five orders. Given the slow decomposition rates and high annual litter inputs of lower-order roots of tree species, our findings suggest that lower-order roots should be important contributors to forest soil organic C. ? 2017 Elsevier B.V.</t>
  </si>
  <si>
    <t>Processes governing the fixation, partitioning, and mineralization of carbon in soils are under increasing scrutiny as we develop a more comprehensive understanding of global carbon cycling. Here we examined fixation by Douglas-fir seedlings and transfer to associated ectomycorrhizal fungi, soil microbes, and full-sibling or nonsibling neighbouring seedlings. Stable isotope probing with 99% 13C-CO2 was applied to trace 13C-labelled photosynthate throughout plants, fungi, and soil microbes in an experiment designed to assess the effect of relatedness on 13C transfer between plant pairs. The fixation and transfer of the 13C label to plant, fungal, and soil microbial tissue was examined in biomass and phospholipid fatty acids. After a 6ÿd chase period, c. 26.8% of the 13C remaining in the system was translocated below ground. Enrichment was proportionally greatest in ectomycorrhizal biomass. The presence of mesh barriers (0.5 or 35ÿ?m) between seedlings did not restrict 13C transfer. Fungi were the primary recipients of 13C-labelled photosynthate throughout the system, representing 60?70% of total 13C-enriched phospholipids. Full-sibling pairs exhibited significantly greater 13C transfer to recipient roots in two of four Douglas-fir families, representing three- and fourfold increases (+ÿc. 4ÿ?g excess 13C) compared with nonsibling pairs. The existence of a root/mycorrhizal exudation?hyphal uptake pathway was supported. ? 2016 The Authors. New Phytologist ? 2016 New Phytologist Trust</t>
  </si>
  <si>
    <t>Soil microorganisms catalyze various ecological processes such as nutrient cycling. Microorganisms produce as well as consume greenhouse gases, including CO2. There is a growing interest world wide in sequestering atmospheric C and improving soil properties. Mycorrhizal fungi form a mutualistic association with plants receiving photosynthate from plants. The production of a glycoprotein glomalin by hyphae of AMF is directly linked to soil aggregation and positively correlated with soil aggregate stability. It has been observed that AMF hyphal abundance and soil aggregation are also positively correlated with C and N sequestration. Small (~100 amino acids) cysteine-rich proteins called hydrophobins are expressed only by filamentous saprophytic fungi belonging to ascomycetes and basidiomycetes. Another group of proteins called chaplins are produced by streptomycetes which have shown promise for the carbon sequestration in soils. ? Springer Nature Singapore Pte Ltd. 2017. All rights reserved.</t>
  </si>
  <si>
    <t>The use of modern agricultural techniques for enhanced production has been advocated, however, its impact on below ground microbial networks is overlooked and adversely affected. The abiotic stresses like temperature (heat, cold chilling/frost), water (drought, flooding/hypoxia), radiation (UV, ionizing radiation), chemicals (mineral deficiency/excess, pollutants heavy metals/pesticides, gaseous toxins), mechanical (wind, soil movement, submergence) are responsible for over 50% reduction in agricultural production. On the other hand, organic farming practices yield fruitful results. This has highlighted the emerging need of switching over to some eco-friendly agricultural practices which can enhance the growth of plant, improve soil quality, mitigate drought without having adverse impacts on environment. Rhizosphere which is the narrow zone surrounding the roots of plant (Hiltner 1904) contains microbial communities which have the potential to benefit plants. Arbuscular mycorrhizal fungi are obligate symbionts which form association with about 90% of the land plant species (Gadkar et al. 2001). However, agricultural practices like tillage, crop rotation, fallowing, organic farming, fertilizers, etc., influence the functioning of AMF in many ways. Soybean is rich in phytochemicals that are beneficial for human beings. The inoculation of soybean and some other crops including cereals, pulses, and other leguminous crops with AMF leads to an enhancement in abiotic stress tolerance, disease resistance, overall growth, soil carbon sequestration, nutrient uptake, etc. This chapter summarizes the overall impact of different agricultural practices on mycorrhiza and other soil microbial communities under soybean-based cropping system. ? Springer Nature Singapore Pte Ltd. 2017. All rights reserved.</t>
  </si>
  <si>
    <t>Some green orchids obtain carbon from their mycorrhizal fungi, as well as from photosynthesis. These partially mycoheterotrophic orchids sometimes produce fully achlorophyllous, leaf-bearing (albino) variants. Comparing green and albino individuals of these orchids will help to uncover the molecular mechanisms associated with mycoheterotrophy. We compared green and albino Epipactis helleborine by molecular barcoding of mycorrhizal fungi, nutrient sources based on 15N and 13C abundances and gene expression in their mycorrhizae by RNA-seq and cDNA de novo assembly. Molecular identification of mycorrhizal fungi showed that green and albino E. helleborine harboured similar mycobionts, mainly Wilcoxina. Stable isotope analyses indicated that albino E. helleborine plants were fully mycoheterotrophic, whereas green individuals were partially mycoheterotrophic. Gene expression analyses showed that genes involved in antioxidant metabolism were upregulated in the albino variants, which indicates that these plants experience greater oxidative stress than the green variants, possibly due to a more frequent lysis of intracellular pelotons. It was also found that some genes involved in the transport of some metabolites, including carbon sources from plant to fungus, are higher in albino than in green variants. This result may indicate a bidirectional carbon flow even in the mycoheterotrophic symbiosis. The genes related to mycorrhizal symbiosis in autotrophic orchids and arbuscular mycorrhizal plants were also upregulated in the albino variants, indicating the existence of common molecular mechanisms among the different mycorrhizal types. ? 2017 John Wiley &amp; Sons Ltd</t>
  </si>
  <si>
    <t>Ganeteg U., Ahmad I., J„mtg†rd S., Aguetoni-Cambui C., Inselsbacher E., Svennerstam H., Schmidt S., N„sholm T.</t>
  </si>
  <si>
    <t>Although organic nitrogen (N) compounds are ubiquitous in soil solutions, their potential role in plant N nutrition has been questioned. We performed a range of experiments on Arabidopsis thaliana genetically modified to enhance or reduce root uptake of amino acids. Plants lacking expression of the Lysine Histidine Transporter 1 (LHT1) displayed significantly lower contents of 13C and 15N label and of U-13C5,15N2 L-glutamine, as determined by liquid chromatography?mass spectrometry when growing in pots and supplied with dually labelled L-glutamine compared to wild type plants and LHT1-overexpressing plants. Slopes of regressions between accumulation of 13C-labelled carbon and 15N-labelled N were higher for LHT1-overexpressing plants than wild type plants, while plants lacking expression of LHT1 did not display a significant regression between the two isotopes. Uptake of labelled organic N from soil tallied with that of labelled ammonium for wild type plants and LHT1-overexpressing plants but was significantly lower for plants lacking expression of LHT1. When grown on agricultural soil plants lacking expression of LHT1 had the lowest, and plants overexpressing LHT1 the highest C/N ratios and natural ë15N abundance suggesting their dependence on different N pools. Our data show that LHT1 expression is crucial for plant uptake of organic N from soil. ? 2016 John Wiley &amp; Sons Ltd</t>
  </si>
  <si>
    <t>Managing soil to sequester C can help mitigate increasing CO2 in the atmosphere. To maximize this ecosystem service, more knowledge of factors influencing C sequestration is needed. The objectives of this study were to (i) quantify recovery of the roots, microbial biomass and composition, and soil structure across a chronosequence of grassland restorations and (ii) use a structural equation model to develop a data-based hypothesis on the relative influence of physical and biological soil properties on the soil C aggregate fraction diagnostic of sequestered C. Belowground plant biomass and tissue quality (C/N ratio), soil microbial biomass C, phospholipid fatty acid (PLFA) concentrations, soil structure, and soil C stocks in the bulk soil and each aggregate fraction were quantified from a cultivated field, prairies restored for 1 to 35-yr (n = 6), and a never-cultivated (native) prairie. Root biomass, microbial biomass C, arbuscular mycorrhizal fungi (AMF) PLFA biomass across the chronosequence increase to resemble native prairie following 35 yr of restoration. Many aspects of soil structure (i.e., bulk density, proportional mass of aggregate fractions, and aggregate mean weighted diameter) and the distribution C among soil fractions, including C in the micro-within-macro aggregate fraction (sequestered C), also became representative of native prairie within 35 yr of restoration. Total soil C stock and physically protected C increased at a similar rate (23 and 27 g C m-2 yr-1) respectively, across the chronosequence. After 35 yr of restoration, 50% of the total C pool was physically protected. The structural equation modeling developed by these data hypothesizes that microbial biomass C and AMF biomass (microbial composition) have the strongest causal influence on physically protected C. This model needs to be tested using independent sites to achieve greater inference. ? Soil Science Society of America, 5585 Guilford Rd., Madison WI 53711 USA. All Rights reserved.</t>
  </si>
  <si>
    <t>Application of biochar to the soil is globally recognised as a means to improve soil structure and fertility, increase carbon sequestration, enhance crop production and mitigate climate change. However, although the fine root system is fundamental for plant growth, crop productivity, carbon and nutrient cycling, little is known about the effect of biochar on plant fine roots. This study, conducted in a Montepulciano (Vitis vinifera L.) vineyard, was aimed at investigating the impact of biochar application (at the rate of 10 t ha?1) on soil chemical and physical properties, fine root dynamics and arbuscular mycorrhizal fungi (AMF) production during a one-year sampling period. To this aim, seasonal variation of fine root mass, length and diameter was measured by the sequential coring technique, whereas fine root annual production was calculated by minimum-maximum procedure and turnover rate of live roots by maximum standing biomass. For AMF annual production, in-growth mesh bags were used to measure glomalin as quantitative indicator of mycorrhizae presence. Results showed that biochar significantly increased organic carbon (20.7%), available ammonium (84.4%), and available water content of the soil (11.8%), while it also promoted the formation of the large fraction of macro aggregates (? &amp;gt; 2 mm; 3.1% control; 5.5% treated). Cation exchange capacity, pH, total nitrogen content, and total and available phosphorus content remained unaffected. Immediately after biochar soil amendment, while fine root length remained unchanged, a significant increase in fine root biomass was measured resulting in a higher mean annual biomass (8.56 g m?2 control; 13.34 g m?2 treated), annual production (8.71 g m?2 control; 12.7 g m?2 treated) and lifespan (as evidenced by a lower turnover rate; 1.02 yr?1 control; 0.95 yr?1 treated). Moreover, the increase of fine root biomass resulted to be associated with radial growth since mean fine root diameter was significantly higher in biochar-treated plants (0.56 mm) than in control plants (0.46 mm). Biochar had no significant effect on the annual production of AMF. The results of the present study show that the improvements of soil chemical and physical features due to biochar application have an immediate effect on fine root dynamics and morphology. Furthermore, the increase of fine root biomass is mainly due to radial growth and occurs during the water shortage period, supporting fruit setting and ripening in grapevine plants. ? 2017 Elsevier B.V.</t>
  </si>
  <si>
    <t>The impact of atmospheric nitrogen deposition on forest ecosystems depends in large part on its fate. Past tracer studies show that litter and soils dominate the short-term fate of added 15N, yet few have examined its longer term dynamics or differences among forest types. This study examined the fate of a 15N-NO- 3 tracer over 5?6ÿyears in a mixed deciduous stand that was evenly composed of trees with ectomycorrhizal and arbuscular mycorrhizal associations. The tracer was expected to slowly mineralize from its main initial fate in litter and surface soil, with some 15N moving to trees, some to deeper soil, and some net losses. Recovery of added 15N in trees and litterfall totaled 11.3% both 1 and 5?6ÿyears after the tracer addition, as 15N redistributed from fine and especially coarse roots into cumulative litterfall and small accumulations in woody tissues. Estimates of potential carbon sequestration from tree 15N recovery amounted to 12?14ÿkg C per kg of N deposition. Tree 15N acquisition occurred within the first year after the tracer addition, with no subsequent additional net transfer of 15N from detrital to plant pools. In both years, ectomycorrhizal trees gained 50% more of the tracer than did trees with arbuscular mycorrhizae. Much of the 15N recovered in wood occurred in tree rings formed prior to the 15N addition, demonstrating the mobility of N in wood. Tracer recovery rapidly decreased over time in surface litter material and accumulated in both shallow and deep soil, perhaps through mixing by earthworms. Overall, results showed redistribution of tracer 15N through trees and surface soils without any losses, as whole-ecosystem recovery remained constant between 1 and 5?6ÿyears at 70% of the 15N addition. These results demonstrate the persistent ecosystem retention of N deposition even as it redistributes, without additional plant uptake over this timescale. ? 2016 John Wiley &amp; Sons Ltd</t>
  </si>
  <si>
    <t>Baskaran P., Hyv”nen R., Berglund S.L., Clemmensen K.E., gren G.I., Lindahl B.D., Manzoni S.</t>
  </si>
  <si>
    <t>Tree growth in boreal forests is limited by nitrogen (N) availability. Most boreal forest trees form symbiotic associations with ectomycorrhizal (ECM) fungi, which improve the uptake of inorganic N and also have the capacity to decompose soil organic matter (SOM) and to mobilize organic N (?ECM decomposition?). To study the effects of ?ECM decomposition? on ecosystem carbon (C) and N balances, we performed a sensitivity analysis on a model of C and N flows between plants, SOM, saprotrophs, ECM fungi, and inorganic N stores. The analysis indicates that C and N balances were sensitive to model parameters regulating ECM biomass and decomposition. Under low N availability, the optimal C allocation to ECM fungi, above which the symbiosis switches from mutualism to parasitism, increases with increasing relative involvement of ECM fungi in SOM decomposition. Under low N conditions, increased ECM organic N mining promotes tree growth but decreases soil C storage, leading to a negative correlation between C stores above- and below-ground. The interplay between plant production and soil C storage is sensitive to the partitioning of decomposition between ECM fungi and saprotrophs. Better understanding of interactions between functional guilds of soil fungi may significantly improve predictions of ecosystem responses to environmental change. ? 2016 The Authors. New Phytologist ? 2016 New Phytologist Trust</t>
  </si>
  <si>
    <t>carbon (C) sequestration; ectomycorrhizal (ECM) decomposition; mutualistic?parasitic continuum; nitrogen (N) availability; optimal C allocation; plant growth</t>
  </si>
  <si>
    <t>Rinne K.T., Rajala T., Peltoniemi K., Chen J., Smolander A., M„kip„„ R.</t>
  </si>
  <si>
    <t>Microbial respiration in dead wood contributes substantially to the long-lived forest carbon (C) pool and has a significant role in the forest nitrogen (N) cycle. Wood N content has been found to increase during the decay process; however, temporal dynamics and the sources of this external N remain unclear. To examine N dynamics at various stages of decomposition, we combined high variety of analytical methods on Norway spruce logs, including wood ë15N, N%, 14C-dating, fungal composition and N2 fixation rate. For N2 fixation rate, we also determined its dependency on ambient temperature and decay class, when estimating annual N2 fixation rates for our study site. N2 fixation was observed to have a major role in increasing wood N content during decay. For the most decayed wood, it accounted for 60% of the total N accumulation. Compared to other reports, where the annual temperature was similar to our site, the calculated annual fixation rate of 85ÿg N ha?1 year?1 is a low estimate. However, previous studies have not taken appropriately into account the dependency of N2 fixation rate on ambient temperature and decay class. Our ë15N model describing the sources of external N, statistical analysis and the fungal DNA composition of decayed wood suggest that other sources of external N accumulating in wood were soil-foraging wood-decay fungi and mycorrhizal fungi. Our study improves knowledge of the temporal dynamics of N accumulation in wood with advancing wood decay, the potential sources of external N and their relative significance. All of these factors are important for nitrogen as well as carbon models dealing with ecosystem responses to climate change. ? 2016 The Authors. Functional Ecology ? 2016 British Ecological Society</t>
  </si>
  <si>
    <t>The selection of plant species for use on green roofs has been based primarily on their ability to cope with the harsh climatic conditions of the urban rooftop environment. However, green roof plants must also survive in engineered substrates that often lack organic material and beneficial soil microorganisms such as mycorrhizal fungi. We review the literature on mycorrhizae in the context of green roof ecosystems, identifying aspects of green roof functioning that could be enhanced through the integration of mycorrhizal fungi. Although relatively few studies have addressed the influence of mycorrhizal symbiosis on green roof plants specifically, we include information from a variety of naturally occurring habitats with analogous growing conditions. The available literature suggests that the incorporation of mycorrhizal fungi can improve a number of green roof functional attributes, including plant diversity, drought resilience, leachate quality, nutrient use efficiency and carbon sequestration, all while reducing the need for external nutrient inputs. We present evidence that mycorrhizal fungi are of general benefit to green roof ecosystems, and can be effectively integrated into green roof design. We recommend methods for this integration and propose future research directions. ? 2016, Springer Science+Business Media New York.</t>
  </si>
  <si>
    <t>Biochar and composted manure can impart benefits, such as improved nutrient cycling, increased productivity, and carbon sequestration, when they are applied to agricultural soils. There are limited data, however, on how these additives effect mixed perennial communities. We compare plant and soil community responses by using factorial applications of Royal Oak biochar (0%, 2.6%, and 5.2%) and composted manure (0 and 4.5 kg m?2) in a tallgrass prairie restoration in Iowa. We found that biochar contributed to ecosystem function by increasing total carbon in the soil. We also found that biochar increased plant species richness and the 5.2% biochar treatment increased the biomass of plant species in the seed mix. Phosphorus cycling was altered by both the biochar and manure treatments; in soils with manure, biochar addition reduced phosphorus (P) availability compared with the control, but in soils without manure, biochar increased P availability. Belowground, the biochar and manure treatments affected the relative density of gram-negative bacteria, the relative density of actinobacteria, and root colonization by mycorrhizae. Contrary to our hypotheses, however, the biochar and manure treatments did not change total plant cover, total aboveground peak biomass, overall plant community, soil pH, inorganic nitrogen concentrations, extractable soil K, plant tissue N, soil microbial biomass-carbon, nematode density, and overall microbial community composition. Overall, we found several benefits and few externalities associated with biochar and composted manure addition to tallgrass prairie. However, these products can vary considerably and their interactions with soil, plants, and microbes can be situation specific. More study is needed to identify the characteristics of biochar that can affect mixed perennial communities prior to widespread use. ? 2016 Elsevier B.V.</t>
  </si>
  <si>
    <t>Arbuscular mycorrhizal fungi (AMF) play a key role in soil carbon storage and release; however, they have never been considered as a factor affecting methane (CH4) emissions from rice paddies. To reveal the role of AMF, the diurnal variations of CH4 emissions from the noninoculated and inoculated rice field plots were compared at midseason drainage, reflooding stage, and end-of-season drainage. The results showed that the diurnal variation patterns in the two treatments both closely tracked soil water content at midseason drainage and end-of-season drainage, while correlated very well with the stomatal conductance of rice at reflooding stage. There were no significant differences between treatments in soil water content and stomatal conductance. However, the diurnal CH4 emission fluxes at the three stages ranged from 4.8 to 39.3, 0.9 to 12.4, and 0.2 to 2.3ÿmg m?2 h?1 in the noninoculated plots, and those in the inoculated plots ranged from 2.1 to 18.7, 0.9 to 5.0, and 0.3 to 1.2ÿmg m?2ÿh?1. The significant differences resulted from carbon-to-nitrogen ratios (C:N) of the noninoculated and inoculated soil, which had a negative linear correlation with maximum diurnal CH4 fluxes. Compared with the noninoculated treatment, inoculating with AMF significantly increased soil C:N by improving the dry matter of rice, which intensified N limit for CH4 production. ? 2017 Taylor &amp; Francis Group, LLC.</t>
  </si>
  <si>
    <t>[Objective] Arbuscular mycorrhizal(AM) fungi are ubiquitous in the terrestrial ecosystem and capable of forming mutualistic relationships with most high plants, increase soil carbon sequestration via both direct and indirect pathways, and then play a key role in building up carbon storage in the forest ecosystem. However, little has been reported in the literature about variation of the AM fungus community in the soil under long-term plantation of moso bamboo(Phyllostachys edulis). Hence, the primary concern of this study is to explore variation of soil AM fungus in biomass and community structure, and its key affecting factors in the soil under long-term planted moso bamboo forest. [Method] As the moso bamboo forests in this area were mostly converted from masson pine forests one by one in the past years, plots of moso bamboo stands different in plantation age(i.e. 5 a, 9 a, 15 a and 18 a,) for comparison with the plots of natural masson pine forest. Each plot(10? 10 m) had three replicates and all the plots were laid out at least 10 m apart. Five sampling points were set randomly in each plot, and samples of topsoil(0?20 cm) were collected from the five sampling sites in each plot and thoroughly mixed up to make a single composite sample for each plot. The soil samples were analyzed for biomass and community structure of AM fungi using the phospholipid fatty acid(PLFA) method and the high-throughput sequencing based on the Illumina Miseq platform method, respectively. Glomalin-related soil protein(GRSP) was extracted with citrate solution and measured by spectrophotometer using boving serum albumin as standard. Soil water-stable aggregates were analyzed using the wet-sieving method. [Result] Results show that soil nutrients decreased in content with the moso bamboo plantation increasing in age. Moreover, the 18 year old plots were significantly lower than the 5 plots in both GRSP content and AM fungal biomass. Pearson correlation indicated that the content of easily extracted GRSP in the soil was positively related to organic C, available K, and available N(p&lt;0.05), and AM fungal hyphal biomass (16:1?5 PLFA) positively and significantly to available N(p&lt;0.01). Fractionation of soil aggregates reveals that water-stable macroaggregates(2?0.25 mm in diameter) comprised the largest fraction of soil aggregates, varying in the range from 57.79% to 72.40% and long-term bamboo plantation reduced the fraction significantly. The percentage of macroaggregates was found positively and significantly related to the biomass of AM fungal hypha(p&lt;0.01). Results of high-throughput sequencing indicate that Glomus dominated in the AM fungal community, followed by Acaulospora. In soils under long-term moso bamboo plantation soil Glomus increased in relative abundance while Acaulospora decreased significantly(p&lt;0.05). Non-metric multidimensional scaling(NMDS) analysis demonstrates that the AM fungal communities in the soils under moso bamboo plantation varied sharply from those under masson pine plantation(p=0.001) and also significantly with age as was observed on the first axis of NMDS. When environmental variables were fitted onto NMDS ordination, AM fungal communities were found significantly related to soil moisture(p=0.005) and available N(p=0.001), but marginally to available P(p=0.014). [Conclusion] Long-term plantation of moso bamboo decreases AM fungal biomass, alters AM fungal community structure significantly and exhausts soil nutrients steadily. The changes in soil moisture, available P and available N contribute significantly to the variation of soil AM fungal communities. Long-term plantation of moso bamboo also decreases the content of GRSP, and the proportion of soil water-stable macroaggregates (0.25?2 mm) significantly, which poses a negative impact on soil carbon sequestration and hence stability of the ecosystem.</t>
  </si>
  <si>
    <t>Dvo? ?kov  H., Brtnick? M., Kynick? J., Hladk? J., Z hora J.</t>
  </si>
  <si>
    <t>Biochar is carbonized organic matter, which is prepared by pyrolysis and it content high amount of carbon. This material is currently very often mentioned in carbon sequestration and as an additive improving physicochemical and biological soil functions, especially soil aggregation, conductivity or pH. Thus biochar could be usefully toll for decreased erosion risk. The influence of biochar on soil microorganisms is still big question. Results of scientific work differ much. Problematic component of biochar is aromatics formed during pyrolysis of organic material and can be toxic to most of microorganisms. However, some representatives of microbial community can use them as a source of nutrients and energy. Thus, their contribution, together with oxidation, can lead to degradation of aromatic compounds over time. Anyway, this process can be very long lasting. In our experiment, we tried to accelerate these natural processes by means of a simple system (biochar inoculated by native soil microflora in aquatic environment). Afterwards, we compared the effect of conventional (fresh) biochar and our biochar activated on root colonisation of experimental plants by arbuscular fungi (AMF). ? SGEM2017. All Rights Reserved.</t>
  </si>
  <si>
    <t>Mycorrhizas are among the most widespread and ancient symbioses on Earth. These plant-fungus associations improve nutrition and water relations of most plants. This chapter introduces key features of four main types of mycorrhizas: arbuscular, ericoid, and orchid mycorrhizas, and ectomycorrhizas. The published literature on mycorrhizas has evolved over time. During the past 130. years, the study of mycorrhizas has progressed from descriptions of their nutritional benefits to recognition of their: (1) importance as components of soil fertility, (2) role in structuring and stabilizing soils, and (3) importance for below-ground carbon storage. This book provides a unique perspective of mycorrhizal research advances at the interface of biological, soil, and earth sciences. Its 26 chapters review and synthesize the burgeoning literature about mycorrhizas by bringing together the perspectives and expertise of more than 50 mycorrhizal experts, including some of the pioneers in the field. ? 2017 Elsevier Inc. All rights reserved.</t>
  </si>
  <si>
    <t>In most ecosystems roots and their associated mycorrhizal fungi are a significant component of the soil food web where many bacteria, fungi, and animals directly or indirectly depend on them for much of their nutrition. This dependency is to a large extent mutual: decomposers (saprotrophs) in soil are the primary agents in releasing vital nutrients locked up in organic matter, which in many cases neither plant roots nor mycorrhizal fungi can effectively release. Therefore plants and mycorrhizal fungi engage in an intriguing relationship with saprotrophs in which they act as a main substrate for saprotrophs and simultaneously depend on them and compete with them for soil nutrients. These multiple interactions present us with difficulties in generalizing the effect of mycorrhizal fungi on saprotrophs. In some cases their interests are aligned and saprotrophs and mycorrhizal fungi can act in concert in releasing and taking up essential nutrients; in others competition may be more important. In this chapter we discuss the ways in which different types of mycorrhizal fungi (arbuscular, ectomycorrhizal, and ericoid) can prime soil organic matter decomposition, compete with saprotrophs for substrate, and engage in other ways with members of the soil food web to affect soil organic carbon stocks. ? 2017 Elsevier Inc. All rights reserved.</t>
  </si>
  <si>
    <t>Ecological succession has been widely studied for more than a century, but the focus has mainly been on plant community dynamics over time. In the last 2 decades there has been a steady increase of research focused on mycorrhizal fungal succession, in part because of methodological advancements. In this chapter we first review mechanisms of mycorrhizal succession in terms of "habitat," "plant," and "fungal" drivers. Habitat drivers point to the importance of soil pH, P, N, and moisture during primary and secondary succession whereas P availability and soil pH are more important during long-term pedogenesis and at large spatial scales. Plant drivers such as size and age of root systems and host plant identity are often identified as important factors structuring and diversifying mycorrhizal fungal communities. Fungal drivers can also be important; mechanisms such as dispersal limitation of fungi can strongly influence the composition of ectomycorrhizal fungal communities and show considerable spatial and temporal dependencies. We conclude that no single driver rules them all; instead, the drivers interact and the relative importance of each driver depends on the spatial and temporal scales. We propose the "Interacting Drivers" hypothesis to highlight the importance of interactions between drivers. We also highlight promising topics and approaches for future research that should increase our understanding of the ecology of the mycorrhizal symbiosis but also better inform models of carbon sequestration and climate change. ? 2017 Elsevier Inc. All rights reserved.</t>
  </si>
  <si>
    <t>There are potentially large benefits to using biochar in temperate, agricultural soils; it may stably sequester carbon and improve crop access to water. However, biochar addition will change the chemical and physical properties of soil and thus influence roots and mycorrhizal fungi. There are now many studies documenting effects of biochar on various aspects of the arbuscular mycorrhizal symbiosis. However, because each study is idiosyncratic, it seems a rather fruitless exercise to document the many context-specific cases in which biochar affects various aspects of the mycorrhizal symbiosis. Instead, I first review some of the effects biochar has on soil properties and how those soil properties influence mycorrhizal fungi and mycorrhizal colonization. Second, because biochar alleviates some of the same stresses experienced by plants that mycorrhizal colonization alleviates, I document ways in which the effects of biochar on plant stress are likely to influence plant response to mycorrhizal colonization. ? 2017 Elsevier Inc. All rights reserved.</t>
  </si>
  <si>
    <t>Agricultural fertilization significantly affects arbuscular mycorrhizal fungal (AMF) community composition. However, the functional implications of community shifts are unknown, limiting understanding of the role of AMF in agriculture. We assessed AMF community composition at four sites managed under the same nitrogen (N) and phosphorus (P) fertilizer regimes for 55ÿyr. We also established a glasshouse experiment with the same soils to investigate AMF?barley (Hordeum vulgare) nutrient exchange, using carbon (13C) and 33P isotopic labelling. N fertilization affected AMF community composition, reducing diversity; P had no effect. In the glasshouse, AMF contribution to plant P declined with P fertilization, but was unaffected by N. Barley C allocation to AMF also declined with P fertilization. As N fertilization increased, C allocation to AMF per unit of P exchanged increased. This occurred with and without P fertilization, and was concomitant with reduced barley biomass. AMF community composition showed no relationship with glasshouse experiment results. The results indicate that plants can reduce C allocation to AMF in response to P fertilization. Under N fertilization, plants allocate an increasing amount of C to AMF and receive relatively less P. This suggests an alteration in the terms of P?C exchange under N fertilization regardless of soil P status. ? 2016 The Authors. New Phytologist ? 2016 New Phytologist Trust</t>
  </si>
  <si>
    <t>Rhizodeposits have received considerable attention, as they play an important role in the regulation of soil carbon (C) sequestration and global C cycling and represent an important C and energy source for soil microorganisms. However, the utilization of rhizodeposits by microbial groups, their role in the turnover of soil organic matter (SOM) pools in rice paddies, and the effects of nitrogen (N) fertilization on rhizodeposition are nearly unknown. Rice (Oryza sativa L.) plants were grown in soil at five N fertilization rates (0, 10, 20, 40, or 60ÿmg N kg?1 soil) and continuously labeled in a 13CO2 atmosphere for 18ÿdays during tillering. The utilization of root-derived C by microbial groups was assessed by 13C incorporation into phospholipid fatty acids. Rice shoot and root biomass strongly increased with N fertilization. Rhizodeposition increased with N fertilization, whereas the total 13C incorporation into microorganisms, as indicated by the percentage of 13C recovered in microbial biomass, decreased. The contribution of root-derived 13C to SOM formation increased with root biomass. The ratio of 13C in soil pools (SOM and microbial biomass) to 13C in roots decreased with N fertilization showing less incorporation and faster turnover with N. The 13C incorporation into fungi (18:2?6,9c and 18:1?9c), arbuscular mycorrhizal fungi (16:1?5c), and actinomycetes (10Me 16:0 and 10Me 18:0) increased with N fertilization, whereas the 13C incorporation into gram-positive (i14:0, i15:0, a15:0, i16:0, i17:0, and a17:0) and gram-negative (16:1?7c, 18:1?7c, cy17:0, and cy19:0) bacteria decreased with N fertilization. Thus, the uptake and microbial processing of root-derived C was affected by N availability in soil. Compared with the unfertilized soil, the contribution of rhizodeposits to SOM and microorganisms increased at low to intermediate N fertilization rates but decreased at the maximum N input. We conclude that belowground C allocation and rhizodeposition by rice, microbial utilization of rhizodeposited C, and its stabilization within SOM pools are strongly affected by N availability: N fertilization adequate to the plant demand increases C incorporation in all these polls, but excessive N fertilization has negative effects not only on environmental pollution but also on C sequestration in soil. ? 2016, Springer-Verlag Berlin Heidelberg.</t>
  </si>
  <si>
    <t>The Burmanniaceae contain several lineages of achlorophyllous mycoheterotrophic plants that associate with arbuscular mycorrhizal fungi (AMF). Here we investigate the isotopic profile of a green and potentially mycoheterotrophic plant in situ, Burmannia coelestis, and associated reference plants. We generated ë 13C and ë 15N stable isotope profiles for five populations of B. coelestis. Burmannia coelestis was significantly enriched in 13C relative to surrounding C3 reference plants and significantly depleted in 13C relative to C4 reference plants. No significant differences were detected in 15N enrichment between B. coelestis and reference plants. The isotopic profiles measured are suggestive of partial mycoheterotrophy in B. coelestis. Within the genus Burmannia transitions to full mycoheterotrophy have occurred numerous times, suggesting that some green Burmannia species are likely to be partially mycoheterotrophic but in many conditions this mode of nutrition may only be detectable using natural abundance stable isotopic methods, such as when associated with C4 mycorrhizal plants. ? 2015 The Society for the Study of Species Biology</t>
  </si>
  <si>
    <t>Quantification of carbon (C) fluxes in mycorrhizal plants is one of the important yet little explored tasks of mycorrhizal physiology and ecology.ÿ13CO2ÿpulse-chase labelling experiments are increasingly being used to track the fate of C in these plant?microbial symbioses. Nevertheless, continuous monitoring of both the below- and aboveground CO2ÿemissions remains a challenge, although it is necessary to establish the full C budget of mycorrhizal plants. Here, a novel CO2ÿcollection system is presented which allows assessment of gaseous CO2ÿemissions (including isotopic composition of their C) from both belowground and shoot compartments. This system then is used to quantify the allocation of recently fixed C in mycorrhizal versus nonmycorrhizalÿMedicago truncatulaÿplants with comparable biomass and mineral nutrition. Using this system, we confirmed substantially greater belowground C drain in mycorrhizal versus nonmycorrhizal plants, with the belowground CO2ÿemissions showing large variation because of fluctuating environmental conditions in the glasshouse. Based on the assembledÿ13C budget, the C allocation to the mycorrhizal fungus was between 2.3% (increasedÿ13C allocation to mycorrhizal substrate) and 2.9% (reduction ofÿ13C allocation to mycorrhizal shoots) of the plant gross photosynthetic production. Although the C allocation to shoot respiration (measured during one night only) did not differ between the mycorrhizal and nonmycorrhizal plants under our experimental conditions, it presented a substantial part (?10%) of the plant C budget, comparable to the amount of CO2ÿreleased belowground. These results advocate quantification of both above- and belowground CO2ÿemissions in future studies.</t>
  </si>
  <si>
    <t>Ecosystems often show differential sensitivity to chronic nitrogen (N) deposition; hence, a critical challenge is to improve our understanding of how and why site-specific factors mediate biogeochemical responses to N enrichment. We examined the extent to which N impacts on soil carbon (C) and N dynamics depend on microbial resource stoichiometry. We added N to forest plots dominated by ectomycorrhizal (ECM) trees, which have litter and soil pools rich in organic N and relatively wide C:N ratios, and adjacent forest plots dominated by arbuscular mycorrhizal (AM) trees, which have litter and soil pools rich in inorganic N and relatively narrow C:N ratios. While microbes in both plot types exhibited fairly strict biomass homeostasis, microbes in AM-and ECM-dominated plots differed in their physiological responses to N addition. Microbes in ECM plots responded to N enrichment by decreasing their investment in N-acquisition enzymes (relative to C-acquisition enzymes) and increasing N mineralization rates (relative to C mineralization rates), suggesting that N addition alleviated microbial N demand. In contrast, heterotrophic microbial activities in AM plots were unaffected by N addition, most likely as a result of N-induced increases in net nitrification (60% increase relative to control plots) and nitrate mobilization (e.g., sixfold increases in mobilization relative to control plots). Combined, our findings suggest the stoichiometric differences between AM and ECM soils are the primary drivers of the observed responses. Plant and microbial communities characterized by wide C:N are more susceptible to N-induced changes in decomposition and soil C dynamics, whereas communities characterized by narrow C:N are more susceptible to N-induced nitrate leaching losses. Hence, the biogeochemical consequences of N deposition in temperate forests may be driven by the stoichiometry of the dominant trees and their associated microbes. ? 2016 by the Ecological Society of America.</t>
  </si>
  <si>
    <t>Rising atmospheric CO2 concentration and global mean temperatures have stimulated interest in managing terrestrial systems to sequester more carbon and mitigate climate change. In a restored prairie experiment, we compared high diversity (HD, 25 species) with low diversity (LD, 6 species) prairies to investigate the effect of plant diversity on soil microbial communities and their residues with soil depth. We assayed lipid and amino sugar biomarkers for soil samples, taken after 9 years following the establishment of the prairie treatment, at 5 depth increment layers: 0?2ÿcm, 12?15ÿcm, 25?27ÿcm, 50?52ÿcm, and 98?100ÿcm. We found that the microbial biomass and residues decreased considerably with depth in both diversity treatments. Ordination analysis of lipid profiles indicated soil microbial communities were consistently distinct between the deeper and the upper layers, regardless of treatment, and also differed between the LD and HD treatments. Plant diversity effects on soil microbial communities strongly correlated with arbuscular mycorrhizal fungi (AMF), as indicated by the lipid marker 16:1?5c. Soil microbial residues in deeper horizons were relatively more enriched in HD than LD treatments, suggesting that greater plant diversity might sustain higher soil carbon storage through relatively recalcitrant necromass inputs in the long term. Decreasing glucosamine/muramic acid (GluN/MurA) ratio in LD and increasing in HD with depth suggested that the new microbially-accumulated carbon was positively contributed by fungal-derived residues. Our results indicate that plant diversity drives soil microbial carbon sequestration through changes in AMF abundance in restored native tallgrass ecosystems. These findings have implications for understanding how the management of plant diversity can improve soil quality and sustainability in grasslands, and how efforts to conserve and restore diverse grasslands could mitigate greenhouse gas emissions. ? 2016 Elsevier Ltd</t>
  </si>
  <si>
    <t>Mycorrhizal Mediation of Soil: Fertility, Structure, and Carbon Storage offers a better understanding of mycorrhizal mediation that will help inform earth system models and subsequently improve the accuracy of global carbon model predictions. Mycorrhizas transport tremendous quantities of plant-derived carbon below ground and are increasingly recognized for their importance in the creation, structure, and function of soils. Different global carbon models vary widely in their predictions of the dynamics of the terrestrial carbon pool, ranging from a large sink to a large source. This edited book presents a unique synthesis of the influence of environmental change on mycorrhizas across a wide range of ecosystems, as well as a clear examination of new discoveries and challenges for the future, to inform land management practices that preserve or increase below ground carbon storage. Synthesizes the abundance of research on the influence of environmental change on mycorrhizas across a wide range of ecosystems from a variety of leading international researchers. Focuses on the specific role of mycorrhizal fungi in soil processes, with an emphasis on soil development and carbon storage, including coverage of cutting-edge methods and perspectives. Includes a chapter in each section on future avenues for further study. ? 2017 Elsevier Inc. All rights reserved.</t>
  </si>
  <si>
    <t>The evolution of mycoheterotrophy has been accompanied by extreme reductions in plant leaf size and photosynthetic capacity. Partially mycoheterotrophic plants, which obtain carbon from both photosynthesis and their mycorrhizal fungi, include species with leaves of normal size and others that are tiny-leaved. Thus, plant species may lose their leaves in a gradual process of size reduction rather than through a single step mutation. Little is known about how the degree of mycoheterotrophy changes during reductions in leaf size. We compared the degree of mycoheterotrophy among five Japanese Cephalanthera species, four with leaves of normal size (Cephalanthera falcata, Cephalanthera erecta, Cephalanthera longibracteata and Cephalanthera longifolia), one with tiny leaves (Cephalanthera subaphylla), and one albino form of C. falcata (as reference specimens for fully mycoheterotrophic plants). The levels of mycoheterotrophy were determined by stable isotope natural abundance analysis. All Cephalanthera species were relatively enriched in 13C and 15N in comparison with surrounding autotrophic plants. Cephalanthera subaphylla was strongly enriched in 13C and 15N to levels similar to the albinos. Species with leaves of normal size were significantly less enriched in 13C than C. subaphylla and the albinos. Thus, C. subaphylla was strongly mycoheterotrophic, obtaining most of its carbon from mycorrhizal fungi even though it has tiny leaves; species with leaves of normal size were partially mycoheterotrophic. Hence, during the evolutionary pathway to full mycoheterotrophy, some plant species appear to have gained strong mycoheterotrophic abilities before completely losing foliage leaves. ? 2016, The Botanical Society of Japan and Springer Japan.</t>
  </si>
  <si>
    <t>Ecosystems dominated by plants in symbiosis with ectomycorrhizal fungi store more carbon in soils. There is increasing evidence that this may be due to competition between primary producers and microbial decomposers for soil nitrogen, mediated by ectomycorrhizal fungi. This competitive interaction inhibits decomposition and increases soil carbon storage. However, other work suggests elevated carbon storage is due to recalcitrant plant tissue chemistry in ectomycorrhizal ecosystems, rather than ectomycorrhizal competition for soil nitrogen. These two frameworks make similar predictions for soil carbon storage, making them difficult to distinguish empirically. Here I argue that the ectomycorrhizal-recalcitrance hypothesis is not well supported by recent developments in the understanding of soil carbon chemistry, or evolutionary relationships among ectomycorrhizal plants. Therefore, differences in input chemistry are not sufficient to discount alternative mechanisms of carbon stabilization in ectomycorrhizal ecosystems. Future work on EM-specific stabilization of soil C should focus on alternative mechanisms including competition for N, direct antagonistic interactions, and other microbial community driven mechanisms. ? 2016 Elsevier Ltd</t>
  </si>
  <si>
    <t>Glomalin-related soil protein (GRSP), which contains glycoproteins produced by arbuscular mycorrhizal fungi (AMF), as well as non-mycorrhizal-related heat-stable proteins, lipids, and humic materials, is generally categorized into two fractions: easily extractable GRSP (EE-GRSP) and total GRSP (T-GRSP). GRSP plays an important role in soil carbon (C) sequestration and can stabilize heavy metals such as lead (Pb), cadmium (Cd), and manganese (Mn). Soil contamination by heavy metals is occurring in conjunction with rising atmospheric CO2 in natural ecosystems due to human activities. However, the response of GRSP to elevated CO2 combined with heavy metal contamination has not been widely reported. Here, we investigated the response of GRSP to elevated CO2 in the rhizosphere of Robinia pseudoacacia L. seedlings in Pb- and Cd-contaminated soils. Elevated CO2 (700ÿ?molÿmol?1) significantly increased T- and EE- GRSP concentrations in soils contaminated with Cd, Pb or Cdÿ+ÿPb. GRSP contributed more carbon to the rhizosphere soil organic carbon pool under elevated CO2ÿ+ÿheavy metals than under ambient CO2. The amount of Cd and Pb bound to GRSP was significantly higher under elevated (compared to ambient) CO2; and elevated CO2 increased the ratio of GRSP-bound Cd and Pb to total Cd and Pb. However, available Cd and Pb in rhizosphere soil under increased elevated CO2 compared to ambient CO2. The combination of both metals and elevated CO2 led to a significant increase in available Pb in rhizosphere soil compared to the Pb treatment alone. In conclusion, increased GRSP produced under elevated CO2 could contribute to sequestration of soil pollutants by adsorption of Cd and Pb. ? 2016 Elsevier Ltd</t>
  </si>
  <si>
    <t>This chapter summarizes fungal and plant aspects of carbohydrate acquisition and transfer in ectomycorrhizal (ECM) symbiosis. A central aspect of mycorrhizal function, and a driving force for the establishment of this type of symbiosis, is the fungal carbohydrate support by a host plant. The chapter presents an overview about the impact of ectomycorrhizal symbiosis on plant photosynthesis, carbohydrate storage and potential carbon delivery mechanisms toward the fungal partner. Carbohydrates must pass a number of deposits on their way to fine roots, which buffer organ C-demand and enable optimized plant photosynthesis. Also, root cortical and rhizodermal cells harbor carbon pools to balance cellular demand. There is good evidence that glucose is the preferential carbon source delivered by host plants in ECM symbiosis. The chapter also summarizes current views on utilization of soil carbon-sources by ECM fungi and fungal carbon storage strategies, with special emphasis on Basidiomycetes. ? 2017 by John Wiley &amp; Sons, Inc. All rights reserved.</t>
  </si>
  <si>
    <t>Carbon storage is affected by photosynthesis (P n) and soil respiration (R s), which have been studied extensively in natural and agricultural systems. However, the effects of P n and R s on carbon storages in the presence of arbuscular mycorrhizal fungi (AMF) in coalfields remain unclear. A field experiment was established in 2014 in Shendong coal mining subsidence area. The treatments comprised two inoculation levels (inoculated with or without 100 g AMF inoculums per seedlings) and four plant species [wild cherry (Prunus discadenia Koebne L.), cerasus humilis (Prunus dictyneura Diels L.), shiny leaf Yellow horn (Xanthoceras sorbifolium Bunge L.) and apricot (Armeniaca sibirica L.)]. AMF increased P n of four species ranging from 15.3% to 33.1% and carbon storage, averaged by 17.2% compared to controls. Soil organic carbon (OC), easily extractable glomalin-relation soil protein (EE-GRSP), and total glomalin-relation soil protein (T-GRSP) were significantly increased by AMF treatment. The effect of AMF on the sensitivity of R s depended on soil temperature. The results highlighted the exponential models to explain the responses of R s to soil temperature, and for the first time quantified AMF caused carbon sequestration and R s. Thus, to our knowledge, AMF is beneficial to ecosystems through facilitating carbon conservation in coalfield soils. ? The Author(s) 2016.</t>
  </si>
  <si>
    <t>Forest floor carbon stocks, which include different components of litter, hemic and sapric materials, have not been empirically quantified in tropical montane forest, although they influence soil carbon (C) pools. To date, the contribution of arbuscular mycorrhizae in C sequestration potentials in tropical montane forests have not been clearly investigated. This study determined the amount of C stocks in the different decomposing layers of forest floor, mainly litter, hemic and sapric materials. The abundance of arbuscular mycorrhizal root colonisation differed among forest floor fractions. Forest floor was measured for depth, area density, dry mass and carbon fraction separately in Sungai Kial Forest Reserve, Pahang, Malaysia to calculate C stocks. Percentages of root colonisation in the hemic and sapric materials were investigated. The results showed that forest floor C stocks were significantly higher in hemic (5 Mg C ha?1) and sapric (7.7 Mg C ha?1) compared with the litter fragments (1.5 Mg C ha?1). Mycorrhizal root colonisation was significantly higher (75%) in the toeslope compared with the summit area in the hemic materials. Segregation of forest floor layers provided greater accuracy in forest floor C stocks reporting. ? 2016 NISC (Pty) Ltd.</t>
  </si>
  <si>
    <t>Aboveground Epichlo‰ coenophiala?Grass Associations Do Not Affect Belowground Fungal Symbionts or Associated Plant, Soil Parameters</t>
  </si>
  <si>
    <t>Cool season grasses host multiple fungal symbionts, such as aboveground Epichlo‰ endophytes and belowground arbuscular mycorrhizal fungi (AMF) and dark septate endophytes (DSEs). Asexual Epichlo‰ endophytes can influence root colonization by AMF, but the type of interaction?whether antagonistic or beneficial?varies. In Schedonorus arundinaceus (tall fescue), Epichlo‰ coenophiala can negatively affect AMF, which may impact soil properties and ecosystem function. Within field plots of S. arundinaceus that were either E. coenophiala-free (E?), infected with the common, mammal-toxic E. coenophiala strain (CTE+), or infected with one of two novel, non-toxic strains (AR542 NTE+ and AR584 NTE+), we hypothesized that (1) CTE+ would decrease AMF and DSE colonization rates and reduce soil extraradical AMF hyphae compared to E? or NTE+, and (2) this would lead to E? and NTE+ plots having greater water stable soil aggregates and C than CTE+. E. coenophiala presence and strain did not significantly alter AMF or DSE colonization, nor did it affect extraradical AMF hypha length, soil aggregates, or aggregate-associated C and N. Soil extraradical AMF hypha length negatively correlated with root AMF colonization. Our results contrast with previous demonstrations that E. coenophiala symbiosis inhibits belowground AMF communities. In our mesic, relatively nutrient-rich grassland, E. coenophiala symbiosis did not antagonize belowground symbionts, regardless of strain. Manipulating E. coenophiala strains within S. arundinaceus may not significantly alter AMF communities and nutrient cycling, yet we must further explore these relationships under different soils and environmental conditions given that symbiont interactions can be important in determining ecosystem response to global change. ? 2016, Springer Science+Business Media New York.</t>
  </si>
  <si>
    <t>Balogh J., Papp M., Pint‚r K., F¢ti S., Posta K., Eugster W., Nagy Z.</t>
  </si>
  <si>
    <t>Summer droughts projected to increase in central Europe due to climate changes strongly influence the carbon cycle of ecosystems. Persistent respiration activities during drought periods are responsible for a significant carbon loss, which may turn the ecosystem from a sink into a source of carbon. There are still gaps in our knowledge regarding the characteristic changes taking place in the respiration of the different components of the ecosystem in response to drought events. In the present study, we combined a physical separation of soil respiration components with continuous measurements of soil CO2 efflux and its isotopic (13C) signals at a dry grassland site in Hungary. The physical separation of soil respiration components was performed by means of inox meshes and tubes inserted into the soil. The root-excluded and root- and mycorrhiza-excluded treatments served to measure the isotopic signals of the rhizospheric, mycorrhizal fungi and heterotrophic components, respectively. In the dry grassland investigated in the study the three components of the soil CO2 efflux decreased at different rates under drought conditions. During drought the contribution made by the heterotrophic components was the highest (54ñ8%; mean ñSE). Rhizospheric component was the most sensitive to soil drying with its relative contribution to the total soil respiration dropping from 66ñ7 (non-stressed) to 35ñ17% (mean ñSE) under drought conditions. According to our results the heterotrophic component of soil respiration is the major contributor to the respiration activities during drought events in the dry grassland ecosystem studied. ? Author(s) 2016.</t>
  </si>
  <si>
    <t>Long-term history of tillage and cropping mediated disturbed and undisturbed use soils effect on glomalin related soil protein (GRSP) and soil organic carbon (SOC) and on their sub fractions were investigated in Indo-Gangetic plain region. In this study, shallow soils were collected from 50-year-old monoculture treatments of undisturbed (Dendrocalamus calostachyus, Mangifera indica and Saccharum munja Roxb.) and disturbed (Oryza sativa cultivated field) land use. Our results showed that compared with undisturbed soils, soils under the disturbed use dramatically depleted in SOC, particulate OC (POC), non-particulate OC (NPOC), GRSP, easily extractable GRSP (EE-GRSP) and difficulty extractable GRSP (DE-GRSP). The depletion in labile POC was found to be little higher than physically protected NPOC, and were almost similar among the fractions of GRSP (each decreased by 50%). Further, a linear correlation was found among the fractions of GRSP and SOC, and in turn resulted in the similar relationship with soils bulk density, porosity, pH, available phosphorus, total phosphorus, organic nitrogen's, cations (calcium and potassium), arbuscular mycorrhizal (AM) abundance, and with microbial activity. These results indicate that the factors involve in SOC accumulation simultaneously encourage AM proliferation and in turn GRSP enrichment. Apart from this, the higher contribution of GRSP-C in NPOC (13 to 17%), tended to increase with decreasing soil disturbance, suggesting the role of GRSP in accumulation and stabilization of SOC in this zone. A two component factor structure showed component 1 considerably occupied by fractions of GRSP, SOC and those other variables favouring GRSP and SOC, primarily scored by undisturbed (M. indica and D. calostachyus treatments) soils. The second component which has fewer influence over soil variables, considerably occupied by microbial activity, electrical conductivity, cations and nutrients (available nitrogen, phosphorus) was also exemplified by undisturbed soils (except D. calostachyus treatment). Thus, improving GRSP and SOC stock in disturbed agricultural soil in studied area is of urgent requirement for the long-term goal of C sequestration and sustainable soil health. Our finding should stimulate management plans for degraded lands aimed at recovering the landscape heterogeneity. ? 2016 Elsevier B.V.</t>
  </si>
  <si>
    <t>The aim of this study was to evaluate the effect of biochar and organic soil amendments on soil physicochemical and microbial load, carbon sequestration potential, nutrient uptake and yield of groundnut in acidic red soil under rainfed condition. Biochar was prepared from red gram, cotton, maize stalk and mesquite wood using pilot scale slow pyrolysis biochar unit. The above sources of biochar at the rate of 2.5 and 5ÿtÿha?1 and enriched farmyard manure 0.75ÿtÿha?1, composted coir pith 10ÿtÿha?1 and arbuscular mycorrhizae 100ÿkgÿha?1 were applied as basal with required nitrogen, phosphorous and potassium fertilizer. Biochar amendment at the rate of 5ÿtÿha?1 reduced the bulk density from 1.41 to 1.36ÿgÿcm?3 and increased the soil moisture 2.5%. With respect to soil chemical changes, it raised soil pH from 5.7 to 6.3; increased the cation exchange capacity 1.4ÿcmol+kg?1 and enhanced the carbon buildup 4.4ÿtÿha?1. The significant differences in bacteria, fungi and actinomycetes population were observed between biochar and control. The nitrogen, phosphorous and potassium were better utilized under biochar and composted coir pith, which was 21, 5 and 20ÿkgÿha?1 higher than control. The experimental results suggested that application of biochar to acidic red soil favoured good soil physical, chemical and biological environment, and these positive changes influenced growth and yield attributes and enhanced pod yield 29% over control. ? 2016 Taylor &amp; Francis.</t>
  </si>
  <si>
    <t>Dalling J.W., Heineman K., Gonz lez G., Ostertag R.</t>
  </si>
  <si>
    <t>Tropical montane forests (TMF) are associated with a widely observed suite of characteristics encompassing forest structure, plant traits and biogeochemistry. With respect to nutrient relations, montane forests are characterized by slow decomposition of organic matter, high investment in below-ground biomass and poor litter quality, relative to tropical lowland forests. However, within TMF there is considerable variation in substrate age, parent material, disturbance and species composition. Here we emphasize that many TMFs are likely to be co-limited by multiple nutrients, and that feedback among soil properties, species traits, microbial communities and environmental conditions drive forest productivity and soil carbon storage. To date, studies of the biogeochemistry of montane forests have been restricted to a few, mostly neotropical, sites and focused mainly on trees while ignoring mycorrhizas, epiphytes and microbial community structure. Incorporating the geographic, environmental and biotic variability in TMF will lead to a greater recognition of plant-soil feedbacks that are critical to understanding constraints on productivity, both under present conditions and under future climate, nitrogen-deposition and land-use scenarios. ? Cambridge University Press 2015.</t>
  </si>
  <si>
    <t>Inaccurate estimate of the largest terrestrial carbon pool, soil organic carbon (SOC) stock, is the major source of uncertainty in simulating feedback of climate warming on ecosystem-atmosphere carbon dioxide exchange by process-based ecosystem and soil carbon models. Although the models need to simplify complex environmental processes of soil carbon sequestration, in a large mosaic of environments a missing key driver could lead to a modeling bias in predictions of SOC stock change.We aimed to evaluate SOC stock estimates of process-based models (Yasso07, Q, and CENTURY soil sub-model v4) against a massive Swedish forest soil inventory data set (3230 samples) organized by a recursive partitioning method into distinct soil groups with underlying SOC stock development linked to physicochemical conditions.For two-thirds of measurements all models predicted accurate SOC stock levels regardless of the detail of input data, e.g., whether they ignored or included soil properties. However, in fertile sites with high N deposition, high cation exchange capacity, or moderately increased soil water content, Yasso07 and Q models underestimated SOC stocks. In comparison to Yasso07 and Q, accounting for the site-specific soil characteristics (e. g. clay content and topsoil mineral N) by CENTURY improved SOC stock estimates for sites with high clay content, but not for sites with high N deposition.Our analysis suggested that the soils with poorly predicted SOC stocks, as characterized by the high nutrient status and well-sorted parent material, indeed have had other predominant drivers of SOC stabilization lacking in the models, presumably the mycorrhizal organic uptake and organo-mineral stabilization processes. Our results imply that the role of soil nutrient status as regulator of organic matter mineralization has to be re-evaluated, since correct SOC stocks are decisive for predicting future SOC change and soil CO2 efflux. ? 2016 Author(s).</t>
  </si>
  <si>
    <t>Respiration of soil organic carbon is one of the largest fluxes of CO2 on earth. Understanding the processes that regulate soil respiration is critical for predicting future climate. Recent work has suggested that soil carbon respiration may be reduced by competition for nitrogen between symbiotic ectomycorrhizal fungi that associate with plant roots and free-living microbial decomposers, which is consistent with increased soil carbon storage in ectomycorrhizal ecosystems globally. However, experimental tests of the mycorrhizal competition hypothesis are lacking. Here we show that ectomycorrhizal roots and hyphae decrease soil carbon respiration rates by up to 67% under field conditions in two separate field exclusion experiments, and this likely occurs via competition for soil nitrogen, an effect larger than 2ÿøC soil warming. These findings support mycorrhizal competition for nitrogen as an independent driver of soil carbon balance and demonstrate the need to understand microbial community interactions to predict ecosystem feedbacks to global climate. ? 2016 John Wiley &amp; Sons Ltd/CNRS.</t>
  </si>
  <si>
    <t>In arid environments, the propagule density of arbuscular mycorrhizal fungi (AMF) may limit the extent of the plant?AMF symbiosis. Inoculation of seedlings with AMF could alleviate this problem, but the success of this practice largely depends on the ability of the inoculum to multiply and colonize the growing root system after transplanting. These phenomena were investigated in Artemisia tridentata ssp. wyomingensis (Wyoming big sagebrush) seedlings inoculated with native AMF. Seedlings were first grown in a greenhouse in soil without AMF (non-inoculated seedlings) or with AMF (inoculated seedlings). In spring and fall, 3-month-old seedlings were transplanted outdoors to 24-L pots containing soil from a sagebrush habitat (spring and fall mesocosm experiments) or to a recently burned sagebrush habitat (spring and fall field experiments). Five or 8ÿmonths after transplanting, colonization was about twofold higher in inoculated than non-inoculated seedlings, except for the spring field experiment. In the mesocosm experiments, inoculation increased survival during the summer by 24ÿ% (p = 0.011). In the field experiments, increased AMF colonization was associated with increases in survival during cold and dry periods; 1ÿyear after transplanting, survival of inoculated seedlings was 27ÿ% higher than that of non-inoculated ones (p &amp;lt; 0.001). To investigate possible mechanisms by which AMF increased survival, we analyzed water use efficiency (WUE) based on foliar 13C/12C isotope ratios (ë 13C). A positive correlation between AMF colonization and ë 13C values was observed in the spring mesocosm experiment. In contrast, inoculation did not affect the ë 13C values of fall transplanted seedlings that were collected the subsequent spring. The effectiveness of AMF inoculation on enhancing colonization and reducing seedling mortality varied among the different experiments, but average effects were estimated by meta-analyses. Several months after transplanting, average AMF colonization was in proportion 84ÿ% higher in inoculated than non-inoculated seedlings (p = 0.0042), while the average risk of seedling mortality was 42ÿ% lower in inoculated than non-inoculated seedlings (p = 0.047). These results indicate that inoculation can increase AMF colonization over the background levels occurring in the soil, leading to higher rates of survival. ? 2016, Springer-Verlag Berlin Heidelberg.</t>
  </si>
  <si>
    <t>Large amounts of freshly fixed carbon in forest ecosystems are allocated belowground and fuel soil food webs. This supply is usually generalized as the ?root carbon?, but particular pathways by which freshly fixed carbon is assimilated by soil animals remain poorly understood. We followed the appearance of the isotopic label in springtails inhabiting different layers of soil and litter (euedaphic, hemiedaphic and epigeic life forms) after in situ pulse-labelling of spruce trees with 13C[sbnd]CO2. Isotopic label was most frequently observed in euedaphic Collembola (26% of all samples), mainly in Protaphorura armata. The label was very rare in litter-dwelling (hemiedaphic) species (4%). Surprisingly, the label was often observed in epigeic Collembola (11%). During the period of 44 days after labelling, the proportion of labelled samples increased with time in euedaphic, but not in epigeic species, suggesting that freshly fixed carbon is assimilated by these collembolan groups via different pathways. Most likely, euedaphic species are trophically linked to plant roots, whereas epigeic species receive freshly fixed carbon from aboveground. The exact mechanisms and potential importance of the latter pathway should be evaluated in further research. ? 2016 Elsevier GmbH</t>
  </si>
  <si>
    <t>Plants buffer increasing atmospheric carbon dioxide (CO2 ) concentrations through enhanced growth, but the question whether nitrogen availability constrains the magnitude of this ecosystem service remains unresolved. Synthesizing experiments from around the world, we show that CO2 fertilization is best explained by a simple interaction between nitrogen availability and mycorrhizal association. Plant species that associate with ectomycorrhizal fungi show a strong biomass increase (30 ñ 3%, P &amp;lt; 0.001) in response to elevated CO2 regardless of nitrogen availability, whereas low nitrogen availability limits CO2 fertilization (0 ñ 5%, P = 0.946) in plants that associate with arbuscular mycorrhizal fungi. The incorporation of mycorrhizae in global carbon cycle models is feasible, and crucial if we are to accurately project ecosystem responses and feedbacks to climate change.</t>
  </si>
  <si>
    <t>Bark beetle outbreaks are widespread in western North American forests, reducing primary productivity and transpiration, leading to forest mortality across large areas and altering ecosystem carbon cycling. Here the carbon isotope composition (ë13C) of soil respiration (ëJ) was monitored in the decade after disturbance for forests affected naturally by mountain pine beetle infestation and artificially by stem girdling. The seasonal mean ëJ changed along both chronosequences. We found (a) enrichment of ëJ relative to controls (&amp;lt;1 ?) in near-surface soils in the first 2 years after disturbance; (b) depletion (1? or no change) during years 3?7; and (c) a second period of enrichment (1?2?) in years 8?10. Results were consistent with isotopic patterns associated with the gradual death and decomposition of rhizosphere organisms, fine roots, conifer needles and woody roots and debris over the course of a decade after mortality. Finally, ëJ was progressively more 13C-depleted deeper in the soil than near the surface, while the bulk soil followed the well-established pattern of 13C-enrichment at depth. Overall, differences in ëJ between mortality classes (&amp;lt;1?) and soil depths (&amp;lt;3?) were smaller than variability within a class or depth over a season (up to 6?). ? 2016 The Authors. Plant, Cell and Environment published by John Wiley &amp; Sons Ltd</t>
  </si>
  <si>
    <t>Infection with a Shoot-Specific Fungal Endophyte (Epichlo‰) Alters Tall Fescue Soil Microbial Communities</t>
  </si>
  <si>
    <t>Tall fescue (Schedonorus arundinaceus) is a widespread grass that can form a symbiotic relationship with a shoot-specific fungal endophyte (Epichlo‰ coenophiala). While the effects of fungal endophyte infection on fescue physiology and ecology have been relatively well studied, less attention has been given to how this relationship may impact the soil microbial community. We used high-throughput DNA sequencing and phospholipid fatty acid analysis to determine the structure and biomass of microbial communities in both bulk and rhizosphere soils from tall fescue stands that were either uninfected with E. coenophiala or were infected with the common toxic strain or one of several novel strains of the endophyte. We found that rhizosphere and bulk soils harbored distinct microbial communities. Endophyte presence, regardless of strain, significantly influenced soil fungal communities, but endophyte effects were less pronounced in prokaryotic communities. E. coenophiala presence did not change total fungal biomass but caused a shift in soil and rhizosphere fungal community composition, increasing the relative abundance of taxa within the Glomeromycota phylum and decreasing the relative abundance of genera in the Ascomycota phylum, including Lecanicillium, Volutella, Lipomyces, Pochonia, and Rhizoctonia. Our data suggests that tripartite interactions exist between the shoot endophyte E. coenophiala, tall fescue, and soil fungi that may have important implications for the functioning of soils, such as carbon storage, in fescue-dominated grasslands. ? 2016, Springer Science+Business Media New York.</t>
  </si>
  <si>
    <t>Epichlo‰ coenophiala; Mycorrhizae; Neotyphodium; Plant-microbe interactions; Schedonorus arundinaceus; Soil microbes</t>
  </si>
  <si>
    <t>Morales F., Antol¡n M.C., Aranjuelo I., Goicoechea N., Pascual I.</t>
  </si>
  <si>
    <t>This paper describes the use of fruit-bearing grapevine hardwood cuttings as a model system for grapevine research, translating some studies that are difficult to execute under field conditions in the vineyards to facilities under controlled conditions. This approach enables to simulate in greenhouses future climate conditions and to investigate putative responses of grapevine to climate change. An updated description of how to grow grapevine fruit-bearing cuttings is made, together with modifications to carry out studies of partial rootzone drying, regulated deficit irrigation studies and symbiosis with arbuscular mycorrhizal fungi. We summarize how extensive has been the use of fruit-bearing cuttings in grapevine research over the years, with special emphasis in those experiments that analyze the effects of factors related to climate change, such as elevated CO2, elevated temperature, water availability and UV-B radiation, on grapevine physiology, production and grape quality. A validation of the model is made, comparing results obtained with fruit-bearing cuttings with those obtained from vineyard-grown plants. We discuss some advantages of growing grapevines under elevated CO2 with an atmosphere depleted in 13C, using this stable isotope (13C) and others (15N, 54Fe or 57Fe, etc.) as tracers for C, N and other nutrient metabolism studies. ? 2016, Brazilian Society of Plant Physiology.</t>
  </si>
  <si>
    <t>The mutualism between plants and arbuscular mycorrhizal fungi (AMF) is widespread and has persisted for over 400 million years. Although this mutualism depends on fair resource exchange between plants and fungi, inequality exists among partners despite mechanisms that regulate trade. Here, we use 33P and 14C isotopes and a split-root system to test for preferential allocation and reciprocal rewards in the plant-AMF symbiosis by presenting a plant with two AMF that differ in cooperativeness. We found that plants received more 33P from less cooperative AMF in the presence of another AMF species. This increase in 33P resulted in a reduced 14C cost per unit of 33P from less cooperative AMF when alternative options were available. Our results indicate that AMF diversity promotes cooperation between plants and AMF, which may be an important mechanism maintaining the evolutionary persistence of and diversity within the plant-AMF mutualism. ? 2016 John Wiley &amp; Sons Ltd/CNRS.</t>
  </si>
  <si>
    <t>Explaining the persistence of mutualism remains a challenge in ecology and evolutionary biology. The evolutionary stability of arbuscular mycorrhiza, a most widespread and ancient mutualistic association, is particularly intriguing because plants lack apparent mechanisms to prevent cheaters from gaining competitive advantages over cooperators. We developed a triple isotopic labeling method (14C, 32P, and 33P) within a split-root design to measure the exchange of carbon (C) and phosphorus (P) between the host plant and two mycorrhizal partners across a soil P gradient. Host plant preferentially allocated more C to the roots associated with the fungus delivering higher P per unit plant C, and the strength of preferential allocation decreased with increasing soil P availability. The host plant received more P per unit of allocated C from the better fungus and this advantageous exchange rate did not depend upon P availability. As a result, the level of preferential allocation was correlated with the differential delivery of P from the two fungi. Our findings suggest that plant preferential allocation to better mutualists can stabilize mutualisms in environments limiting in the traded resource, but as the availability of this resource increases, plant preferential allocation declines. This environmental dependence of preferential allocation generates predictions of declining levels in relative abundance of mutualistic fungi in high-resource environments. ? 2016 Ji and Bever.</t>
  </si>
  <si>
    <t>Plant root decomposition is one of the critical processes of carbon and nutrient cycling in terrestrial ecosystems. Plant roots less than 2 mm in diameter constitute a heterogeneous branching system. Within the system, lower order roots (e.g. 1st-3rd order) or fine roots in smaller diameter (e.g. less than 0.5 mm in diameter) which mainly serve for water and nutrient uptake have fast turnover rates (0.5-2.5 times per year), and contribute greatly to soil carbon and nutrients pools. Recently, increasing number of studies have shown that lower order roots decompose more slowly than higher order roots (e.g. more than 3rd order) or fine roots in larger diameter (e.g. more than 0.5 mm in diameter) which mainly serve for water-nutrient transport and carbon storage. Here, we review three main factors explaining the contrasting decomposition rates across different root orders or diameter classes: mycorrhizal, carbon quality and nitrogen content. Overall, we intend to provide insights into the important roles of functional traits (e.g. diameter) of fine roots that play in ecosystem carbon and nutrient cycling in a changing world. ? 2016, Editorial Department of Journal of Beijing Forestry University. All right reserved.</t>
  </si>
  <si>
    <t>Sochorov  L., Jansa J., Verbruggen E., Hejcman M., Schellberg J., Kiers E.T., Johnson N.C.</t>
  </si>
  <si>
    <t>Liming and fertilization of grasslands have been used for centuries to sustain hay production. Besides improving hay yields, these practices induce compositional shifts in plant and soil microbial communities, including symbiotic arbuscular mycorrhizal (AM) fungi. However, in spite of increasing interest in soil carbon (C) sequestration to offset anthropogenic CO2 emissions, little is known about the long-term effects of these agronomic interventions on soil C stocks. We examined how plants, AM fungi, and soil C respond to more than seven decades of annual applications of lime, mineral nitrogen (N), and mineral phosphorus (P) to test the hypotheses that (1) management practices increasing aboveground plant production decrease C allocation to roots, AM fungi and the soil; and (2) the relative availability of N and P predicts belowground C allocation in a consistent manner. Our study was conducted at the Rengen Grassland Experiment, established in 1941. Lime combined with N increased hay yields and promoted development of AM fungal hyphae in soil, while reducing relative C allocation to roots. Simultaneous enrichment of soil with lime, N, and P further boosted hay production, promoted grasses and suppressed other plant functional groups. This treatment also decreased soil organic C and strongly suppressed AM fungi in the soil, although the response to P varied among different AM fungal taxa. Our results indicate that agricultural management practices aimed at maximization of hay production may, in the long run, significantly (-20%) reduce belowground C storage. This is a great concern with respect to the intended use of grasslands as anthropogenic CO2 sinks because the fertilization-induced decrease in soil C stocks can partly or fully negate the C sequestration potential of the grassland ecosystems as a whole. ? 2016 Published by Elsevier B.V..</t>
  </si>
  <si>
    <t>This study used a [13C]DNA stable isotope probing (SIP) technique to elucidate a direct pathway for the translocation of 13C-labeled photoassimilate from maize plants to extraradical mycelium-associated phosphate-solubilizing bacteria (PSB) that mediate the mineralization and turnover of soil organic phosphorus (P) in the hyphosphere. Inoculation with PSB alone did not provide any benefit to maize plants but utilized the added phytate-P to their own advantage, while inoculation with Rhizophagus irregularis alone significantly promoted shoot biomass and P content compared with the control. However, compared with both sole inoculation treatments, combined inoculation with PSB and R. Irregularis in the hyphosphere enhanced organic P mineralization and increased microbial biomass P in the soil. There was no extra benefit to plant P uptake but the hyphal growth of R. Irregularis was reduced, suggesting that PSB benefited from the arbuscular mycorrhizal (AM) fungal mycelium and competed for soil P with the fungus. The combination of T-RFLP (terminal restriction fragment length polymorphism) analysis with a clone library revealed that one of the bacteria that actively assimilated carbon derived from pulse-labeled maize plants was Pseudomonas alcaligenes (Pseudomonadaceae) that was initially inoculated into the hyphosphere soil. These results provide the first in situ demonstration of the pathway underlying the carbon flux from plants to the AM mycelium-associated PSB, and the PSB assimilated the photosynthates exuded by the fungus and promoted mineralization and turnover of organic P in the soil. ? The Author 2016. Published by Oxford University Press on behalf of the Society for Experimental Biology.</t>
  </si>
  <si>
    <t>Plants typically expend a significant portion of their available carbon (C) on nutrient acquisition - C that could otherwise support growth. However, given that most global terrestrial biosphere models (TBMs) do not include the C cost of nutrient acquisition, these models fail to represent current and future constraints to the land C sink. Here, we integrated a plant productivity-optimized nutrient acquisition model - the Fixation and Uptake of Nitrogen Model - into one of the most widely used TBMs, the Community Land Model. Global plant nitrogen (N) uptake is dynamically simulated in the coupled model based on the C costs of N acquisition from mycorrhizal roots, nonmycorrhizal roots, N-fixing microbes, and retranslocation (from senescing leaves). We find that at the global scale, plants spend 2.4 Pg C yr-1 to acquire 1.0 Pg N yr-1, and that the C cost of N acquisition leads to a downregulation of global net primary production (NPP) by 13%. Mycorrhizal uptake represented the dominant pathway by which N is acquired, accounting for ~66% of the N uptake by plants. Notably, roots associating with arbuscular mycorrhizal (AM) fungi - generally considered for their role in phosphorus (P) acquisition - are estimated to be the primary source of global plant N uptake owing to the dominance of AM-associated plants in mid- and low-latitude biomes. Overall, our coupled model improves the representations of NPP downregulation globally and generates spatially explicit patterns of belowground C allocation, soil N uptake, and N retranslocation at the global scale. Such model improvements are critical for predicting how plant responses to altered N availability (owing to N deposition, rising atmospheric CO2, and warming temperatures) may impact the land C sink. ? 2016 John Wiley &amp; Sons Ltd.</t>
  </si>
  <si>
    <t>Tree species? influences on soil carbon dynamics revealed with natural abundance 13C techniques</t>
  </si>
  <si>
    <t>Background and aims: The carbon (C) sequestration potential of land-use practices is increasingly important. Trees sequester atmospheric C into biomass and above and belowground litter but may also prime the decomposition of soil organic matter (SOM). We compared the influence of Acer pseudoplatanus (Sycamore) and Larix x. europlepsis (Hybrid Larch) on soil C decomposition. Methods: We used natural abundance 13C to partition soil-surface CO2 efflux into root and SOM sources. CO2 was sampled from incubated root-free soil and from live tree roots using in-situ chambers. Combined surface efflux ë13CO2 was measured using dynamic chambers and cavity-ringdown spectroscopy. Results: Under Sycamore, CO2 emissions were dominated (80?90ÿ%) by root respiration. SOM contributed 10?20ÿ% with a mean residence time of centuries. Under Larch, 24?33ÿ% of total CO2 efflux was root respiration, the remainder originating from an SOM pool with a turnover time of decades. Total soil C stocks were similar between the two plot types. Root-respired ë13CO2 was consistently different by c. 2 ? between the species. Conclusions: The decomposition rate of soil C and its mean residence time are markedly different under the two tree species. Species differences in root-respired ë13CO2 may reflect plant C allocation or respiratory fractionation. ? 2015, Springer International Publishing Switzerland.</t>
  </si>
  <si>
    <t>Acer pseudoplatanus; Carbon dioxide emissions; Chamber; Larix eurolepsis; Microbial decomposition; Mycorrhizal strategy; Natural abundance 13C; Root respiration; Soil carbon mean residence time; Soil organic matter SOM turnover; Soil respiration; Stable isotope partitioning; Tree species differences; ë13CO2</t>
  </si>
  <si>
    <t>Poeplau C., Bolinder M.A., Kirchmann H., K„tterer T.</t>
  </si>
  <si>
    <t>Increasing soil organic carbon (SOC) in agricultural soils can mitigate atmospheric CO2 concentration and also contribute to increased soil fertility and ecosystem resilience. The role of major nutrients in SOC dynamics is complex, due to simultaneous effects on net primary productivity (NPP) that influence crop residue carbon inputs and in the rate of heterotrophic respiration (carbon outputs). This study investigated the effect on SOC stocks of three different levels of phosphorus and potassium (PK) fertilisation rates in the absence of nitrogen fertilisation and of three different levels of nitrogen fertiliser in the absence of PK fertiliser. This was done by analysing data from 10 meta-replicated Swedish long-term field experiments (&amp;gt; 45 years). With N fertilisation, SOC stocks followed yield increases. However, for all PK levels, we found average SOC losses ranging from -0.04 ñ 0.09 Mg ha-1 yr-1 (ns) for the lowest to -0.09 ñ 0.07 Mg ha-1 yr-1 (p = 0.008) for the highest application rate, while crop yields as a proxy for carbon input increased significantly with PK fertilisation by 1, 10 and 15 %. We conclude that SOC dynamics are mainly output-driven in the PK-fertilised regime but mostly input-driven in the N-fertilised regime, due to the much more pronounced response of NPP to N than to PK fertilisation. It has been established that P rather than K is the element affecting ecosystem carbon fluxes, where P fertilisation has been shown to (i) stimulate heterotrophic respiration, (ii) reduce the abundance of arbuscular mycorrhizal fungi and (iii) decrease the crop root: shoot ratio, leading to higher root-derived carbon input. The higher export of N in the PK-fertilised plots in this study could (iv) have led to increased N mining and thus mineralisation of organic matter. More integrated experiments are needed to gain a better understanding of the relative importance of each of the above-mentioned mechanisms leading to SOC losses after P addition. ? 2016 Author(s).</t>
  </si>
  <si>
    <t>Biochar is gaining attention as a potential soil amendment to remediate and revitalize the contaminated soils. Simultaneous effects of biochar on metals mobility, microbial abundance, bacterial diversity and carbon storage in soil are scarcely addressed. This study assessed the effect of biochars on metal mobility, microbial abundance, bacterial community, and carbon storage in an agricultural soil contaminated with heavy metals. Biochars derived from soybean stover at 300 and 700 øC (S-BC300 and S-BC700, respectively) and pine needles at the same temperatures (P-BC300 and P-BC700, respectively) were used. A maximum reduction of Pb mobility by 95% was observed from a soil treated with S-BC700, associated with precipitation of chloropyromorphite and hydroxylpyromorphite. In contrast, As was desorbed from soil particles because of P competition. The abundance of Gram-positive and negative bacteria, fungi, actinomycetes, and arbuscular mycorrhizal fungi increased in the soils treated with biochar produced at 300 øC, possibly due to the high dissolved organic and active organic carbons. Microbial abundance in the soils treated with S-BC700 and P-BC700 was constant due to the existence of fixed or non-labile carbon. Changes to bacterial communities in the biochar-treated soils depended on feedstock type and pyrolysis temperature. Actinobacteria substantially increased whereas Acidobacteria and Chloroflexi decreased in the biochar-treated soils. The non-labile carbon fraction was ~25 fold higher in the biochar-treated soil than the control soil, indicating long-term carbon storage. ? 2015 Elsevier Ltd.</t>
  </si>
  <si>
    <t>Climate change has caused irreversible changes to our environment. Greenhouse gasses (GHG) emitted from human activities as well as from natural ecosystem are the main cause for climate change. Rise in atmospheric GHG like CH4, N2O, and CO2 are the main cause of global change. Renewable bioenergy holds promise to resolve energy crisis and countries across the globe are driven exploring different sources of bioenergy. One such is bioenergy from Jatropha curcas, which is widely recognized as source for biodiesel. Intensive cultivation of Jatropha is under serious consideration globally, but there is need of better understanding of how this plant can be used not only for biodiesel but also for agriculture and climate mitigation as well. Manuscript addresses perspective of J. curcas towards improving soil biological health, carbon sequestration and greenhouse gas emission reduction. J. curcas harbors many important microbial species in its rhizosphere including N fixers, P solubilizers, PGPRs, mycorrhiza fungi etc. Many important arbuscular mycorrhizae belonging to Acaulospora sp., Gigaspora sp., Glomus sp., Sclerocystis sp. and Scutellospora sp. Bacterial species like Azotobacter, Rhizobium, Pleomorphomonas diazotrophica, Bacillus megaterium, Bacillus thuringiensis has been found associated with J. curcas rhizosphere. These microbial groups are the key to improve soil function important for agriculture and maintaining soil health. Manuscript highlights different bioactive molecules like organic acids, amyrin, flavonoids, phytates, etc present in different parts of the J. curcas and perspective improving agriculture. J. curcas cultivated in one hectare of land can absorb as much as 25 tonnes of CO2 yr-1. Due to high photosynthesis rate, J. curcas accumulates significant amounts of C to soil. Overall, a 3 - 5 year old plantation may add around 4000 kg plant biomass equivalent yr-1. Manuscript highlights C sequestration potential of J. curcas in different ecological scenarios and usefulness rehabilitating degraded lands. J. curcas biomass significantly stimulates CH4 and CO2 production from soil and inhibits CH4 consumption activity. Amendment of J. curcas biomass at 1% level increased CH4 production potential of soil to nearly 50-fold than un-amended soil. Soil CO2 production also doubled when the J. curcas biomass was added. Data reveal optimum level of biomass incorporation to manage its biomass and at the same time mitigate GHG emission. Manuscript concluded with recommendation of J. curcas cultivation and approaches managing agriculture, ecosystem and global change issues. ? 2016 by Nova Science Publishers, Inc. All rights reserved.</t>
  </si>
  <si>
    <t>Over the past four decades, a solid body of research has revealed the potential of agroforestry for increasing or maintaining system productivity while protecting natural resources and providing environmental services, including pollination, pest control/prevention, carbon sequestration, and the conservation of soil health, water quality, and biodiversity. Thus, agroforestry is well suited as a central tool for ?sustainable intensification? within a land use paradigm that should be based, in alignment with a recent call by FAO, much more on biology and agroecology, rather than on chemistry and fossil fuels. With success stories from around the world and new methodological tools for valuing also environmental services, we can now apply these tools to design practices and systems that match the outputs of sustainable crop, tree, and animal agroforestry systems to the local needs. To custom-tailor the systems to the respective environmental and socioeconomic conditions, and rise to the challenge of sustainably producing more food that is less contaminated and less contaminating, we should advance in the following directions: (i) expand the species characterizations, (ii) widen the scope of plants and animals used and include ?neglected and underutilized species? (NUS), (iii) intensify work on ?using? beneficial soil organisms for soil and plant health, (iv) optimize the system design and management to maximize resource use efficiency and minimize pest incidence, (v) create climate-smart and pest-suppressive landscapes, and, finally, (vi) advance toward more holistic socioeconomic assessments including an improved valuation of environmental services. A call is made to apply also relevant experiences from other fields such as biointensive or organic production, urban agriculture, and permaculture. ? Springer-Verlag Berlin Heidelberg 2016.</t>
  </si>
  <si>
    <t>Understanding the behavior of mycorrhiza-originated glomalin, either of plant or soil origin, is anticipated to facilitate better opportunities of modulating antioxidants and carbon distribution in plants. In this study, trifoliate orange seedlings with half of roots were colonized by Acaulospora scrobiculata and Funneliformis mosseae in a split-root rootbox. Mycorrhizal inoculation showed a significantly higher plant biomass of trifoliate orange, regardless of mycorrhizal species. Glomalin-related root protein showed a systematic increase in non-mycorrhiza-inoc-ulated chamber under inoculation with A. scrobiculata and F. mosseae than under non-mycorrhizal inoculation. Similar increase was also observed in easily extractable glomalin-related soil protein and total glomalin-related soil protein as a result of F. mosseae colonization only. Mean weight diameter and soil organic carbon were significantly higher under mycorrhization than non-mycorrhization, irrespective of mycorrhized or non-mycorrhized chamber. Mycorrhizal inoculation stimulated an increase in soil protease activity in the mycorrhized chamber, without any distinctive change in the non-mycorrhized chamber. These results, hence, suggested that mycorrhization conferred a systematic increase in glomalin synthesis in roots and soils, collectively, aiding in better aggregate stability and soil carbon sequestration. ? Czech Academy of Agricultural Sciences. All rights reserved.</t>
  </si>
  <si>
    <t>Ka?ucka I.L., Jagodzi?ski A.M.</t>
  </si>
  <si>
    <t>Ectomycorrhizal (ECM) fungi and their symbiotic associations with forest trees are among major drivers of key ecosystem functions such as carbon and nitrogen cycling, plant nutrient and water uptake from soil, plant-plant facilitation/competition and diversity regulation via common mycorrhizal networks. Through their functional traits and interactions with both abiotic and biotic environment, they also significantly affect the process of open land colonization by trees as well as vegetation succession coupled with soil and ecosystem development. Here we review the role of ECM fungi in the early primary and secondary succession following major anthropogenic disturbances. Based on the examples of mine spoils and post-agricultural lands, we demonstrate key ecosystem services provided by ECM fungi in the processes of forest restoration. We point out ecological mechanisms and adaptations which underpin ECM fungal community successional interactions, particularly life histories, dispersal, spatial structure, host preferences, and sensitivity to environmental filters. We emphasize the need of better understanding the role of ECM fungi in the forest restoration practice as it seems crucial for afforestation success and biodiversity rehabilitation. Thus, ectomycorrhizal traits should be a prime consideration in afforestation and carbon sequestration polices, sustainable forest management and biodiversity conservation practices. ? 2016 Polska Akademia Nauk. All rights reserved.</t>
  </si>
  <si>
    <t>Background. The extent to which ectomycorrhizal fungi mediate primary production, carbon storage, and nutrient remineralization in terrestrial ecosystems depends upon fungal community composition. However, the factors that govern community com- position at the root system scale are not well understood. Here, we explore a potential tradeoffbetween ectomycorrhizal fungal competitive ability and enzymatic function. Methods. We grew Pinus muricata (Bishop Pine) seedlings in association with ecto- mycorrhizal fungi from three different genera in a fully factorial experimental design. We measured seedling growth responses, ectomycorrhizal abundance, and the root tip activity of five different extracellular enzymes involved in the mobilization of carbon and phosphorus. Results. We found an inverse relationship between competitiveness, quantified based on relative colonization levels, and enzymatic activity. Specifically, Thelephora terrestris, the dominant fungus, had the lowest enzyme activity levels, while Suillus pungens, the least dominant fungus, had the highest. Discussion. Our results identify a tradeoffbetween competition and function in ecto- mycorrhizal fungi, perhaps mediated by the competing energetic demands associated with competitive interactions and enzymatic production. These data suggest that mechanisms such as active partner maintenance by host trees may be important to maintaining ``high-quality'' ectomycorrhizal fungal partners in natural systems. ? 2016 Moeller and Peay.</t>
  </si>
  <si>
    <t>TomŠ E., Ventura M., Folegot S., Zanotelli D., Montagnani L., Mimmo T., Tonon G., Tagliavini M., Scandellari F.</t>
  </si>
  <si>
    <t>Soil respiration (Rsoil) partitioning into its components is pivotal to understand C cycling in ecosystems. Notwithstanding the importance of mycorrhizal fungi in the belowground C cycle, their respiration (Rmyc) is poorly studied in agricultural ecosystems. In this study, we applied a modified trenching method and the 13C natural abundance technique to distinguish Rmyc&lt;sub/&gt; from root respiration (Rroot) and from the respiration due to soil organic matter (SOM) degradation (Rsom) in an apple orchard (Malus domestica Borkh.) located in Northern Italy. Membranes with different mesh size were used to physically exclude roots or mycorrhizae from soil cores with a different ë13C than the orchard average value. The CO2 efflux from soil cores was determined with an infrared gas analyser, and isotopic measurements were performed on the soil-emitted CO2. The different Rsoil components were determined both by difference and by the isotopic mass balance. Mycorrhizal contribution to soil respiration (11 ñ 6%) was of similar magnitude to that of roots (12 ñ 4%) while Rsom accounted for 73 ñ 3% of Rsoil. In presence of apple roots, respiration of SOM and mycorrhizae (Rsom+myc) significantly increased in late summer and autumn, likely because of a priming effect of roots on SOM degradation or to a stimulation of mycorrhizal respiration. Our results suggest that respiration of mycorrhizal fungi can significantly contribute to Rsoil, and need to be considered to correctly partition soil respiration. Furthermore, as roots increased Rsom+myc, the root exclusion method for soil respiration partitioning may overestimate Rroot. ? 2016 Elsevier B.V.</t>
  </si>
  <si>
    <t>Arbuscular mycorrhizal (AMF) function has mostly been studied from the plant perspective, but there is a shortage of empirical assessments of their ecosystem level impacts on soil carbon (C). Our understanding of the role of AMF on C processing belowground has been restricted mostly to fresh plant residues, not stabilized soil organic matter. The mechanisms by which elevated CO2 (eCO2) alter soil C remain an open question but AMF likely play a role via C and nutrients, which could in turn, be plant species dependent. We assessed AMF as mediators of C processing in the rhizosphere of two grasses under eCO2. We exposed a C4 and a C3 grass to a combination of ambient and eCO2 with and without modification of the AMF communities and using stable isotopes quantified the respiration of native soil C (as rhizosphere priming), its contribution to dissolved and microbial C and the final remaining C pool. The AMF treatment impacted soil C respiration under the C3-plant and only under eCO2. eCO2 suppressed decomposition (negative priming) but this effect disappeared when the AMF community was reduced. In contrast to studies of fresh plant residues suggesting that AMF can enhance C loss, our observations indicate that AMF may promote C storage in the soil organic matter pool. Results support that AMF can mediate the effect of eCO2 on soil C in the rhizosphere of some plant species, a potential mechanism explaining variation in impacts of eCO2 on soil C storage and C balances across species and ecosystems. ? 2015, Springer International Publishing Switzerland.</t>
  </si>
  <si>
    <t>Fine roots and mycorrhiza often represent the largest input of carbon (C) into soils and are therefore of primary relevance to the soil C balance. Arbuscular mycorrhizal (AM) fungi have previously been found to increase litter decomposition which may lead to reduced soil C stocks, but these studies have focused on immediate decomposition of relatively high amounts of high-quality litter and may therefore not hold in many ecological settings over longer terms. Here, we assessed the effect of mycorrhizal fungi on the fate of C and nitrogen (N) contained within a realistic amount of highly 13C-/15N-labelled root litter in soil. This litterÿwas either added fresh or after a 3-month incubation period under field conditions to a hyphal in-growth core where mycorrhizal abundance was either reduced or not through rotation. After 3ÿmonths of incubation with a plant under glasshouse conditions, the effect of turning cores on residual 13C and 15N inside the cores was measured, as well as 13C incorporation in microbial signature fatty acids and 15N incorporation of plants. Turning of cores increased the abundance of fungal decomposers and 13C loss from cores, while 15N content of cores and plants was unaffected. Despite the difference in disturbance that turning the cores could have caused, the results suggest that mycorrhizal fungi and field incubation of litter acted to additively increase the proportion of 13C left in cores. Synthesis. Apart from stimulating litter decomposition as previously shown, mycorrhizas can also stabilize C during litter decomposition and this effect is persistent through time. Apart from stimulating litter decomposition as previously shown, mycorrhizas can also stabilize C during litter decomposition and this effect is persistent through time. Journal of Ecology ? 2016 British Ecological Society.</t>
  </si>
  <si>
    <t>Compost amendment to agricultural soils influences plant growth and soil quality by affecting activity of arbuscular mycorrhizal fungi (AMF) and composition of microbial community. We related the molecular composition of compost of different maturity added to soils to their effects on maize growth, N and P uptake, AMF root colonization and growth, and composition of soil microbial community. The characteristics of compost after different days of maturation (C60, C90, C120) were provided by 13C-solid state NMR spectroscopy, while neutral (NLFA) and phospholipid (PLFA) fatty acid analyses were used to evaluate the effects of compost on the composition of soil microbial communities. Multivariate elaboration was used to determine the relationships between microbial groups, as identified by PLFA analysis, and molecular properties of composts. Although compost amendments increased soil total C and N, and available P, soil addition of both C60 and C120 compost samples was detrimental to plant and AMF growth. Compost amendments modified the composition of soil microbial communities. The high content of biolabile compounds in C60 and C120 compost samples decreased the C16:1?5 NLFA that was related to AMF and Gram(+)/Gram(?) and AMF/saprotrophic fungi ratios. A linear correlation was found between the molecular indexes in compost and the microbial groups in soil, thereby suggesting that the molecular composition of compost strictly controls the development and abundance of soil microbial communities. These findings highlight the importance of controlling the molecular quality of recycled biomass added to soil, in order to predict the effect on crop yields and biotic composition of soil. ? 2015, Springer-Verlag Berlin Heidelberg.</t>
  </si>
  <si>
    <t>Peatlands are important sinks of atmospheric carbon (C) that, in response to climate warming, are undergoing dynamic vegetation succession. Here we examined the hypothesis that the uptake of nutrients by different plant growth forms (PGFs) is one key mechanism driving changes in species abundance in peatlands. Along an altitude gradient representing a natural climate experiment, we compared the variability of the stable C isotope composition (ë13C) and stable nitrogen (N) isotope composition (ë15N) in current-year leaves of two major PGFs, i.e. ericoids and graminoids. The climate gradient was associated with a gradient of vascular plant cover, which was parallelled by different concentrations of organic and inorganic N as well as the fungal/bacterial ratio in peat. In both PGFs the 13C natural abundance showed a marginal spatial decrease with altitude and a temporal decrease with progression of the growing season. Our data highlight a primary physical control of foliar ë13C signature, which is independent from the PGFs. Natural abundance of foliar 15N did not show any seasonal pattern and only in the ericoids showed depletion at lower elevation. This decreasing ë15N pattern was primarily controlled by the higher relative availability of organic versus inorganic N and, only for the ericoids, by an increased proportion of fungi to bacteria in soil. Our space-for-time approach demonstrates that a change in abundance of PGFs is associated with a different strategy of nutrient acquisition (i.e. transfer via mycorrhizal symbiosis versus direct fine-root uptake), which could likely promote observed and predicted dwarf shrub expansion under climate change. ? 2015, Springer-Verlag Berlin Heidelberg.</t>
  </si>
  <si>
    <t>Woody plants constitute a great sink of carbon storage, mitigating thus the greenhouse effect phenomenon. They are considered key players in ecosystems, and among others, they help in decreasing soil erosion and in maintaining soil moisture. Over the last decades, researches have shown negative effects of the ambient ozone (O3) on many woody species, not only on canopy but also on belowground part of trees. Negative effects of elevated O3 (eO3), which usually refers to any O3 dosages above the current ambient levels, on belowground structure, function, and processes may have consequences to ecosystem sustainability. We reviewed reports of research published over the past 40 years and dealing with woodies belowground response to eO3. eO3 induces changes in C dynamics into plants and alterations in their metabolism accordingly, as a result of different strategies followed by the trees in order to compensate with eO3 stress effects. In these strategies, phenolics seem to have a detrimental role in shoot/root allometry. Root and soil chemical composition can be also influenced, threatening thus the soil biodiversity, soil fertility, and nutrient cycling. Elevated O3 impact is discussed with linkage to other potential ecological consequences. ? 2015 Springer International Publishing Switzerland.</t>
  </si>
  <si>
    <t>Background and aims: The importance of the uptake of nitrogen in organic form by plants and mycorrhizal fungi has been demonstrated in various ecosystems including temperate forests. However, in previous experiments, isotopically labeled amino acids were often added to soils in concentrations that may be higher than those normally available to roots and mycorrhizal hyphae in situ, and these high concentrations could contribute to exaggerated uptake. Methods: We used an experimental approach in which we added 13C-labeled and 15N-labeled whole cells to root-ingrowth cores, allowing proteolytic enzymes to release labeled organic nitrogen at a natural rate, as roots and their associated mycorrhizal fungi grew into the cores. We employed this method in four forest types representing a gradient of soil pH, nitrogen mineralization rate, and mycorrhizal type. Results: Intact uptake of organic nitrogen was detected in mycorrhizal roots, and accounted for at least of 1?14ÿ% of labeled nitrogen uptake. Forest types did not differ significantly in the importance of organic uptake. Conclusions: The estimates of organic N uptakeÿmade here using 13C-labeled and 15N-labeled whole cells are less than those reported in other temperate forest studies using isotopically labelled amino acids, and likely represent a minimum estimate of organic N-use. The two approaches each have different assumptions, and when used in tandem should complement one another and provide upper and lower bounds of organic N use by plants. ? 2015, Springer International Publishing Switzerland.</t>
  </si>
  <si>
    <t>Aims: The stress-gradient-hypothesis predicts that interactions among organisms shift from competition to facilitation as environmental stress increases. Whether the strength of mutualism will increase among symbiotically associated organisms when partners are forced into resource limitation remains unknown. Plants exchange photosynthetic carbohydrates (plant C) for nutrients in mycorrhizal symbiosis but how this exchange varies with plant C limitation is not fully understood. Methods: We investigated the influence of plant C availability and of arbuscular mycorrhizal fungi (AMF) on plant nitrogen (N) uptake and resource allocation using 13C and 15N labeling. We grew Plantago lanceolata with and without AMF Rhizophagusÿirregularis under ambient (400ÿppm, AC) and low (100ÿppm, LC) atmospheric [CO2] and physically restricted plant root but not mycorrhizal access to soil N. Results: We found that plants grown under LC used AMF to obtain the same amount of N as those grown under AC, but the amount of newly fixed C correlated with the acquisition of N only under LC. The LC plants allocated more of their C to aboveground tissues. Conclusions: Overall our results suggest a more beneficial role of symbiosis under C limitation. The tight reciprocal control on N transfer and C allocation under C limited conditions supports the stress-gradient hypothesis of mutualistic symbiotic functioning. ? 2015, Springer International Publishing Switzerland.</t>
  </si>
  <si>
    <t>Soil nitrogen (N) availability constrains future predictions of ecosystem primary productivity and carbon storage. The progressive N limitation (PNL) hypothesis predicts that forest net primary productivity (NPP) will decline with age, and that the response of NPP to elevated CO2 will attenuate through time due to negative feedbacks of NPP on the soil N cycle. A central assumption of the PNL hypothesis is that, without changes in exogenous exchange of N in an ecosystem, increases in plant N uptake require increased soil N cycling rates. However, at ecosystem scale, microbial N uptake exceeds plant uptake. Hence, a change in the partitioning of N between plants and soil microorganisms may represent an alternative mechanism to sustain plant N uptake in the face of PNL. To estimate N partitioning of total N cycling between plants and microbes, we measured and modeled growth and N uptake of trees, bacteria, saprotrophic fungi, and ectomycorrhizal fungi across a forest succession and N limitation gradient. The combined plant and ectomycorrhizal N uptake increased from early to late succession, and nearly matched saprotrophic N uptake in late successional sites, while total N cycling remained stable or even declined. Changes in microbial community structure can thus mediate a redistribution of ecosystem nitrogen cycling, allowing an increase in plant N uptake without concomitant increases in soil N cycling. We further suggest that microbe-mediated changes in N partitioning can delay PNL and may thereby act as a mechanism to extend the duration of the land carbon sink in response to rising atmospheric CO2. ? 2015, Springer International Publishing Switzerland.</t>
  </si>
  <si>
    <t>Plant roots, their associated microbial community and free-living soil microbes interact to regulate the movement of carbon from the soil to the atmosphere, one of the most important and least understood fluxes of terrestrial carbon. Our inadequate understanding of how plant-microbial interactions alter soil carbon decomposition may lead to poor model predictions of terrestrial carbon feedbacks to the atmosphere. Roots, mycorrhizal fungi and free-living soil microbes can alter soil carbon decomposition through exudation of carbon into soil. Exudates of simple carbon compounds can increase microbial activity because microbes are typically carbon limited. When both roots and mycorrhizal fungi are present in the soil, they may additively increase carbon decomposition. However, when mycorrhizas are isolated from roots, they may limit soil carbon decomposition by competing with free-living decomposers for resources. We manipulated the access of roots and mycorrhizal fungi to soil in situ in a temperate mixed deciduous forest. We added 13C-labelled substrate to trace metabolized carbon in respiration and measured carbon-degrading microbial extracellular enzyme activity and soil carbon pools. We used our data in a mechanistic soil carbon decomposition model to simulate and compare the effects of root and mycorrhizal fungal presence on soil carbon dynamics over longer time periods. Contrary to what we predicted, root and mycorrhizal biomass did not interact to additively increase microbial activity and soil carbon degradation. The metabolism of 13C-labelled starch was highest when root biomass was high and mycorrhizal biomass was low. These results suggest that mycorrhizas may negatively interact with the free-living microbial community to influence soil carbon dynamics, a hypothesis supported by our enzyme results. Our steady-state model simulations suggested that root presence increased mineral-associated and particulate organic carbon pools, while mycorrhizal fungal presence had a greater influence on particulate than mineral-associated organic carbon pools. Synthesis. Our results suggest that the activity of enzymes involved in organic matter decomposition was contingent upon root-mycorrhizal-microbial interactions. Using our experimental data in a decomposition simulation model, we show that root-mycorrhizal-microbial interactions may have longer-term legacy effects on soil carbon sequestration. Overall, our study suggests that roots stimulate microbial activity in the short term, but contribute to soil carbon storage over longer periods of time. ? 2015 British Ecological Society.</t>
  </si>
  <si>
    <t>Earthworms are known to regulate the sequestration of soil and leaf litter carbon (C). However, their impacts on the more accessible rhizospheric C, which represents a major energy source for soil food webs and an essential factor for C sequestration, are still unclear. Previous studies indicate that earthworms regulate the dynamics of SOC and leaf litter-C by increasing C accessibility to microbiota. However, in the case of labile rhizodeposit-C, microbiota might not require any pre-conditioning by earthworms and may rapidly metabolize most of this root-derived C. Consequently, potential pathways by which earthworms may affect the fate of rhizodeposit-C would be to regulate the biomass and/or activity of rhizosphere microbiota and, further, to mineralize/stabilize microbial products. A 13CO2 labelling experiment was performed to determine the impacts of four different earthworm species on the fate of tree rhizodeposit-C in a subtropical soil. We hypothesized that endogeic earthworm species, representing primarily geophagous species, would closely interact with soil microbiota and sequester the microbially metabolized rhizodeposit-C more efficiently than epigeic and anecic earthworm species. We found that irrespective of ecological group affiliation, the three native earthworms did not affect rhizodeposit-C sequestration. In contrast, the exotic endogeic species stimulated the immobilization of rhizodeposit-C in the biomass of root-associated bacteria and/or arbuscular mycorrhizal fungi and, further, accessed the microbiota-metabolized rhizodeposit-C more efficiently. As a consequence, the exotic endogeic earthworm species transiently tripled rhizodeposit-C retention in soil. We propose that the weak linkages between native earthworms and rhizodeposits-related microbiota limit earthworm impacts on rhizodeposit-C sequestration. However, the exotic endogeic species Pontoscolex corethrurus may potentially alter rhizodeposit-C dynamics in invaded areas by shifting rhizosphere microbial community composition. This work highlights a distinct mechanism by which earthworms can regulate C dynamics and indicates a significant contribution of invasive earthworm species to belowground processes. ? 2015 Elsevier Ltd.</t>
  </si>
  <si>
    <t>Le Tacon F., Zeller B., Plain C., Hossann C., Br‚chet C., Martin F., Kohler A., Villerd J., Robin C.</t>
  </si>
  <si>
    <t>Background and aims: We previously showed by 13CO2 host labelling that almost all of the constitutive carbon allocated to the truffles originated from the host. The objective of this present work was to determine the putative capacity of T. melanosporum ectomycorrhizas and ascocarps to use soil carbon and to uptake or assimilate soil nitrate. Methods: The current investigation involved 13C and 15N soil labelling by incorporating labelled leaf litter and expression of genes involved in carbon and nitrogen metabolism in ascocarps and ectomycorrhizas. Results: The ascocarps harvested in the labelled plots were highly enriched in 15N but were almost never enriched in 13C. The main source of soil mineral nitrogen was nitrate. A nitrate transporter, one nitrate reductase and a nitrite reductase were well expressed in ectomycorrhizas. Several genes involved in aminoacid synthesis or in transamination processes were also well expressed in ectomycorrhizas. No nitrate transporter was expressed in ascocarps where the CAZyme genes upregulated were mainly Glycosyltransferases involved in saccharide transfer. Conclusion: Ascocarps did not exhibit saprotrophic capacity for C, supporting previous results from 13CO2 host labelling showing that C is provided by the host tree. The 15N present in the ascocarps after soil labelling is supplied as ammonium or aminoacids by the ectomycorrhizas, which are able to uptake, reduce and metabolize nitrate. ? 2015, Springer International Publishing Switzerland.</t>
  </si>
  <si>
    <t>Henriksson N., Tarvainen L., Lim H., Tor-Ngern P., Palmroth S., Oren R., Marshall J., N„sholm T.</t>
  </si>
  <si>
    <t>Manipulating tree belowground carbon (C) transport enables investigation of the ecological and physiological roles of tree roots and their associated mycorrhizal fungi, as well as a range of other soil organisms and processes. Girdling remains the most reliable method for manipulating this flux and it has been used in numerous studies. However, girdling is destructive and irreversible. Belowground C transport is mediated by phloem tissue, pressurized through the high osmotic potential resulting from its high content of soluble sugars. We speculated that phloem transport may be reversibly blocked through the application of an external pressure on tree stems. Thus, we here introduce a technique based on compression of the phloem, which interrupts belowground flow of assimilates, but allows trees to recover when the external pressure is removed. Metal clamps were wrapped around the stems and tightened to achieve a pressure theoretically sufficient to collapse the phloem tissue, thereby aiming to block transport. The compression's performance was tested in two field experiments: a 13C canopy labelling study conducted on small Scots pine (Pinus sylvestris L.) trees [2-3 m tall, 3-7 cm diameter at breast height (DBH)] and a larger study involving mature pines (?15 m tall, 15-25 cm DBH) where stem respiration, phloem and root carbohydrate contents, and soil CO2 efflux were measured. The compression's effectiveness was demonstrated by the successful blockage of 13C transport. Stem compression doubled stem respiration above treatment, reduced soil CO2 efflux by 34% and reduced phloem sucrose content by 50% compared with control trees. Stem respiration and soil CO2 efflux returned to normal within 3 weeks after pressure release, and 13C labelling revealed recovery of phloem function the following year. Thus, we show that belowground phloem C transport can be reduced by compression, and we also demonstrate that trees recover after treatment, resuming C transport in the phloem. ? The Author 2015. Published by Oxford University Press. All rights reserved.</t>
  </si>
  <si>
    <t>Garcia K., Delaux P.-M., Cope K.R., An‚ J.-M.</t>
  </si>
  <si>
    <t>Ectomycorrhizal (ECM) symbioses are among the most widespread associations between roots of woody plants and soil fungi in forest ecosystems. These associations contribute significantly to the sustainability and sustainagility of these ecosystems through nutrient cycling and carbon sequestration. Unfortunately, the molecular mechanisms controlling the mutual recognition between both partners are still poorly understood. Elegant work has demonstrated that effector proteins from ECM and arbuscular mycorrhizal (AM) fungi regulate host defenses by manipulating plant hormonal pathways. In parallel, genetic and evolutionary studies in legumes showed that a 'common symbiosis pathway' is required for the establishment of the ancient AM symbiosis and has been recruited for the rhizobia-legume association. Given that genes of this pathway are present in many angiosperm trees that develop ectomycorrhizas, we propose their potential involvement in some but not all ECM associations. The maintenance of a successful long-term relationship seems strongly regulated by resource allocation between symbiotic partners, suggesting that nutrients themselves may serve as signals. This review summarizes our current knowledge on the early and late signal exchanges between woody plants and ECM fungi, and we suggest future directions for decoding the molecular basis of the underground dance between trees and their favorite fungal partners. ? 2015 New Phytologist Trust.</t>
  </si>
  <si>
    <t>A significant fraction of carbon stored in the Earth's soil moves through arbuscular mycorrhiza (AM) and ectomycorrhiza (EM). The impacts of AM and EM on the soil carbon budget are poorly understood. We propose a method to quantify the mycorrhizal contribution to carbon cycling, explicitly accounting for the abundance of plant-associated and extraradical mycorrhizal mycelium. We discuss the need to acquire additional data to use our method, and present our new global database holding information on plant species-by-site intensity of root colonization by mycorrhizas. We demonstrate that the degree of mycorrhizal fungal colonization has globally consistent patterns across plant species. This suggests that the level of plant species-specific root colonization can be used as a plant trait. To exemplify our method, we assessed the differential impacts of AM : EM ratio and EM shrub encroachment on carbon stocks in sub-arctic tundra. AM and EM affect tundra carbon stocks at different magnitudes, and via partly distinct dominant pathways: via extraradical mycelium (both EM and AM) and via mycorrhizal impacts on above- and belowground biomass carbon (mostly AM). Our method provides a powerful tool for the quantitative assessment of mycorrhizal impact on local and global carbon cycling processes, paving the way towards an improved understanding of the role of mycorrhizas in the Earth's carbon cycle. ? 2015 New Phytologist Trust.</t>
  </si>
  <si>
    <t>The high price of synthetic fertilisers and the price barrier for biochar as a soil amendment have encouraged the exploration of using biochar in fertiliser replacement formulations. Biochars coupled with fertilisers can be applied at lower application rates to achieve benefits in plant growth and nutrition, as well as soil biological fertility. It is necessary to evaluate the use of biochar as a fertiliser substitute. Therefore, this study investigated the comparative influences of biochars, including Acacia saligna (AS), Simcoa jarrah (SJ) and Wundowie jarrah (WJ), mineral fertiliser with microbes (MF + M), biochar-mineral complex (BMC) and their combination on mycorrhizal colonisation, growth and nutrition of wheat in a glasshouse experiment and sorghum in field conditions. BMC + MF + M treatment produced higher mycorrhizal colonisation than MF + M alone, indicating that BMC had a significant role in increasing mycorrhizal colonisation. SJ (treated with acetic acid) and MF + M treatments, as well as AS + MF + M application, showed similar effects on mycorrhizal colonisation, but lower colonisation than the BMC + MF + M treatment. Overall, the BMC + MF + M treatment supported the maximum shoot, root and total plant dry weight followed by AS + MF + M and WJ + MF + M. The MF + M treatment had the maximum shoot N and K concentrations, while BMC + MF + M application had the maximum shoot P concentration. AS + MF + M and WJ + MF + M treatments supported the maximum N uptake by wheat shoots, while BMC + MF + M supported the maximum P uptake. The results showed that biochars and BMCs could increase mycorrhizal colonisation, plant growth and nutrient uptake of wheat, particularly N, P, K, S and Zn. The field experiment confirmed that BMC application at a rate of 300 kg ha-1 could increase the yield of irrigated sorghum on a loam soil and provide better applied P use efficiency compared to a water-soluble fertiliser alone. These results indicated that biochar-based fertilisers might increase the resilience and sustainability of dryland cropping in environments such as in Western Australia and warrant further field evaluation. ? 2015 Soil Science Society of China.</t>
  </si>
  <si>
    <t>On million-year timescales, carbonate rock weathering exerts no net effect on atmospheric CO2 concentration. However, on timescales of decades-to-centuries, it can contribute to sequestration of anthropogenic CO2 and increase land-ocean alkalinity flux, counteracting ocean acidification. Historical evidence indicates this flux is sensitive to land use change, and recent experimental evidence suggests that trees and their associated soil microbial communities are major drivers of continental mineral weathering. Here, we review key physical and chemical mechanisms by which the symbiotic mycorrhizal fungi of forest tree roots potentially enhance carbonate rock weathering. Evidence from our ongoing field study at the UK's national pinetum confirms increased weathering of carbonate rocks by a wide range of gymnosperm and angiosperm tree species that form arbuscular (AM) or ectomycorrhizal (EM) fungal partnerships. We demonstrate that calcite-containing rock grains under EM tree species weather significantly faster than those under AM trees, an effect linked to greater soil acidification by EM trees. Weathering and corresponding alkalinity export are likely to increase with rising atmospheric CO2 and associated climate change. Our analyses suggest that strategic planting of fast-growing EM angiosperm taxa on calcite- and dolomite-rich terrain might accelerate the transient sink for atmospheric CO2 and slow rates of ocean acidification. ? 2014 The Authors. Plant, Cell &amp; Environment published by John Wiley &amp; Sons Ltd.</t>
  </si>
  <si>
    <t>Stable isotope composition (ë13C and ë15N values) of slime molds: Placing bacterivorous soil protozoans in the food web context</t>
  </si>
  <si>
    <t>Rationale Data on the bulk stable isotope composition of soil bacteria and bacterivorous soil animals are required to estimate the nutrient and energy fluxes via bacterial channels within detrital food webs. We measured the isotopic composition of slime molds (Myxogastria, Amoebozoa), a group of soil protozoans forming macroscopic spore-bearing fruiting bodies. An analysis of largely bacterivorous slime molds can provide information on the bulk stable isotope composition of soil bacteria. Methods Fruiting bodies of slime molds were collected in a monsoon tropical forest of Cat Tien National Park, Vietnam, and analyzed by continuous-flow isotope ratio mass spectrometry. Prior to stable isotope analysis, carbonates were removed from a subset of samples by acidification. To estimate the trophic position of slime molds, their ë13C and ë15N values were compared with those of plant debris, soil, microbial destructors (litter-decomposing, humus-decomposing, and ectomycorrhizal fungi) and members of higher trophic levels (oribatid mites, termites, predatory macroinvertebrates). Results Eight species of slime molds represented by at least three independent samples were 3-6? enriched in 13C and 15N relative to plant litter. A small but significant difference in the ë13C and ë15N values suggests that different species of myxomycetes can differ in feeding behavior. The slime molds were enriched in 15N compared with litter-decomposing fungi, and depleted in 15N compared with mycorrhizal or humus-decomposing fungi. Slime mold sporocarps and plasmodia largely overlapped with oribatid mites in the isotopic bi-plot, but were depleted in 15N compared with predatory invertebrates and humiphagous termites. Conclusions A comparison with reference groups of soil organisms suggests strong trophic links of slime molds to saprotrophic microorganisms which decompose plant litter, but not to humus-decomposing microorganisms or to mycorrhizal fungi. Under the assumption that slime molds are primarily feeding on bacteria, the isotopic similarity of slime molds and mycophagous soil animals indicates that saprotrophic soil bacteria and fungi are similar in bulk isotopic composition. Copyright ? 2015 John Wiley &amp; Sons, Ltd.</t>
  </si>
  <si>
    <t>How the colonization of terrestrial environments by early land plants over 400 Ma influenced rock weathering, the biogeochemical cycling of carbon and phosphorus, and climate in the Palaeozoic is uncertain. Here we show experimentally that mineral weathering by liverworts-an extant lineage of early land plants-partnering arbuscular mycorrhizal (AM) fungi, like those in 410 Ma-old early land plant fossils, amplified calcium weathering from basalt grains threefold to sevenfold, relative to plant-free controls. Phosphate weathering by mycorrhizal liverworts was amplified 9-13-fold over plant-free controls, compared with fivefold to sevenfold amplification by liverworts lacking fungal symbionts. Etching and trenching of phyllosilicate minerals increased with AM fungal network size and atmospheric CO2 concentration. Integration of grain-scale weathering rates over the depths of liverwort rhizoids and mycelia (0.1 m), or tree roots and mycelia (0.75 m), indicate early land plants with shallow anchorage systems were probably at least 10-fold less effective at enhancing the total weathering flux than later-evolving trees. This work challenges the suggestion that early land plants significantly enhanced total weathering and land-toocean fluxes of calcium and phosphorus, which have been proposed as a trigger for transient dramatic atmospheric CO2 sequestration and glaciations in the Ordovician. ? 2015 The Author(s) Published by the Royal Society. All rights reserved.</t>
  </si>
  <si>
    <t>McCormack M.L., Dickie I.A., Eissenstat D.M., Fahey T.J., Fernandez C.W., Guo D., Helmisaari H.-S., Hobbie E.A., Iversen C.M., Jackson R.B., Lepp„lammi-Kujansuu J., Norby R.J., Phillips R.P., Pregitzer K.S., Pritchard S.G., Rewald B., Zadworny M.</t>
  </si>
  <si>
    <t>Fine roots acquire essential soil resources and mediate biogeochemical cycling in terrestrial ecosystems. Estimates of carbon and nutrient allocation to build and maintain these structures remain uncertain because of the challenges of consistently measuring and interpreting fine-root systems. Traditionally, fine roots have been defined as all roots ó 2 mm in diameter, yet it is now recognized that this approach fails to capture the diversity of form and function observed among fine-root orders. Here, we demonstrate how order-based and functional classification frameworks improve our understanding of dynamic root processes in ecosystems dominated by perennial plants. In these frameworks, fine roots are either separated into individual root orders or functionally defined into a shorter-lived absorptive pool and a longer-lived transport fine-root pool. Using these frameworks, we estimate that fine-root production and turnover represent 22% of terrestrial net primary production globally - a c. 30% reduction from previous estimates assuming a single fine-root pool. Future work developing tools to rapidly differentiate functional fine-root classes, explicit incorporation of mycorrhizal fungi into fine-root studies, and wider adoption of a two-pool approach to model fine roots provide opportunities to better understand below-ground processes in the terrestrial biosphere. ? 2015 New Phytologist Trust.</t>
  </si>
  <si>
    <t>The ongoing climate change is characterized by increased temperatures and altered precipitation patterns. In addition, there has been an increase in both the frequency and intensity of extreme climatic events such as drought. Episodes of drought induce a series of interconnected effects, all of which have the potential to alter the carbon balance of forest ecosystems profoundly at different scales of plant organization and ecosystem functioning. During recent years, considerable progress has been made in the understanding of how aboveground parts of trees respond to drought and how these responses affect carbon assimilation. In contrast, processes of belowground parts are relatively underrepresented in research on climate change. In this review, we describe current knowledge about responses of tree roots to drought. Tree roots are capable of responding to drought through a variety of strategies that enable them to avoid and tolerate stress. Responses include root biomass adjustments, anatomical alterations, and physiological acclimations. The molecular mechanisms underlying these responses are characterized to some extent, and involve stress signaling and the induction of numerous genes, leading to the activation of tolerance pathways. In addition, mycorrhizas seem to play important protective roles. The current knowledge compiled in this review supports the view that tree roots are well equipped to withstand drought situations and maintain morphological and physiological functions as long as possible. Further, the reviewed literature demonstrates the important role of tree roots in the functioning of forest ecosystems and highlights the need for more research in this emerging field. ? 2015 Brunner, Herzog, Dawes, Arend and Sperisen.</t>
  </si>
  <si>
    <t>Arbuscular mycorrhizal (AM) fungi colonize roots and form two kinds of mycelium, intraradical mycelium (IRM) and extraradical mycelium (ERM). Arbuscules are characteristic IRM structures that highly branch within host cells in order to mediate resource exchange between the symbionts. They are ephemeral structures and at the end of their life span, arbuscular branches collapse from the tip, fungal cytoplasm withdraws, and the whole arbuscule shrinks into fungal clumps. The exoskeleton of an arbuscule contains structured chitin, which is a polymer of N-acetylglucosamine (GlcNAc), whereas a collapsed arbuscule does not. The molecular mechanisms underlying the turnover of chitin in AM fungi remain unknown. Here, a GlcNAc transporter, RiNGT, was identified from the AM fungus Rhizophagus irregularis. Yeast mutants defective in endogenous GlcNAc uptake and expressing RiNGT took up 14C-GlcNAc, and the optimum uptake was at acidic pH values (pH 4.0?4.5). The transcript levels of RiNGT in IRM in mycorrhizal Lotus japonicus roots were over 1000 times higher than those in ERM. GlcNAc-6-phosphate deacetylase (DAC1) and glucosamine-6-phosphate isomerase (NAG1) genes, which are related to the GlcNAc catabolism pathway, were also induced in IRM. Altogether, data suggest the existence of an enhanced recycling mode of GlcNAc in IRM of AM fungi. ? 2015, Springer-Verlag Berlin Heidelberg.</t>
  </si>
  <si>
    <t>Nematodes of different trophic groups control distinct energy channels, though their exact trophic links remain little understood. Molecular data suggest that soil nematodes are readily consumed by a wide range of other soil animals, but the significance of these interactions remains unknown. We used stable isotope analysis to gain a better understanding of the trophic niches of soil nematodes in a boreal forest. We tested four taxonomic groups, Mononchida, Dorylaimida, Plectidae and Tylenchidae (mostly from the genus Filenchus), representing predators, omnivores, bacterivores and root-fungal feeders, respectively. To assess the trophic position of nematodes, we used a set of reference species including herbivorous, saprophagous and predatory macro-invertebrates, oribatid and mesostigmatid mites, and collembolans. The trophic positions of the investigated groups of soil nematodes generally agree with common knowledge. All nematodes were enriched in 13C relative to Picea abies roots and litter, as well as to fungal mycelium analyzed. Root-fungal feeders Tylenchidae had ë15N values similar to those of earthworms, enchytraeids and Entomobrya collembolans. In contrast, bacterivorous Plectidae were enriched in 15N compared to saprophagous macroinvertebrates and most mesofauna species. Omnivorous Dorylaimida and predatory Mononchida were further enriched in 15N and their isotopic signature was very similar to that of predatory arthropods. These data confirm a clear separation of nematodes into microbial feeders (Tylenchidae and Plectidae) and predators (Mononchida and Dorylaimida). They also suggest that the trophic position of soil animals is largely independent of their body size, the smallest soil predators like nematodes occupying the same trophic level as predatory macro-invertebrates. Our data failed to confirm that bacterivorous or predatory soil nematodes are important prey for oribatid mites or collembolans. The patterns of isotopic signatures indicate that soil nematodes and the bulk of soil animals depend on resources derived from a dominating upper-canopy tree (P. abies) via the detrital rather than mycorrhizal pathway. Herbaceous plants and dwarf shrubs do not contribute significantly to the energy budget of soil communities in the boreal forest studied. ? 2015 Elsevier Ltd.</t>
  </si>
  <si>
    <t>Arbuscular Mycorrhizal Fungi (AMF) play major roles in ecosystem functioning such as carbon sequestration, nutrient cycling, and plant growth promotion. It is important to know how this ecologically important soil microbial player is affected by soil abiotic factors particularly heavy metal and metalloid (HMM). The objective of this study was to understand the impact of soil HMM concentration on AMF abundance and community structure in the contaminated sites of South Korea. Soil samples were collected from the vicinity of an abandoned smelter and the samples were subjected to three complementary methods such as spore morphology, terminal restriction fragment length polymorphism (T-RFLP) and denaturing gradient gel electrophoresis (DGGE) for diversity analysis. Spore density was found to be significantly higher in highly contaminated soil compared to less contaminated soil. Spore morphological study revealed that Glomeraceae family was more abundant followed by Acaulosporaceae and Gigasporaceae in the vicinity of the smelter. T-RFLP and DGGE analysis confirmed the dominance of Funneliformis mosseae and Rhizophagus intraradicesin all the study sites. Claroideoglomus claroideum, Funneliformis caledonium, Rhizophagus clarus and Funneliformis constrictum were found to be sensitive to high concentration of soil HMM. Richness and diversity of Glomeraceae family increased with significant increase in soil arsenic, cadmium and zinc concentrations. Our results revealed that the soil HMM has a vital impact on AMF community structure, especially with Glomeraceae family abundance, richness and diversity. ? 2015 Krishnamoorthy et al. This is an open access article distributed under the terms of the Creative Commons Attribution License, which permits unrestricted use, distribution, and reproduction in any medium, provided the original author and source are credited.</t>
  </si>
  <si>
    <t>TomŠ E., Tagliavini M., Scandellari F.</t>
  </si>
  <si>
    <t>Most crop species form a symbiotic association with arbuscular mycorrhizal (AM) fungi, receiving plant photosynthate and exchanging nutrients from the soil. The plant carbon (C) allocation to AM fungi and the nitrogen feedback are rarely studied together. In this study, a dual 13CO2 and 15NH415NO3 pulse labeling experiment was carried out to determine the allocation of recent photosynthates to mycorrhizal hyphae and the translocation of N absorbed by hyphae to strawberry plants. Plants were grown in pots in which a 50?m mesh net allowed the physical separation of the mycorrhizal hyphae from the roots in one portion of the pot. An inorganic source of 15N was added to the hyphal compartment at the same time of the 13CO2 pulse labeling. One and seven days after pulse labeling, the plants were destructively harvested and the amount of the recently fixed carbon (C) and of the absorbed N was determined. 13C allocated to belowground organs such as roots and mycorrhizal hyphae accounted for an average of 10%, with 4.3% allocated to mycorrhizal hyphae within the first 24h after the pulse labeling. Mycorrhizae absorbed labeled inorganic nitrogen, of which almost 23% was retained in the fungal mycelium. The N uptake was linearly correlated with the 13C fixed by the plants suggesting a positive correlation between a plant photosynthetic rate and the hyphal absorption capacity. ? 2015 Elsevier GmbH.</t>
  </si>
  <si>
    <t>Grazing can directly or indirectly influence carbon (C) inputs, turnover, and retention in grassland soil. However, relative to the plant response to grazing, belowground biota and process responses are more complex and often do not correlate with the aboveground responses. Ungulate grazing involves three mechanisms; defoliation (removal of plant shoot tissue), dung and urine return, and trampling. An evaluation of the relative roles of these mechanisms and their combinations in grazing can explain the causes of changes in grasslands, thereby explaining soil C sequestration in a steppe ecosystem. In this study, we examined changes in plant attributes, soil abiotic characteristics, and the soil microbial community in response to mowing (M), dung and urine addition (DU), simulated trampling (T), and their combinations by conducting a 3-yr experiment in a steppe ecosystem in Inner Mongolia, China. Most of the variation in the grazing effects on grasslands was explained by defoliation through decreased plant production and soil respiration and altered vegetation composition. Dung and urine return was second to defoliation in explaining grazing effects on grassland, and led to increasing plant C inputs to the soil, while simultaneously, potential loss of soil C due to the increase of the abundance of bacteria and soil respiration eventually accelerated soil C cycling. An interaction between defoliation and trampling on microbial growth was observed in our study: trampling increased the abundance of total bacteria, fungi, and arbuscular mycorrhizal fungi (AMF) only in the no-mowing plots. Trampling led to plant allocation to belowground tissues and increased the abundance of fungi and AMF, which are critical for soil C sequestration, and trampling with defoliation further decreased the abundance of soil microbes, which may decelerate soil C cycling and increase its retention time. These results indicate that defoliation and dung and urine return play major roles in explaining grazing effects on grassland systems, including plant, soil, and microbial parameters, but the trampling effects and the interaction between defoliation and trampling are two key factors that contribute to explaining the overall effects of grazing on soil C sequestration in a typical steppe ecosystem in Inner Mongolia. ? 2015 by the Ecological Society of America.</t>
  </si>
  <si>
    <t>According to the economy theory, plants should preferentially allocate photosynthate to acquire below-ground resources under elevated atmospheric carbon dioxide (eCO2) but decrease below-ground C allocation when nitrogen (N) is sufficient for plant growth. Arbuscular mycorrhizae (AM) represent a critical mechanism of below-ground nutrient acquisition for plants. The dynamics of arbuscular mycorrhizal fungi (AMF) could therefore reflect the response of plant C allocation under eCO2 and N addition. We examined the responses of glomalin-related soil protein (GRSP) to eCO2 (approximately 700?molmol-1 CO2) and/or N addition (100kgNha-1yr-1 as NH4NO3) in a modeled subtropical forest to better understand its potential influence on soil C storage. We hypothesized that GRSP would increase under eCO2 and decrease under N addition. Furthermore, the positive effects of eCO2 on GRSP would be offset by extra N addition, and GRSP would remain unchanged under combined eCO2 and N addition. Our results showed that the mean concentrations of easily extractable GRSP (EE-GRSP) and total GRSP (T-GRSP) were 0.35ñ0.05 and 0.72ñ0.13mgCcm-3, respectively, which accounted for 2.76ñ0.53% and 5.67ñ0.92% of soil organic carbon (SOC) in the 0-10cm soil layer. Elevated CO2 significantly increased T-GRSP by 35.02% but decreased EE-GRSP by 5.09% in the top 10cm soil layer. The opposite responses of T-GRSP and EE-GRSP to eCO2 might result from an unchanged photosynthate investment to AMF with possible changes in their decomposition rates. The effect of N on GRSP was contrary to our hypothesis, i.e., there was a 1.72%-48.49% increase in T-GRSP and a slightly increase in EE-GRSP. Both EE-GRSP and T-GRSP concentrations increased under the combination of eCO2 and N addition, which was inconsistent with our hypothesis. The significant increase of EE-GRSP under the combination of eCO2 and N addition was partly caused by more rapid plant growth and reduced microbial diversity, and the marginal increase of T-GRSP indicated that the interaction between eCO2 and N addition offset their independent effects. In addition, the relatively higher accumulation ratios of GRSP (22.6ñ13.6%) compared with SOC (15.9ñ9.4%) indicated that more rapid GRSP deposition in the soil might accelerate SOC accumulation under eCO2 and N addition. Our results will improve the understanding of the functioning of GRSP in soil C sequestration under global environmental change scenarios. ? 2015 Elsevier Ltd.</t>
  </si>
  <si>
    <t>Not much is known about the nitrogen (N) uptake capacity and N-form preference of tropical trees. In a replicated labelling experiment with 15N-ammonium, 15N-nitrate and dual-labelled glycine applied to saplings of six tree species from southern Ecuadorian montane forests, we tested the hypotheses that (1) the saplings of tropical trees are capable of using organic N even though they are forming arbuscular mycorrhizas, and (2) with increasing altitude, tree saplings increasingly prefer ammonium and glycine over nitrate due to reduced nitrification and growing humus accumulation. Three-to 5-y-old saplings of two species each from 1000, 2000 and 3000 m asl were grown in pots inside the forest at their origin and labelled with non-fertilizing amounts of the three N forms; 15N enrichment was detected 5 days after labelling in fine roots, coarse roots, shoots and leaves. The six species differed with respect to their N-form preference, but neither the abundance of ammonium and nitrate in the soil nor altitude (1000-3000 m asl) seemed to influence the preference. Two species (those with highest growth rate) preferred NH4 + over NO3 -, while the other four species took up NO3 - and NH4 + at similar rates when both N forms were equally available. After 13C-glycine addition, 13C was significantly accumulated in the biomass of three species (all species with exclusively AM symbionts) but a convincing proof of the uptake of intact glycine molecules by these tropical montane forest trees was not obtained. ? 2014 Cambridge University Press.</t>
  </si>
  <si>
    <t>Carbon cycle models often lack explicit belowground organism activity, yet belowground organisms regulate carbon storage and release in soil. Ectomycorrhizal fungi are important players in the carbon cycle because they are a conduit into soil for carbon assimilated by the plant. It is hypothesized that ectomycorrhizal fungi can also be active decomposers when plant carbon allocation to fungi is low. Here, we reviewed the literature on ectomycorrhizal decomposition and we developed a simulation model of the plant-mycorrhizae interaction where a reduction in plant productivity stimulates ectomycorrhizal fungi to decompose soil organic matter. Our review highlights evidence demonstrating the potential for ectomycorrhizal fungi to decompose soil organic matter. Our model output suggests that ectomycorrhizal activity accounts for a portion of carbon decomposed in soil, but this portion varied with plant productivity and the mycorrhizal carbon uptake strategy simulated. Lower organic matter inputs to soil were largely responsible for reduced soil carbon storage. Using mathematical theory, we demonstrated that biotic interactions affect predictions of ecosystem functions. Specifically, we developed a simple function to model the mycorrhizal switch in function from plant symbiont to decomposer. We show that including mycorrhizal fungi with the flexibility of mutualistic and saprotrophic lifestyles alters predictions of ecosystem function. ? 2015 Moore et al Copyright:.</t>
  </si>
  <si>
    <t>T??itelov  T., Kotil¡nek M., Jers kov  J., Joly F.-X., Ko?nar J., Tatarenko I., Selosse M.-A.</t>
  </si>
  <si>
    <t>Plant dependence on fungal carbon (mycoheterotrophy) evolved repeatedly. In orchids, it is connected with a mycorrhizal shift from rhizoctonia to ectomycorrhizal fungi and a high natural 13C and 15N abundance. Some green relatives of mycoheterotrophic species show identical trends, but most of these remain unstudied, blurring our understanding of evolution to mycoheterotrophy. We analysed mycorrhizal associations and 13C and 15N biomass content in two green species, Neottia ovata and N. cordata (tribe Neottieae), from a genus comprising green and nongreen (mycoheterotrophic) species. Our study covered 41 European sites, including different meadow and forest habitats and orchid developmental stages. Fungal ITS barcoding and electron microscopy showed that both Neottia species associated mainly with nonectomycorrhizal Sebacinales Clade B, a group of rhizoctonia symbionts of green orchids, regardless of the habitat or growth stage. Few additional rhizoctonias from Ceratobasidiaceae and Tulasnellaceae, and ectomycorrhizal fungi were detected. Isotope abundances did not detect carbon gain from the ectomycorrhizal fungi, suggesting a usual nutrition of rhizoctonia-associated green orchids. Considering associations of related partially or fully mycoheterotrophic species such as Neottia camtschatea or N. nidus-avis with ectomycorrhizal Sebacinales Clade A, we propose that the genus Neottia displays a mycorrhizal preference for Sebacinales and that the association with nonectomycorrhizal Sebacinales Clade B is likely ancestral. Such a change in preference for mycorrhizal associates differing in ecology within the same fungal taxon is rare among orchids. Moreover, the existence of rhizoctonia-associated Neottia spp. challenges the shift to ectomycorrhizal fungi as an ancestral pre-adaptation to mycoheterotrophy in the whole Neottieae. ? 2015 John Wiley &amp; Sons Ltd.</t>
  </si>
  <si>
    <t>Although hypothesized for many years, the involvement of ectomycorrhizal fungi in decomposition of soil organic matter remains controversial and has not yet been fully acknowledged as an important factor in the regulation of soil carbon (C) storage. Here, we review recent findings, which support the view that some ectomycorrhizal fungi have the capacity to oxidize organic matter, either by 'brown-rot' Fenton chemistry or using 'white-rot' peroxidases. We propose that ectomycorrhizal fungi benefit from organic matter decomposition primarily through increased nitrogen mobilization rather than through release of metabolic C and question the view that ectomycorrhizal fungi may act as facultative saprotrophs. Finally, we discuss how mycorrhizal decomposition may influence organic matter storage in soils and mediate responses of ecosystem C sequestration to environmental changes. ? 2014 The Authors. New Phytologist ? 2014 New Phytologist Trust.</t>
  </si>
  <si>
    <t>Mycorrhizal functioning in the fern Ophioglossum is complex and poorly understood. It is unknown whether mature O. vulgatum sporophytes form mutualistic associations with fungi of the Glomeromycota and with what specificity. Are green sporophytes able to 'repay' fungal carbon (C) invested in them by mycorrhizal partners during the initially heterotrophic gametophyte and early sporophyte stages of the lifecycle? We identified fungal partners of O. vulgatum sporophytes using molecular techniques and supplied them with 33P-orthophosphate and O. vulgatum sporophytes with 14CO2. We traced the movement of fungal-acquired nutrients and plant-fixed C between symbionts and analysed natural abundance 13C and 15N isotope signatures to assess nutritional interactions. We found fungal specificity of O. vulgatum sporophytes towards a mycorrhizal fungus closely related to Glomus macrocarpum. Our radioisotope tracers revealed reciprocal C-for-phosphorus exchange between fern sporophytes and fungal partners, despite competition from surrounding vegetation. Monocultures of O. vulgatum were enriched in 13C and 15N, providing inconclusive evidence of mycoheterotrophy when experiencing competition from the surrounding plant community. We show mutualistic and specific symbiosis between a eusporangiate fern and fungi of the Glomeromycota. Our findings suggest a 'take now, pay later' strategy of mycorrhizal functioning through the lifecycle O. vulgatum, from mycoheterotrophic gametophyte to mutualistic aboveground sporophyte. ? 2015 The Authors. New Phytologist ? 2015 New Phytologist Trust.</t>
  </si>
  <si>
    <t>Boreal forest soils store a major proportion of the global terrestrial carbon (C) and below-ground inputs contribute as much as above-ground plant litter to the total C stored in the soil. A better understanding of the dynamics and drivers of root-associated fungal communities is essential to predict long-term soil C storage and climate feedbacks in northern ecosystems. We used 454-pyrosequencing to identify fungal communities across fine-scaled soil profiles in a 5000 yr fire-driven boreal forest chronosequence, with the aim of pinpointing shifts in fungal community composition that may underlie variation in below-ground C sequestration. In early successional-stage forests, higher abundance of cord-forming ectomycorrhizal fungi (such as Cortinarius and Suillus species) was linked to rapid turnover of mycelial biomass and necromass, efficient nitrogen (N) mobilization and low C sequestration. In late successional-stage forests, cord formers declined, while ericoid mycorrhizal ascomycetes continued to dominate, potentially facilitating long-term humus build-up through production of melanized hyphae that resist decomposition. Our results suggest that cord-forming ectomycorrhizal fungi and ericoid mycorrhizal fungi play opposing roles in below-ground C storage. We postulate that, by affecting turnover and decomposition of fungal tissues, mycorrhizal fungal identity and growth form are critical determinants of C and N sequestration in boreal forests. ? 2014 The Authors New Phytologist ? 2014 New Phytologist Trust.</t>
  </si>
  <si>
    <t>The genus Amanita encompasses both symbiotic, ectomycorrhizal fungi and asymbiotic litter decomposers; all species are derived from asymbiotic ancestors. Symbiotic species are no longer able to degrade plant cell walls. The carbohydrate esterases family 1 (CE1s) is a diverse group of enzymes involved in carbon metabolism, including decomposition and carbon storage. CE1 genes of the ectomycorrhizal A. muscaria appear diverged from all other fungal homologues, and more similar to CE1s of bacteria, suggesting a horizontal gene transfer (HGT) event. In order to test whether AmanitaCE1s were acquired horizontally, we built a phylogeny of CE1s collected from across the tree of life, and describe the evolution of CE1 genes among Amanita and relevant lineages of bacteria. CE1s of symbiotic Amanita were very different from CE1s of asymbiotic Amanita, and are more similar to bacterial CE1s. The protein structure of one CE1 gene of A. muscaria matched a depolymerase that degrades the carbon storage molecule poly((R)-3-hydroxybutyrate) (PHB). Asymbiotic Amanita do not carry sequence or structural homologues of these genes. The CE1s acquired through HGT may enable novel metabolisms, or play roles in signaling or defense. This is the first evidence for the horizontal transfer of carbohydrate metabolism genes into ectomycorrhizal fungi. ? 2014 New Phytologist Trust.</t>
  </si>
  <si>
    <t>Plants rapidly release photoassimilated carbon (C) to the soil via direct root exudation and associated mycorrhizal fungi, with both pathways promoting plant nutrient availability. This study aimed to explore these pathways from the root's vascular bundle to soil microbial communities. Using nanoscale secondary ion mass spectrometry (NanoSIMS) imaging and 13C-phospho- and neutral lipid fatty acids, we traced in-situ flows of recently photoassimilated C of 13CO2-exposed wheat (Triticum aestivum) through arbuscular mycorrhiza (AM) into root- and hyphae-associated soil microbial communities. Intraradical hyphae of AM fungi were significantly 13C-enriched compared to other root-cortex areas after 8 h of labelling. Immature fine root areas close to the root tip, where AM features were absent, showed signs of passive C loss and co-location of photoassimilates with nitrogen taken up from the soil solution. A significant and exclusively fresh proportion of 13C-photosynthates was delivered through the AM pathway and was utilised by different microbial groups compared to C directly released by roots. Our results indicate that a major release of recent photosynthates into soil leave plant roots via AM intraradical hyphae already upstream of passive root exudations. AM fungi may act as a rapid hub for translocating fresh plant C to soil microbes. ? 2014 New Phytologist Trust.</t>
  </si>
  <si>
    <t>Courty P.-E., Doubkov  P., Calabrese S., Niemann H., Lehmann M.F., Vos tka M., Selosse M.-A.</t>
  </si>
  <si>
    <t>Natural 13C and 15N abundances of mycorrhizal fungi are increasingly used in ecology but reference data on arbuscular mycorrhizal fungi (AMF) are scarce. In experiments with nine phylogenetically dispersed AMF strains inoculated on leek (C3 plant) and sorghum (C4) in pot cultures, we measured the 13C/12C and 15N/14N ratios in shoots, roots, AMF spores as well as carbon isotope signature of the C16:1?5 fatty acid (FA), which is diagnostic for AMF. Spore ë13C values varied among AMF strains on any given host. They were significantly lower than shoot ë13C for sorghum (-2.5? on average) while for leek, no clear C isotope partitioning between spores and host shoots was observed. The FA C16:1?5 fatty acids were more 13C-depleted than spores, without correlation with spore ë13C values. For both, sorghum and leek, spore ë15N was higher (+1-2? on average) than for shoots. We found no evidence that isotopic partitioning between the partners drives 13C and 15N abundances in plant-AMF symbiosis. Mycorrhizal roots displayed relatively high ë13C typical for heterotrophic organs, and not a mix between AMF and plant signatures. Interestingly, inoculation slightly decreased shoot ë13C on leek but not on sorghum, as compared with non-mycorrhizal plants, suggesting that AMF improved the plant's water status, a parameter affecting the ë13C of C3 but not C4 plants. Phylogenetically closer AMF displayed more similar spore ë13C and induced similar 13C and 15N abundances on leek shoots, but this observation was not confirmed for sorghum. Plant and AMF isotopic abundances hardly correlated with other parameters related to plant development, mineral nutrition or root mycorrhizal colonisation, and these correlations were never consistent between sorghum and leek. Thus, isotopic abundances in plant-AMF symbiosis were rather constrained by each AMF/plant interaction. Nevertheless, our data provide a valuable reference for future investigations of AMF communities and AM symbiosis in situ. ? 2014 Elsevier Ltd.</t>
  </si>
  <si>
    <t>Arbuscular mycorrhizal fungi; Extraradical mycelium; Fatty acid C16:1?5; Isotopic abundance; Molecular barcoding; Spores</t>
  </si>
  <si>
    <t>Background and Aims The green orchid Goodyera repens has been shown to transfer carbon to its mycorrhizal partner, and this flux may therefore be affected by light availability. This study aimed to test whether the C and N exchange between plant and fungus is dependent on light availability, and in addition addressed the question of whether flowering and/or fruiting individuals of G. repens compensate for changes in leaf chlorophyll concentration with changes in C and N flows from fungus to plant. Methods The natural abundances of stable isotopes of plant C and N were used to infer changes in fluxes between orchid and fungus across natural gradients of irradiance at five sites. Mycorrhizal fungi in the roots of G. repens were identified by molecular analyses. Chlorophyll concentrations in the leaves of the orchid and of reference plants were measured directly in the field. Key Results Leaf ë13C values of G. repens responded to changes in light availability in a similar manner to autotrophic reference plants, and different mycorrhizal fungal associations also did not affect the isotope abundance patterns of the orchid. Flowering/fruiting individuals had lower leaf total N and chlorophyll concentrations, which is most probably explained by N investments to form flowers, seeds and shoot. Conclusions The results indicate that mycorrhizal physiology is relatively fixed in G. repens, and changes in the amount and direction of C flow between plant and fungus were not observed to depend on light availability. The orchid may instead react to low-light sites through increased clonal growth. The orchid does not compensate for low leaf total N and chlorophyll concentrations by using a 13C- and 15N-enriched fungal source. ? 2014 The Author.</t>
  </si>
  <si>
    <t>Many adult orchids, especially photoautotrophic species, associate with a diverse range of mycorrhizal fungi, but little is known about the temporal changes that might occur in the diversity and functioning of orchid mycorrhiza during vegetative and reproductive plant growth. Temporal variations in the spectrum of mycorrhizal fungi and in stable isotope natural abundance were investigated in adult plants of Anacamptis morio, a wintergreen meadow orchid. Anacamptis morio associated with mycorrhizal fungi belonging to Tulasnella, Ceratobasidium and a clade of Pezizaceae (Ascomycetes). When a complete growing season was investigated, multivariate analyses indicated significant differences in the mycorrhizal fungal community. Among fungi identified from manually isolated pelotons, Tulasnella was more common in autumn and winter, the pezizacean clade was very frequent in spring, and Ceratobasidium was more frequent in summer. By contrast, relatively small variations were found in carbon (C) and nitrogen (N) stable isotope natural abundance, A. morio samples showing similar 15N enrichment and 13C depletion at the different sampling times. These observations suggest that, irrespective of differences in the seasonal environmental conditions, the plant phenological stages and the associated fungi, the isotopic content in mycorrhizal A. morio remains fairly constant over time. ? 2014 New Phytologist Trust.</t>
  </si>
  <si>
    <t>Ecosystem and community functioning is highly dependent on the interplay of its different biota in acquisition and distribution of resources required for maintenance, growth and development, defense against abiotic and biotic stresses in the environment, and competitive and symbiotic interactions. These processes constitute the predominant "sinks" of resources in all biota, but even mutualistic coexistence may require the investment of additional resources, for example, in order to prevent a switch from coexistence to parasitism. The interplay of different biota in resource acquisition and distribution is of particular significance when availability of resources is limited. Under these conditions, different biota will compete for a limited resource, but may also avoid competition by different resource acquisition strategies in space (e.g., exploitation of different soil horizons) or/and time (e.g., preferential acquisition at different seasons). In this context, plants as primary producers play a decisive role and often control resource acquisition by other biota, in particular, by soil microbial communities. It has been generally assumed that at a given net primary productivity (NPP), plants in their specific environment allocate different fractions of their NPP to their internal sinks and that this allocation is characterized by trade-off mechanisms. This indicates, for example, that an enhanced requirement of resources for defense or competitive interactions may result in reduced resource availability for growth and development. However, recent studies indicate that such trade-off mechanisms are not generally observed and facilitation mechanisms can be found instead, because the expansion of an existing or the generation of a new sink of resources can enhance NPP. As a consequence, the use of resources for defense and competitive interactions will, for example, not necessarily reduce resource availability for growth and development. Therefore, the investment of part of the NPP in competitive and symbiotic interactions usually will not weaken short-term plant performance and will even improve it in the long run. Because of the immobile lifestyle of plants, successful resource acquisition requires space occupation by growth either by the plant itself or by its symbiont(s). Aboveground space occupation is needed to acquire light and CO2, belowground space occupation to acquire nutrients and water. Occupying space and acquiring resources can be achieved by different strategies, that is, competition, symbiotic interactions, avoidance of competition, and facilitation, all of which imply the development of specific structural and physiological features. These strategies rely largely on signaling between biota often by volatile metabolites and result either in more efficient resource acquisition for a given plant species (e.g., water and nutrient acquisition by mycorrhizal roots), sharing the same resource between plant species by differential use (e.g., preferential N uptake at different seasons), or the exploitation of existing resources that are not generally available (e.g., fixation of atmospheric N2 as N source). The latter may be defined as developing a physiological niche. ? 2015 Wiley-VCH Verlag GmbH &amp; Co. KGaA. All rights reserved.</t>
  </si>
  <si>
    <t>Beech (Fagus sylvatica), a dominant forest species in Central Europe, competes for nitrogen with soil microbes and suffers from N limitation under dry conditions. We hypothesized that ectomycorrhizal communities and the free-living rhizosphere microbes from beech trees from sites with two contrasting climatic conditions exhibit differences in N acquisition that contribute to differences in host N uptake and are related to differences in host belowground carbon allocation. To test these hypotheses, young trees from the natural regeneration of two genetically similar populations, one from dryer conditions (located in an area with a southwest exposure [SW trees]) and the other from a cooler, moist climate (located in an area with a northeast exposure [NE trees]), were transplanted into a homogeneous substrate in the same environment and labeled with 13CO2 and 15NH4+. Free-living rhizosphere microbes were characterized by marker genes for the N cycle, but no differences between the rhizospheres of SW or NE trees were found. Lower 15N enrichment was found in the ectomycorrhizal communities of the NE tree communities than the SW tree communities, whereas no significant differences in 15N enrichment were observed for nonmycorrhizal root tips of SW and NE trees. Neither the ectomycorrhizal communities nor the nonmycorrhizal root tips originating from NE and SW trees showed differences in 13C signatures. Because the level of 15N accumulation in fine roots and the amount transferred to leaves were lower in NE trees than SW trees, our data support the suggestion that the ectomycorrhizal community influences N transfer to its host and demonstrate that the fungal community from the dry condition was more efficient in N acquisition when environmental constraints were relieved. These findings highlight the importance of adapted ectomycorrhizal communities for forest nutrition in a changing climate. ? 2015, American Society for Microbiology.</t>
  </si>
  <si>
    <t>Using a pulse chase 13CO2 plant labeling experiment we compared the flow of plant carbon into macromolecular fractions of rhizosphere soil microorganisms. Time dependent 13C dilution patterns in microbial cellular fractions were used to calculate their turnover time. The turnover times of microbial biomolecules were found to vary: microbial RNA (19 h) and DNA (30 h) turned over fastest followed by chloroform fumigation extraction-derived soluble cell lysis products (14 days), while phospholipid fatty acids (PLFAs) had the slowest turnover (42 days). PLFA/NLFA 13C analyses suggest that both mutualistic arbuscular mycorrhizal and saprophytic fungi are dominant in initial plant carbon uptake. In contrast, high initial 13C enrichment in RNA hints at bacterial importance in initial C uptake due to the dominance of bacterial derived RNA in total extracts of soil RNA. To explain this discrepancy, we observed low renewal rate of bacterial lipids, which may therefore bias lipid fatty acid based interpretations of the role of bacteria in soil microbial food webs. Based on our findings, we question current assumptions regarding plant-microbe carbon flux and suggest that the rhizosphere bacterial contribution to plant assimilate uptake could be higher. This highlights the need for more detailed quantitative investigations with nucleic acid biomarkers to further validate these findings. ? 2015 Malik, Dannert, Griffiths, Thomson and Gleixner.</t>
  </si>
  <si>
    <t>Symbiotic ectomycorrhizal fungi have been shown to enhance host plant photosynthesis because the fungal symbiont are claimed to increase belowground carbon (C) demand. We aimed to study the effect of eight common symbiotic ectomycorrhizal (ECM) fungi on Scots pine photosynthesis and carbon (C) allocation because very few studies have investigated this phenomenon under controlled axenic conditions. The CO2 assimilation, stomatal conductance, chlorophyll fluorescence parameters, biomass allocation, moisture content, mycorrhization rate, nitrogen (N) uptake and N content of Scots pine seedlings, with or without symbiotic fungi, were measured after a four month growth period under axenic laboratory conditions. We hypothesized that ECM fungi are capable of increasing plant CO2 assimilation compared to non-mycorrhizal control fungi by increasing belowground C demand. This hypothesis was not supported since mycorrhizal and non-mycorrhizal plants did not differ significantly in any of the photosynthesis-related parameters. In addition, the common assumption that ECM fungi impose a C cost on the host plant was not supported by our study because mycorrhizal plants had the same or larger biomass compared to non-mycorrhizal plants. However, the mycorrhizal seedlings had a lower N percentage and allocated relatively more N to roots than shoots compared to control sterile seedlings, and the mycorrhizal seedlings had lower water content. In general, Needle N and water content correlated positively with CO2 assimilation. Based on our results, the N distribution within plant and plants water economy are the main effects of mycorrhizal symbiosis that affect plant C allocation and photosynthesis. These factors need to be considered when mycorrhizal effect on plant net primary production (NPP) also under natural conditions is estimated. ? 2014 Elsevier B.V.</t>
  </si>
  <si>
    <t>Mycoheterotrophic plants (MHP) are divided into non-photosynthesizing full MHP and green-leaved partial or initial MHP. We investigated 13C and 15N isotope enrichment in five putatively partial MHP species in the tribe Pyroleae (Ericaceae): Chimaphila umbellata, Moneses uniflora, Orthilia secunda, Pyrola chlorantha and Pyrola minor, sampled from forest sites on ™land, Sweden. For M. uniflora and P. chlorantha, we investigated isotope signatures of subterranean seedlings (which are mycoheterotrophic), to examine how the use of seedlings instead of full MHP species (Hypopitys monotropa) as reference species affects the assessment of partial mycoheterotrophy. Our main findings were as follows: (1) All investigated Pyroleae species were enriched in 15N compared to autotrophic reference plants. (2) significant fungal-derived C among the Pyroleae species was found for O. secunda and P. chlorantha. For the remaining species of C. umbellata, M. uniflora and P. minor, isotope signatures suggested adult autotrophy. (3) C and N gains, calculated using seedlings as a full MHP reference, yielded qualitatively similar results as when using H. monotropa as a reference. However, the estimated differences in C and N gains became larger when using seedlings as an MHP reference. (4) A previously unknown interspecific variation in isotope signature occurs during early ontogeny, from seed production to developing seedlings. Our findings suggest that there is a variation among Pyroleae species concerning partial mycoheterotrophy in adults. Adult autotrophy may be most common in Pyroleae species, and these species may not be as dependent on fungal-derived nutrients as some green orchids. ? 2014, Springer-Verlag Berlin Heidelberg.</t>
  </si>
  <si>
    <t>The presence of plants induces strong accelerations in soil organic matter (SOM) mineralization by stimulating soil microbial activity - a phenomenon known as the rhizosphere priming effect (RPE). The RPE could be induced by several mechanisms including root exudates, arbuscular mycorrhizal fungi (AMF) and root litter. However the contribution of each of these to rhizosphere priming is unknown due to the complexity involved in studying rhizospheric processes. In order to determine the role of each of these mechanisms, we incubated soils enclosed in nylon meshes that were permeable to exudates, or exudates &amp;amp; AMF or exudates, AMF and roots under three grassland plant species grown on sand. Plants were continuously labeled with 13C depleted CO2 that allowed distinguishing plant-derived CO2 from soil-derived CO2. We show that root exudation was the main way by which plants induced RPE (58-96% of total RPE) followed by root litter. AMF did not contribute to rhizosphere priming under the two species that were significantly colonized by them i.e. Poa trivialis and Trifolium repens. Root exudates and root litter differed with respect to their mechanism of inducing RPE. Exudates induced RPE without increasing microbial biomass whereas root litter increased microbial biomass and raised the RPE mediating saprophytic fungi. The RPE efficiency (RPE/unit plant-C assimilated into microbes) was 3-7 times higher for exudates than for root litter. This efficiency of exudates is explained by a microbial allocation of fresh carbon to mineralization activity rather than to growth. These results suggest that root exudation is the main way by which plants stimulated mineralization of soil organic matter. Moreover, the plants through their exudates not only provide energy to soil microorganisms but also seem to control the way the energy is used in order to maximize soil organic matter mineralization and drive their own nutrient supply. ? 2014 Elsevier Ltd. All rights reserved.</t>
  </si>
  <si>
    <t>To determine the exchange of nitrogen and carbon between ectomycorrhiza and host plant, young beech (Fagus sylvatica) trees from natural regeneration in intact soil cores were labelled for one growing season in a greenhouse with 13CO2 and 15NO3 15NH4. The specific enrichments of 15N and 13C were higher in ectomycorrhizas (EMs) than in any other tissue. The enrichments of 13C and 15N were also higher in the fine-root segments directly connected with the EM (mainly second-order roots) than that in bulk fine or coarse roots. A strict, positive correlation was found between the specific 15N enrichment in EM and the attached second-order roots. This finding indicates that strong N accumulators provide more N to their host than low N accumulators. A significant correlation was also found for the specific 13C enrichment in EM and the attached second-order roots. However, the specific enrichments for 15N and 13C in EM were unrelated showing that under long-term conditions, C and N exchange between host and EMs are uncoupled. These findings suggest that EM-mediated N flux to the plant is not the main control on carbon flux to the fungus, probably because EMs provide many different services to their hosts in addition to N provision in their natural assemblages. ? 2014, Springer-Verlag Berlin Heidelberg.</t>
  </si>
  <si>
    <t>Greenhouse studies have reported that maize expressing Bacillus thuringiensis (Bt) insecticidal toxins may have nontarget effects on symbiotic arbuscular mycorrhizal fungi (AMF), however, field studies have not detected the same pattern. This may be due to the short-term nature of previous field experiments, differences in soil properties between studies, or plant-soil feedbacks that influence AMF communities in roots and soil over time. In this field experiment, we used split plots to evaluate the effect of Bt or non-s Bt maize cultivation history on AMF spore abundance, diversity, root colonization, and growth of seven different genotypes of Bt maize and five corresponding non- Bt parental (P) isolines. We found that Bt plants had higher leaf chlorophyll content when they were grown in plots that had been cultivated with Bt maize the previous year, and similarly, non- Bt plants had higher chlorophyll content when they were grown in plots with a non- Bt cultivation history, indicative of a positive feedback effect. There was a lower density of AMF spores in plots with a Bt maize cultivation history than in plots where P maize had been grown in the previous year, but no difference in spore diversity. Despite the differences in spore density, we found no significant differences in AMF colonization or root or shoot biomass between plots with a cultivation history of Bt and P maize. This study presents the first evidence of an effect of Bt maize cultivation on the soil ecosystem, but also provides further evidence that this effect is not necessarily large or easily detectable within the range of normal environmental variation. Management of agroecosystems will need to consider the potential effects of reduced numbers of AMF propagules in soil as this could have an effect on ecosystem processes including carbon sequestration, nutrient cycling, drought tolerance, soil aggregation, and plant resistance to pathogens. Taken together with greenhouse experiments, we can now make predictions on how Bt maize cultivation may affect AMF under different environmental conditions. ? 2014 Elsevier B.V.</t>
  </si>
  <si>
    <t>The accumulation of Cr in soil could be highly toxic to human health; therefore Cr soil distribution was studied in rhizosphere soils from Ricinus communis and Conium maculatum and bare soil (BS) from an industrial and urban area in Argentina. Total Cr, Cr(VI) and Cr(III) concentrations were determined in 3 soil fractions: total, extractable and associated to total-glomalin-related protein (T-GRSP). BS had the highest total Cr and total Cr(VI) concentrations. Total Cr(VI) concentration from both rhizosphere soils did not differ from the allowed value for residential area in Argentina (8?g Cr(VI) g-1 soil), while total Cr(VI) in BS was 1.8 times higher. Total Cr concentration in all the soils was higher than the allowed value (250?g Cr g-1 soil). Extractable and associated to T-GRSP Cr(VI) concentrations were below the detection limit. Cr(III) bound to T-GRSP was the highest in the BS. These findings are in agreement with a long term effect of glomalin in sequestrating Cr. In both plant species, total Cr was higher in root than in shoot and both species presented arbuscular mycorrhizal fungi (AMF). As far as we know, this is the first study that reports the presence of Cr in T-GRSP fraction of soil organic matter. These findings suggest that Cr mycorrhizostabilization could be a predominant mechanism used by R. communis and C. maculatum to diminish Cr soil concentration. Nevertheless, further research is needed to clarify the contribution of native AMF isolated from R. communis and C. maculatum rhizosphere to the Cr phytoremediation process. ? 2014 Elsevier B.V.</t>
  </si>
  <si>
    <t>Background and Aims A substantial amount of photosynthesized plant-C is allocated belowground in grassland ecosystems where it influences the structure and function of the soil microbial community with potential implications for C cycling and storage. We applied stable isotope probing of microbial PLFAs and repeated soil sampling in a grassland over a period of 1 year to assess the role of microbial communities in the cycling of rhizodeposit-C. Methods Pulse-labeling with 13CO2 was performed in a grassland site near Gent (Belgium). Soil samples were taken 24 h, 1 week, 1 month, 4 months, 9 months and 1 year following labeling and analyzed for 13C in soil, roots and microbial PLFAs. Results C enrichment of PLFAs occurred rapidly (within 24 h) but temporally varied across microbial groups. PLFAs indicative for fungi and gram-negative bacteria showed a faster 13C uptake compared to gram-positive bacteria and actinomycetes. However, the relative 13C concentrations of the latter communities increased after 1 week, while those of fungi decreased and those of gram-negative bacteria remained constant. PLFA 13C mean residence times were much shorter for fungi compared to bacteria and actinomycetes. Conclusions Our results indicate temporally varying rhizodeposit-C uptake by different microbial groups, and faster turnover rates of mycorrhizal versus saprotrophic fungi and fungi versus bacteria. Fungi appeared to play a major role in the initial processing and possible rapid channeling of rhizodeposit-C into the soil microbial community. Actinomycetes and gram-positive bacteria appeared to have a delayed utilization of rhizodeposit-C or to prefer other C sources upon rhizodeposition. ? Springer Science+Business Media B.V. 2012.</t>
  </si>
  <si>
    <t>Arbuscular mycorrhizal (AM) fungi are widespread plant symbionts that extensively colonize both soil and roots. Given their influence on ecosystem processes, such as plant growth, soil carbon storage, and nutrient cycling, there is great interest in understanding the drivers of their community structure. AM fungal communities are increasingly characterized by selectively amplifying their DNA from plant roots, thus assuming that AM fungal community structure within roots provides a reliable portrait of the total (i.e., soil + roots) community. Through numerical simulations, we test this assumption using published data. We show that community structure and diversity is well preserved when analyzing only a subset of the community biomass (i.e., roots or soil), provided that the community shows a typical skewed abundance distribution, with few very dominant species and a high prevalence of rare species. Given that this community structure has been shown to be common in natural AM fungal communities, the present work would suggest that characterizing AM fungal communities using only roots or soil can provide a reliable portrait of the overall community. However, we show through additional analyses that the proportion of sample biomass used for molecular methods must be over a minimal threshold to properly characterize the community. Using published molecular data sets, we validate those results, which suggest that typical molecular protocols using low amounts of biomass may strongly influence AM fungal community characterization. Finally, we also discuss other assumptions implied by the molecular analysis of AM fungal communities, and point out urgent knowledge gaps. ? 2014, NRC Research Press. All rights reserved.</t>
  </si>
  <si>
    <t>Community structure; Log-normal distribution; Shannon?s diversity; Symbiotic fungi</t>
  </si>
  <si>
    <t>Soil functions can be classified as supporting (nutrient cycling) and provisioning (crop production) ecosystem services (ES). These services consist of multiple and dynamic functions and are typically assessed using indicators, e.g. microbial biomass as an indicator of supporting services. Agricultural intensification negatively affects indicators of soil functions and is therefore considered to deplete soil ES. It has been suggested that incorporating leys into crop rotations can enhance soil ES. We examined this by comparing indicators of supporting soil services - organic carbon, nitrogen, water holding capacity and available phosphorous (carbon storage and nutrient retention); net nitrogen mineralisation rate and microbial biomass (nutrient cycling and retention) - in barley fields, leys and permanent pastures along a landscape heterogeneity gradient (100, 500 and 1000. m radii). In addition, barley yields (provisioning service) were analysed against these indicators to identify trade-offs among soil services. Levels of most indicators did not differ between barley and ley fields and were consistently lower than in permanent pastures. Leys supported greater microbial biomass than barley fields. Landscape heterogeneity had no effect on the indicators or microbial community composition. However, landscape heterogeneity correlated negatively with yield and soil pH, suggesting that soils in heterogeneous landscapes are less fertile and therefore have lower yields. No trade-offs were found between increasing barley yield and the soil indicators. The results suggest that soil ES are determined at the field level, with little influence from the surrounding landscape, and that greater crop yields do not necessarily come at the expense of supporting soil services. ? 2014 Elsevier B.V.</t>
  </si>
  <si>
    <t>Large-scale, long-term FACE (Free-Air CO2 enrichment) experiments indicate that increases in atmospheric CO2 concentrations will influence forest C cycling in unpredictable ways. It has been recently suggested that responses of mycorrhizal fungi could determine whether forest net primary productivity (NPP) is increased by elevated CO2 over long time periods and if forests soils will function as sources or sinks of C in the future. We studied the dynamic responses of ectomycorrhizae to N fertilization and atmospheric CO2 enrichment at the Duke FACE experiment using minirhizotrons over a 6 year period (2005-2010). Stimulation of mycorrhizal production by elevated CO2 was observed during only 1 (2007) of 6 years. This increased the standing crop of mycorrhizal tips during 2007 and 2008; during 2008, significantly higher mortality returned standing crop to ambient levels for the remainder of the experiment. It is therefore unlikely that increased production of mycorrhizal tips can explain the lack of progressive nitrogen limitations and associated increases in N uptake observed in CO2-enriched plots at this site. Fertilization generally decreased tree reliance on mycorrhizae as tip production declined with the addition of nitrogen as has been shown in many other studies. Annual NPP of mycorrhizal tips was greatest during years with warm January temperatures and during years with cool spring temperatures. A 2 øC increase in average late spring temperatures (May and June) decreased annual production of mycorrhizal root tip length by 50%. This has important implications for ecosystem function in a warmer world in addition to potential for forest soils to sequester atmospheric C. ? 2013 John Wiley &amp;amp; Sons Ltd.</t>
  </si>
  <si>
    <t>Anthracene, a low-molecular-weight polycyclic aromatic hydrocarbon (PAH) originating mainly from anthropogenic activities, represents one of the major persistent organic pollutants frequently detected in polluted soils. A few studies have reported the negative effect of PAH on the main steps of the arbuscular mycorrhizal fungi (AMF) life cycle resulting from lipid peroxidation; however, little is known regarding the impact of anthracene on extraradical AMF lipid metabolism. Radiolabelling experiments showed significant decreases of [1-14C]acetate incorporation into the sterol precursors (4,4-dimethylsterols and 4à-methylsterols) and in the total phospholipids (PL) of Rhizophagus irregularis (Blaszk., Wubet, Renker&amp;amp;Buscot) extraradical mycelium when grown in the presence of anthracene. These findings suggested a slowing down of the sterol and total PL biosynthesis pathways in AMF treated with anthracene. The negative impact of the organic pollutant on AMF membrane lipid biosynthesis may explain the growth inhibition of the fungus after PAH exposure. This study increases the understanding of the biochemical mechanisms involved in PAH ecotoxicity on AMF.</t>
  </si>
  <si>
    <t>Nitrogen (N) deposition and its ecological effects on forest ecosystems have received global attention. Plantations play an important role in mitigating climate change through assimilating atmospheric CO2. However, the mechanisms by which increasing N additions affect net ecosystem production (NEP) of plantations remain poorly understood. A field experiment was initialized in May 2009, which incorporated additions of four rates of N (control (no N addition), low-N (5 g N m-2 yr-1), medium-N (10 g N m -2 yr-1), and high-N (15 g N m-2 yr -1)) at the Saihanba Forestry Center, Hebei Province, northern China, a locality that contains the largest area of plantations in China. Net primary production (NPP), soil respiration, and its autotrophic and heterotrophic components were measured. Plant tissue carbon (C) and N concentrations (including foliage, litter, and fine roots), microbial biomass, microbial community composition, extracellular enzyme activities, and soil pH were also measured. N addition significantly increased NPP, which was associated with increased litter N concentrations. Autotrophic respiration (AR) increased but heterotrophic respiration (HR) decreased in the high N compared with the medium N plots, although the HR in high and medium N plots did not significantly differ from that in the control. The increased AR may derive from mycorrhizal respiration and rhizospheric microbial respiration, not live root respiration, because fine root biomass and N concentrations showed no significant differences. Although the HR was significantly suppressed in the high-N plots, soil microbial biomass, composition, or activity of extracellular enzymes were not significantly changed. Reduced pH with fertilization also could not explain the pattern of HR. The reduction of HR may be related to altered microbial C use efficiency. NEP was significantly enhanced by N addition, from 149 to 426.6 g C m-2 yr-1. Short-term N addition may significantly enhance the role of plantations as an important C sink. ? 2014 Du et al.</t>
  </si>
  <si>
    <t>Biochar production and subsequent soil incorporation could provide carbon farming solutions to global climate change and escalating food demand. There is evidence that biochar amendment causes fundamental changes in soil nutrient cycles, often resulting in marked increases in crop production, particularly in acidic and in infertile soils with low soil organic matter contents, although comparable outcomes in temperate soils are variable. We offer insight into the mechanisms underlying these findings by focusing attention on the soil nitrogen (N) cycle, specifically on hitherto unmeasured processes of organic N cycling in arable soils. We here investigated the impacts of biochar addition on soil organic and inorganic N pools and on gross transformation rates of both pools in a biochar field trial on arable land (Chernozem) in Traismauer, Lower Austria. We found that biochar increased total soil organic carbon but decreased the extractable organic C pool and soil nitrate. While gross rates of organic N transformation processes were reduced by 50-80%, gross N mineralization of organic N was not affected. In contrast, biochar promoted soil ammonia-oxidizer populations (bacterial and archaeal nitrifiers) and accelerated gross nitrification rates more than two-fold. Our findings indicate a de-coupling of the soil organic and inorganic N cycles, with a build-up of organic N, and deceleration of inorganic N release from this pool. The results therefore suggest that addition of inorganic fertilizer-N in combination with biochar could compensate for the reduction in organic N mineralization, with plants and microbes drawing on fertilizer-N for growth, in turn fuelling the belowground build-up of organic N. We conclude that combined addition of biochar with fertilizer-N may increase soil organic N in turn enhancing soil carbon sequestration and thereby could play a fundamental role in future soil management strategies. ? 2014 Prommer et al.</t>
  </si>
  <si>
    <t>Soil contains more carbon than the atmosphere and vegetation combined. Understanding the mechanisms controlling the accumulation and stability of soil carbon is critical to predicting the Earth's future climate. Recent studies suggest that decomposition of soil organic matter is often limited by nitrogen availability to microbes and that plants, via their fungal symbionts, compete directly with free-living decomposers for nitrogen. Ectomycorrhizal and ericoid mycorrhizal (EEM) fungi produce nitrogen-degrading enzymes, allowing them greater access to organic nitrogen sources than arbuscular mycorrhizal (AM) fungi. This leads to the theoretical prediction that soil carbon storage is greater in ecosystems dominated by EEM fungi than in those dominated by AM fungi. Using global data sets, we show that soil in ecosystems dominated by EEM-associated plants contains 70% more carbon per unit nitrogen than soil in ecosystems dominated by AM-associated plants. The effect of mycorrhizal type on soil carbon is independent of, and of far larger consequence than, the effects of net primary production, temperature, precipitation and soil clay content. Hence the effect of mycorrhizal type on soil carbon content holds at the global scale. This finding links the functional traits of mycorrhizal fungi to carbon storage at ecosystem-to-global scales, suggesting that plant-decomposer competition for nutrients exerts a fundamental control over the terrestrial carbon cycle. ? 2014 Macmillan Publishers Limited. All rights reserved.</t>
  </si>
  <si>
    <t>Primary production is the process by which solar energy is converted to chemical energy by autotrophic organisms, primarily green plants on land, providing the energy available to power earth's ecosystems. In this process atmospheric CO2 is incorporated into organic matter, thereby playing a dominant role in the global carbon cycle with crucial implications for global climate change. Net primary production (NPP) is the amount of fixed energy or organic matter left over after the plants have met their own respiratory needs and represents the amount of energy available to the consumers, including humans. Across the earth's terrestrial biomes, a large range of NPP is observed with the highest values in tropical forests and wetlands, intermediate values in temperate forests and grasslands, and lowest in extremely cold or dry deserts. Accurate measurement of NPP is challenging despite the simple concept that it represents the amount of new biomass added to the plants in a given time period. This is because a significant and highly variable proportion of NPP is lost from the plants by processes such as herbivory, volatilization, and carbon flux to the soil. Methods of measuring NPP are diverse, being dependent on the structure and dynamics of the vegetation. For example, harvest methods in which the aboveground tissues are periodically clipped from quadrats of known area can be effective for quantifying aboveground NPP in herbaceous vegetation (e.g., grasslands), whereas in woody vegetation, the growth of woody tissues must also be measured. Moreover, measurements of total NPP in terrestrial ecosystems must account for root growth which can be very challenging. As a result, reliable estimates of total NPP are few. Plants allocate a large proportion of their fixed energy to their root systems to fuel additional root growth and to meet their respiratory needs. The proportion of total NPP that goes to belowground NPP ranges from about 25 % to over 50 % and is higher in ecosystems where the degree of limitation by soil resources is greater, i.e., dry or nutrient-poor sites. Surprisingly, over 10 % of NPP is contributed by plants to the soil in the form of rhizosphere carbon flux including exudation, rhizodeposition, and allocation to mycorrhizal fungi and other symbionts. Variation in NPP results from differences among ecosystems in the amount of photosynthetically active radiation (PAR) reaching the plant canopy, the amount of that PAR absorbed by the foliage (APAR), the biochemical efficiency of the plants under optimal environmental conditions, and the degree to which actual conditions are less than optimal. The APAR depends in part on the amount of foliage surface area per unit ground area (leaf area index - LAI) which ranges from less than 1 in dry or infertile sites to over 10 in some resource-rich forests. Large-scale monitoring of estimated NPP is possible using satellite imagery of reflected solar radiation that can be converted into vegetation LAI and combined with environmental measurements that indicate the degree of stress reduction to photosynthetic activity. Four principal abiotic factors usually limit the amount of NPP on land - light, water, temperature, and mineral nutrients - and all these abiotic factors are changing rapidly as a result of human activity, with highly uncertain implications for global and local NPP. Commonly, two or more of these abiotic factors concurrently or sequentially limit NPP, but water deficit is arguably the most widespread single factor constraining global NPP. The effect of temperature on NPP is most closely related to subfreezing conditions that limit the length of the growing season in temperate and high-latitude environments. Nitrogen is the most important limiting mineral nutrient in most ecosystems, although in highly weathered tropical soils where nitrogen-fixing organisms are abundant, phosphorus may be the most limiting nutrient. Biotic factors can play a key role in regulating NPP so that human activities such as vegetation management and introduction of exotic species will exert a major influence on future patterns of NPP. The effects of biodiversity on NPP have proven difficult to establish, but experimental tests suggest that loss of species can reduce NPP particularly if a dominant species is lost or when species numbers become very low, diminishing complementarity in resource use by coexisting species. Dramatic shifts in plant community structure, for example, the ongoing invasion of grassland vegetation by woody plants, can cause changes in NPP that appear to depend in part on climate. Consumption of plant tissues by herbivores often can have a negative effect on NPP, but in many grasslands, compensatory growth responses to herbivory can result in no reduction in NPP or in some cases even stimulation of NPP by herbivory. Temporal variation in NPP results from interannual variation in both environmental and biotic factors as well as pulse disturbance events that can reset the successional clock. The response of NPP to interannual variation in rainfall seems to be greatest in semiarid and subhumid environments where average precipitation is sufficient to sustain highly productive communities (vs. true deserts). Following natural or human disturbances, forests exhibit a recurring pattern in which NPP peaks after a few decades of stand development, followed by a decline with age in older stands. Global environmental changes - climate, atmospheric CO2, nitrogen deposition, exotic species introductions, etc. - are certain to exert a major influence on global NPP in the future, but the outcomes are highly uncertain because of the complex ways in which all these changes interact with one another to influence the vegetation and NPP. For example, CO2 enrichment experiments indicate that increasing atmospheric CO2 concentration can significantly stimulate NPP in young forests, but the effect may be transient because of progressively greater stress by mineral nutrients - unless high N deposition overcomes this limitation. ? Springer Science+Business Media New York 2014.</t>
  </si>
  <si>
    <t>Functional relationships between belowground detritivores and/or symbionts and aboveground primary producers and their herbivores are not well studied. In a factorial greenhouse experiment we studied interactions between earthworms (addition/no addition of Lumbricus terrestris; Clitellata: Lumbricidae) and arbuscular-mycorrhizal fungi (AMF; with/without inoculation of Glomus mosseae; Glomerales: Glomeraceae) on the leguminous herb Trifolium repens (Fabales: Fabaceae) and associated plant aphids (Aphis gossypii, A. craccivora; Hemiptera: Aphidoidea). In order to be able to trace organismic interactions, earthworms were dual-labelled with stable isotopes (15N-ammonium nitrate and 13C-glucose). We specifically wanted to investigate whether (i) isotopic signals can be traced from the labelled earthworms via surface castings, plant roots and leaves to plant aphids and (ii) these compartments differ in their incorporation of stable isotopes. Our results show that the tested organismic compartments differed significantly in their 15N isotope enrichments measured seven days after the introduction of earthworms. 15N isotope incorporation was highest in casts followed by earthworm tissue, roots and leaves, with lowest 15N signature in aphids. The 13C signal in roots, leaves and aphids was similar across all treatments and is for this reason not recommendable for tracing short-term interactions over multitrophic levels. AMF symbiosis affected stable isotope incorporation differently in different subsystems: the 15N isotope signature was higher below ground (in roots) but lower above ground (leaves and aphids) in AMF-inoculated mesocosms compared to AMF-free mesocosms (significant subsystem?AMF interaction). Aphid infestation was unaffected by AMF and/or earthworms. Generally, these results demonstrate that plants utilize nutrients excreted by earthworms and incorporate these nutrients into their roots, leaf tissue and phloem sap from where aphids suck. Hence, these results show that earthworms and plant aphids are functionally interlinked. Further, 15N-labelling earthworms may represent a promising tool to investigate nutrient uptake by plants and consequences for belowground-aboveground multitrophic interactions. ? 2014 Elsevier GmbH.</t>
  </si>
  <si>
    <t>Background: The below-ground component of vegetation accounts for the bulk of plant mass and vegetation function (e.g. carbon sequestration) in temperate ecosystems, yet the proportion of plant ecology studies that consider roots is &lt;20%. Methods: I review how minirhizotron technology and DNA sequencing of mixed-species root samples allows new insights into below-ground vegetation structure and function. Results: Recent advances highlight important differences between the belowand above-ground parts of vegetation. For example, plant species richness below ground is about 50% greater than that above ground. Below-ground plant richness has been measured from only a few sites, and patterns along gradients of productivity and life-form turnover are unknown. Fine roots differ from leaves in temperate ecosystems by having a growing season 40% longer, and by persisting over multiple growing seasons. Aspects of roots other than growth may vary seasonally, such as nutrient uptake, competition with microbes, or mycorrhizal hyphal production or activity. Minirhizotrons allow the investigation of root heterogeneity at very small scales (&lt;1 mm) that may be more relevant to fine roots and rhizospheres than data obtained fromlarger-scale soil sampling. Conclusions: Work in the near future promises amore complete picture of vegetation function by elucidating mechanisms within the bulk of vegetation, below ground. ? 2014 International Association for Vegetation Science.</t>
  </si>
  <si>
    <t>In this study we investigated the direct effects of temperature on the extra-radical mycelium (ERM) of arbuscular mycorrhizal fungi (AMF) and the resulting impact on the host plant nutrition and biomass production. Plantago lanceolata L. plants colonized by Glomus hoi (experiment 1) and either G.hoi or Glomus intraradices (experiment 2) were grown in compartmented microcosm units. AMF hyphae, but not roots, were permitted access to a second compartment containing a 15N:13C dual-labelled organic patch maintained at different temperature treatments. All plants were maintained at ambient temperature. AMF hyphal growth in the patch compartments was relatively insensitive to temperate but results were variable. G.hoi hyphal length density was 5 times higher at ambient (c. 24øC) than cooled (c. 11øC) temperatures but only at the end of the first experiment (105d after patch addition). In contrast, in the second experiment (86d after patch addition) AMF hyphal growth was unaffected by temperature in the patch compartment. These differences between experiments are likely due to large variation among replicates in the ERM produced and differences in how the organic patch was applied. In experiment 2, plant biomass and phosphate content differed according to the temperature at which the hyphae of both AMF species grew. Plant biomass was greater when the AMF were grown at c. 18øC than c. 11øC but was no different at c. 21øC. These data show that direct temperature responses by the external hyphae of AMF can independently influence associated host plant growth. However, there were also important differences between the two AMF studied both in the amount of nutrients transferred and the distribution of the nutrients. ? 2014 Elsevier Ltd.</t>
  </si>
  <si>
    <t>(1) While it is well-known that trees release carbon (C) to soils as root exudates, the factors that control the magnitude and biogeochemical impacts of this flux are poorly understood.(2) We quantified root exudation and microbially-mediated nutrient fluxes in the rhizosphere for four ~80 year-old tree species in a deciduous hardwood forest, Indiana, USA. We hypothesized that trees that exuded the most carbon (C) would induce the strongest rhizosphere effects (i.e., the relative difference in nutrient fluxes between rhizosphere and bulk soil). Further, we hypothesized that tree species that associate with ectomycorrhizal (ECM) fungi would exude more C than tree species that associate with arbuscular mycorrhizal (AM) fungi, resulting in a greater enhancement of nutrient cycling in ECM rhizospheres.(3) Mass-specific exudation rates and rhizosphere effects on C, N and P cycling were nearly two-fold greater for the two ECM tree species compared to the two AM tree species (P&lt;0.05). Moreover, across all species, exudation rates were positively correlated with multiple indices of nutrient cycling and organic matter decomposition in the rhizosphere (P&lt;0.05). Annually, we estimate that root exudation represents 2.5% of NPP in this forest, and that the exudate-induced changes in microbial N cycling may contribute ~18% of total net N mineralization.(4) Collectively, our results indicate that the effects of roots on nutrient cycling are consequential, particularly in forests where the C cost of mining nutrients from decomposing soil organic matter may be greatest (e.g., ECM-dominated stands). Further, our results suggest that small C fluxes from exudation may have disproportionate impacts on ecosystem N cycling in nutrient-limited forests. ? 2014 Elsevier Ltd.</t>
  </si>
  <si>
    <t>A pot experiment was conducted to investigate the effects of wheat (Triticum aestivum L.) straws and arbuscular mycorrhizal (AM) fungi on maize (Zea mays L.) growth and organic carbon (C) sequestration in a sterilized sandy loam soil. The experiment included three treatments: control, amendment with wheat straws (S), and amendment with wheat straws plus inoculation with AM fungus Glomus caledonium (S+M). Compared with the control, the amendment of wheat straws significantly (P&lt;0.05) increased soil alkaline phosphatase (ALP) activity in maize seedling period (30 d) and plant phosphorus (P)-uptake and shoot biomass at harvest time (110 d), and also tended to increase soil organic C content as well as produced low but demiurgic crop yield at harvest time. In wheat straw-amended soils, G. caledonium inoculation significantly (P&lt;0.05) decreased soil pH and significantly (P&lt;0.05) increased plant P-uptake as well as soil ALP activity in seedling period, and tended to increase shoot biomass and grain yield in seedling and harvest periods, respectively. Furthermore, G. caledonium inoculation tended to increase soil organic C content at harvest time, which was significantly (P&lt;0.05) higher than that of the control, suggesting potential application of AM fungi in facilitating crop production and C sequestration in straw-returned fields. ? 2014, AL™KI Kft., Budapest, Hungary.</t>
  </si>
  <si>
    <t>Tedersoo L., Harend H., Buegger F., Pritsch K., Saar I., K?ljalg U.</t>
  </si>
  <si>
    <t>Ectomycorrhizal symbiosis has evolved multiple times in plants and fungi, but the trophic status of certain fungal groups remains poorly understood due to their unculturability or ambiguous interpretation of biotrophic associations. Combining field observations, molecular identification of root tips, synthesis experiments and analysis of stable isotopes, we address the lifestyle of Tomentella crinalis and another species closely related to T. fibrosa that represents a sister group to the ectomycorrhizal genera Tomentella and Thelephora. Based on molecular analyses these two and other related species are moved to the genus Odontia. In Odontia species, ectomycorrhizal associations were not observed in nature or in various synthesis experiments. Although Odontia species normally fruit in old forests, Odontia ferruginea has also been identified from a deep belowground mine. Unlike saprotrophs, Odontia spp. and ectomycorrhizal fungi were not enriched in 13C compared with their woody fruiting substratum, suggesting that wood is not their major energy source. In contrast to ectomycorrhizal fungi, Odontia species and saprotrophs were not enriched in 15N relative to their substratum. Taken together, we suggest that Odontia spp. are non-mycorrhizal, but their nutrition differs from typical wood-rotting Basidiomycota. ? 2014 Elsevier Ltd and The British Mycological Society.</t>
  </si>
  <si>
    <t>Aims: This study analyzed the extent to which root exudates diffuse from the root surface towards the soil depending on topsoil and subsoil properties and the effect of arbuscular mycorrhizal fungal hyphae on root-derived C distribution in the rhizosphere. Methods: Alfalfa was grown in three-compartment pots. Nylon gauze prevented either roots alone or roots and arbuscular mycorrhizal fungal hyphae from penetrating into the rhizosphere compartments. 14CO2 pulse labeling enabled the measurement of 14C-labeled exudates in dissolved (DOC) and total organic carbon (TOC) in the rhizosphere, distributed either by diffusion alone or by diffusion, root hair and hyphal transport. Results: Root exudation and microbial decomposition of exudates was higher in the rhizosphere with topsoil compared to subsoil properties. Exudates extended over 28 mm (DOC) and 20 mm (TOC). Different soil properties and mycorrhization, likely caused by the low arbuscular mycorrhizal colonization of roots (13 ñ 4 % (topsoil properties) and 18 ñ 5 % (subsoil properties)), had no effect. Conclusions: Higher microbial decomposition compensated for higher root exudation into the rhizosphere with topsoil properties, which resulted in equal exudate extent when compared to the rhizosphere with subsoil properties. Higher 14C activity used for labeling compared with previous studies enabled the detection of low exudate concentrations at longer distances from the root surface. ? 2014 Springer International Publishing Switzerland.</t>
  </si>
  <si>
    <t>Mildner M., Bader M.K.-F., Leuzinger S., Siegwolf R.T.W., K”rner C.</t>
  </si>
  <si>
    <t>There is evidence of continued stimulation of foliage photosynthesis in trees exposed to elevated atmospheric CO2 concentrations; however, this is mostly without a proportional growth response. Consequently, we lack information on the fate of this extra carbon (C) acquired. By a steady application of a 13CO2 label in a free air CO2 enrichment (FACE) experiment, we traced the fate of C in 37-m-tall, ca. 110-year-old Picea abies trees in a natural forest in Switzerland. Hence, we are not reporting tree responses to elevated CO2 (which would require equally 13C labeled controls), but are providing insights into assimilate processing in such trees. Sunlit needles and branchlets grow almost exclusively from current assimilates, whereas shaded parts of the crowns also rely on stored C. Only 2.5 years after FACE initiation, tree rings contained 100 % new C. Stem-respiratory CO2 averaged 50 % of new C over the entire FACE period. Fine roots and mycorrhizal fungi contained 49-56 and 26-43 % new C, respectively, after 2.5 years. The isotopic signals in soil CO2 arrived 12 days after the onset of FACE, yet it contained only ca. 15 % new C thereafter. We conclude that new C first feeds into fast turnover C pools in the canopy and becomes increasingly mixed with older C sources as one moves away (downward) from the crown. We speculate that enhanced C turnover (its metabolic cost) along the phloem path, as evidenced by basipetal isotope signal depletion, explains part of the 'missing carbon' in trees that assimilated more C under elevated CO2. ? 2014 Springer-Verlag Berlin Heidelberg.</t>
  </si>
  <si>
    <t>Partially mycoheterotrophic (mixotrophic) plants gain carbon from both photosynthesis and their mycorrhizal fungi. This is considered an ancestral state in the evolution of full mycoheterotrophy, but little is known about this nutrition, and especially about the physiological balance between photosynthesis and fungal C gain. To investigate possible compensation between photosynthesis and mycoheterotrophy in the Mediterranean mixotrophic orchid Limodorum abortivum, fungal colonization was experimentally reduced in situ by fungicide treatment. We measured photosynthetic pigments of leaves, stems, and ovaries, as well as the stable C isotope compositions (a proxy for photosynthetic C gain) of seeds and the sizes of ovaries and seeds. We demonstrate that (1) in natural conditions, photosynthetic pigments are most concentrated in ovaries; (2) pigments and photosynthetic C increase in ovaries when fungal C supply is impaired, buffering C limitations and allowing the same development of ovaries and seeds as in natural conditions; and (3) responses to light of pigment and 13C contents in ovaries shift from null responses in natural conditions to responses typical of autotrophic plants in treated L. abortivum, demonstrating photoadaptation and enhanced use of light in the latter. L. abortivum thus preferentially feeds on fungi in natural conditions, but employs compensatory photosynthesis to buffer fungal C limitations and allow seed development. ? 2014 Springer-Verlag Berlin Heidelberg.</t>
  </si>
  <si>
    <t>Responses to chronic N fertilization of ectomycorrhizal pi¤on but not arbuscular mycorrhizal juniper in a pi¤on-juniper woodland,</t>
  </si>
  <si>
    <t>Responses of mature trees to chronic N additions are poorly understood in ecosystems with high seasonal and spatial variability. To determine the effects of increased N deposition on mature conifers, we fertilized a pi¤on-juniper woodland in New Mexico at a rate equivalent to the urban interface. Fertilization (10ÿgÿm?2ÿy?1) reduced numbers of mycorrhizae and increased leaf production in the ectomycorrhizal (EM) pi¤on but not in arbuscular mycorrhizal (AM) juniper. Based on N fractionation between EM fungal sporocarps and pi¤on, EM in pi¤on utilized 20% of the net primary production in control plots. No sporocarps were produced in fertilized plots. N uptake by pi¤on could be accounted for by fertilization without mycorrhizae. Leaf N and size increased with fertilization in both species, and positively correlated with leaf ë13C. Leaf N:P increased in pi¤on but not juniper. Pi¤on mortality commenced in the N-fertilized plots in 2001, a year before the widespread die-off in western conifers, and continued through 2003. No mortality was observed in control plots or in junipers. The coupling of N enrichment and mycorrhizal decline could affect pi¤on production and mortality in semi-arid woodlands in the western US.</t>
  </si>
  <si>
    <t>Drought; Juniper; Mortality; Mycorrhiza; Nitrogen; Pi¤on pine</t>
  </si>
  <si>
    <t>Soils contain a large global pool of carbon. Mycorrhizal fungi comprise a large fraction of that pool but are highly dynamic. We utilized an in situ soil observatory to study fungal dynamics of a California mixed-forest ectomycorrhizal fungal (EMF) ecosystem. Across 2011, we observed fungal hyphae daily using an automated minirhizotron. Simultaneously, we made continuous temperature, precipitation, photosynthetically active radiation (PAR) and sap flow measurements. From the hyphal observations, we estimated hyphal net primary production. We then estimated total net primary production (NPP) and root NPP using DayCENT, an ecosystem model of carbon exchange parameterized for daily to annual output, for the calendar year 2011. Total NPP was 600 g C m-2 with 200 g C m-2 fine roots. The estimated NPP allocated to EMF was 162.6 g C m-2 or 27 % of the total NPP. The proportion of the total NPP allocated to EMF based on the Hobbie and Hobbie (2006) N fractionation model, was 34 %. These differing techniques provided similar estimates that can be refined with additional research and can be used to improve regional and global models of C dynamics. ?We utilized an in situ soil observatory to study ectomycorrhizal fungal (EMF) production for a mixed-confer ecosystem.?Observatory EMF production was compared with net production (NPP) and root production using DayCENT.?Total NPP for 2011 was 600 g C m-2 with 200 g C m-2 fine roots. EMF production was 162.6 g C m-2 or 27 % of the total NPP.?EMF production was also calculated from isotopic fraction and estimated at 34 % of NPP.?These differing techniques provided similar estimates that can improve regional and global models of C dynamics. ? 2014 The Authors.</t>
  </si>
  <si>
    <t>Rising atmospheric CO2ÿlevels are predicted to have major consequences on carbon cycling and the functioning of terrestrial ecosystems. Increased photosynthetic activity is expected, especially for C-3 plants, thereby influencing vegetation dynamics; however, little is known about the path of fixed carbon into soil-borne communities and resulting feedbacks on ecosystem function. Here, we examine how arbuscular mycorrhizal fungi (AMF) act as a major conduit in the transfer of carbon between plants and soil and how elevated atmospheric CO2ÿmodulates the belowground translocation pathway of plant-fixed carbon. Shifts in active AMF species under elevated atmospheric CO2ÿconditions are coupled to changes within active rhizosphere bacterial and fungal communities. Thus, as opposed to simply increasing the activity of soil-borne microbes through enhanced rhizodeposition, elevated atmospheric CO2ÿclearly evokes the emergence of distinct opportunistic plant-associated microbial communities. Analyses involving RNA-based stable isotope probing, neutral/phosphate lipid fatty acids stable isotope probing, community fingerprinting, and real-time PCR allowed us to trace plant-fixed carbon to the affected soil-borne microorganisms. Based on our data, we present a conceptual model in which plant-assimilated carbon is rapidly transferred to AMF, followed by a slower release from AMF to the bacterial and fungal populations well-adapted to the prevailing (myco-)rhizosphere conditions. This model provides a general framework for reappraising carbon-flow paths in soils, facilitating predictions of future interactions between rising atmospheric CO2ÿconcentrations and terrestrial ecosystems.</t>
  </si>
  <si>
    <t>B”deker I.T.M., Clemmensen K.E., de Boer W., Martin F., Olson A., Lindahl B.D.</t>
  </si>
  <si>
    <t>Summary: In northern forests, belowground sequestration of nitrogen (N) in complex organic pools restricts nutrient availability to plants. Oxidative extracellular enzymes produced by ectomycorrhizal fungi may aid plant N acquisition by providing access to N in macromolecular complexes. We test the hypotheses that ectomycorrhizal Cortinarius species produce Mn-dependent peroxidases, and that the activity of these enzymes declines at elevated concentrations of inorganic N. In a boreal pine forest and a sub-arctic birch forest, Cortinarius DNA was assessed by 454-sequencing of ITS amplicons and related to Mn-peroxidase activity in humus samples with- and without previous N amendment. Transcription of Cortinarius Mn-peroxidase genes was investigated in field samples. Phylogenetic analyses of Cortinarius peroxidase amplicons and genome sequences were performed. We found a significant co-localization of high peroxidase activity and DNA from Cortinarius species. Peroxidase activity was reduced by high ammonium concentrations. Amplification of mRNA sequences indicated transcription of Cortinarius Mn-peroxidase genes under field conditions. The Cortinarius glaucopus genome encodes 11 peroxidases - a number comparable to many white-rot wood decomposers. These results support the hypothesis that some ectomycorrhizal fungi - Cortinarius species in particular - may play an important role in decomposition of complex organic matter, linked to their mobilization of organically bound N. ? 2014 New Phytologist Trust.</t>
  </si>
  <si>
    <t>Soil food webs play an important role in forest ecosystem functions that may be sensitive to global environmental change. We traced a pulse of 13C from the root systems of young sugar maple stands through the soil food web to explore energy flow from roots to soil heterotrophs. Invasive earthworms (Lumbricidae) were the most highly-enriched taxa sampled, indicating that they were consuming significant quantities of live fine roots and mycorrhizae and assimilating significant amounts of root-derived C. Another invasive invertebrate, a weevil (Barypeithes pellucidus) also appeared to consume significant amounts of roots or root-derived C. High isotope enrichment in ants (Formicidae) may reflect their feeding on phloem-sucking coccids in soil. All the predators collected from the litter layer also exhibited high isotope enrichment, including the salamander Plethodon cinereus. Moreover, in the absence of invasive earthworms all the taxa of animals collected from surface soil were similarly highly-enriched in root-derived isotopes. The apparent importance of the root channel in supplying energy to the soil food web suggests that forest ecosystem functions could be highly sensitive to global changes that alter proportional tree C allocation belowground. ? 2014 Elsevier Ltd.</t>
  </si>
  <si>
    <t>Summary: Identification of microbes that actively utilize root exudates is essential to understand plant-microbe interactions. To identify active root exudate-utilizing microorganisms associated with switchgrass - a potential bioenergy crop - plants were labelled in situ with 13CO2, and 16S and 18S rRNA genes in the 13C-labelled rhizosphere DNA were pyrosequenced. Multi-pulse labelling for 5 days produced detectable 13C-DNA, which was well separated from unlabelled DNA. Methylibium from the order Burkholderiales were the most heavily labelled bacteria. Pythium, Auricularia and Galerina were the most heavily labelled eukaryotic microbes. We also identified a Glomus intraradices-like species; Glomus members are arbuscular mycorrhizal fungi that are able to colonize the switchgrass root. All of these heavily labelled microorganisms were also among the most abundant species in the rhizosphere. Species belonging to Methylibium and Pythium were the most heavily labelled and the most abundant bacteria and eukaryotes in the rhizosphere of switchgrass. Our results revealed that nearly all of the dominant rhizosphere bacterial and eukaryotic microbes were able to utilize root exudates. The enrichment of microbial species in the rhizosphere is selective and mostly due to root exudation, which functions as a nutrition source, promoting the growth of these microbes. ? 2014 Society for Applied Microbiology and John Wiley &amp;amp; Sons Ltd.</t>
  </si>
  <si>
    <t>The site-specific contribution of bacterial and especially fungal residues to a tillage-induced C sequestration is largely unknown, although microbial residues contribute a significant percentage to the soil organic C (SOC) pool. In the current study, the co-accumulation of microbial residues and organic matter was investigated in a mature, 15-year-old on-farm tillage experiment (mouldboard plough (MBT), grubber (GRT), no tillage (NT)) on four different arable silt-loam sites in central and southern Germany at 0 to 40 cm soil depth. The GRT and NT treatments increased the stocks of SOC (+7 %) and microbial biomass C (+20 %) in comparison with the MBT treatment. The differences between the GRT and NT were small, but there were more positive effects for the GRT treatment in most cases. Our results indicate significant tillage effects in loess-derived silt loams suitable for rain-fed sugar beet production, although strong site-specific differences occurred for most of the soil chemical and microbiological properties analysed. In the GRT and NT treatments, the increased stocks of SOC were not caused by the preferential accumulation of fungal residues at 0-5 cm depth, whereas ergosterol-free biotrophic arbuscular mycorrhizal fungi (AMF) was promoted at the expense of saprotrophic fungi at 30-40 cm depth. Our results suggest that the relationship between saprotrophic fungi and AMF is an important factor for tillage-induced changes in microbial turnover of SOC. ? 2013 Springer-Verlag Berlin Heidelberg.</t>
  </si>
  <si>
    <t>Summary: The objective of this study was to elucidate the transfer of nutrient elements in orchid symbiotic protocorms at the cellular level by imaging of stable isotope tracers. We address the long-standing question of whether nutrients move by transport across the symbiotic interface or solely by lysis of fungal pelotons. [U-13C]glucose and 15NH415NO3 were added to Ceratobasidium sp. hyphae extending from symbiotic protocorms of Spiranthes sinensis. Isotope images were taken from resin-embedded sections of protocorms using ultra-high spatial resolution secondary ion mass spectrometry (SIMS). Analyses of regions of interest were conducted on isotope ratio images for fungal and host structures. Amyloplasts adjacent to young pelotons showed elevated 13C/12C, which indicated that fungal carbon (C) was transferred from live hyphae. Senescent pelotons and their surrounding host cytoplasm showed significantly higher isotope ratios than young pelotons and surrounding host cytoplasm. These results indicate an inflow of C to senescent hyphae, which was then transferred to the host. The findings of this study provide some support for each of the two contradictory hypotheses concerning nutrient exchange in the symbiotic protocorm: the interface between the symbionts is involved before fungal senescence, and peloton degradation also releases a significant amount of C and nitrogen to host cells. ? 2014 New Phytologist Trust.</t>
  </si>
  <si>
    <t>St”ckel M., T??itelov  T., Jers kov  J., Bidartondo M.I., Gebauer G.</t>
  </si>
  <si>
    <t>Summary: For germination and establishment, orchids depend on carbon (C) and nutrients supplied by mycorrhizal fungi. As adults, the majority of orchids then appear to become autotrophic. To compare the proportional C and nitrogen (N) gain from fungi in mycoheterotrophic seedlings and in adults, here we examined in the field C and N stable isotope compositions in seedlings and adults of orchids associated with ectomycorrhizal and saprotrophic fungi. Using a new highly sensitive approach, we measured the isotope compositions of seedlings and adults of four orchid species belonging to different functional groups: fully and partially mycoheterotrophic orchids associated with narrow or broad sets of ectomycorrhizal fungi, and two adult putatively autotrophic orchids associated exclusively with saprotrophic fungi. Seedlings of orchids associated with ectomycorrhizal fungi were enriched in 13C and 15N similarly to fully mycoheterotrophic adults. Seedlings of saprotroph-associated orchids were also enriched in 13C and 15N, but unexpectedly their enrichment was significantly lower, making them hardly distinguishable from their respective adult stages and neighbouring autotrophic plants. We conclude that partial mycoheterotrophy among saprotroph-associated orchids cannot be identified unequivocally based on C and N isotope compositions alone. Thus, partial mycoheterotrophy may be much more widely distributed among orchids than hitherto assumed. ? 2014 New Phytologist Trust.</t>
  </si>
  <si>
    <t>Staddon P.L., Reinsch S., Olsson P.A., Ambus P., Lscher A., Jakobsen I.</t>
  </si>
  <si>
    <t>The response of the soil carbon cycle to increasing atmospheric CO2 concentration has far reaching consequences for the ecosystem carbon balance under future climatic conditions. We report on work carried out in the Swiss free-air CO2 enrichment (FACE) experiment, where we used in situ 13CO2 labelling to determine whether elevated CO2 (+230 ?L L-1) concentration changes the fate of recently assimilated carbon in the soil microbial community. Elevated CO2 (eCO2) concentration had an overall positive effect on microbial abundance (P &amp;lt; 0ú001) with the gram-negative bacteria showing significantly increased quantities. Gram-negative bacteria and saprotrophic fungi tended to utilize a higher amount of recently assimilated carbon under eCO2. Arbuscular mycorrhizal fungi (AMF) utilized plant-assimilated carbon within 1 day after the 13CO2 pulse and 13C uptake patterns in AMF suggest that carbon transfer is faster under eCO2 concentration than under ambient CO2 (aCO2). Additionally, the respiration of recently assimilated carbon was significantly higher under eCO2 than aCO2 concentration. Our data suggest that elevated atmospheric CO2 concentration accelerated and increased the utilization of recently assimilated carbon by the microbial community without changing the microbial community composition drastically. We conclude that a higher standing soil microbial biomass under eCO2 concentration was the key cause for the higher carbon flow through the plant-soil system. Carbon utilization by microbial functional groups was only little affected by a decade of CO2 enrichment. ? 2013 The Authors. Functional Ecology ? 2013 British Ecological Society.</t>
  </si>
  <si>
    <t>Calonne M., Fontaine J., Debiane D., Laruelle F., Grandmougin-Ferjani A., LounŠs-Hadj Sahraoui A.</t>
  </si>
  <si>
    <t>The phytoremediation assisted by arbuscular mycorrhizal fungi (AMF) could constitute an ecological and economic method to restore polycyclic aromatic hydrocarbon (PAH) polluted soils. Unfortunately, little is known about the PAH impact on the beneficial symbiotic AMF. Using radiolabelling experiments, our work aims to understand how benzo[a]pyrene (B[a]P), a representative of high molecular weight PAH, acts on the AMF lipid metabolism. Our results showed decreases in the sterol precursors as well as in total phospholipid quantities, in link with the [1-14C]acetate incorporation decreases in these lipids. Interestingly, a concomitant increase of [1-14C]acetate incorporation by 29.5% into phosphatidylcholine with its content decrease in Rhizophagus irregularis extraradical mycelium was observed, suggesting a membrane regeneration. A second concomitant increase (estimated to 69%) of [1-14C]acetate incorporation into triacylglycerols (TAG) with the content decrease was also observed. This suggests a fungal TAG biosynthesis activation probably to offset the decrease in storage lipid content when the fungus was grown under B[a]P pollution. In addition, our findings showed that lipase activity was induced by more than 3 fold in the presence of B[a]P in comparison to the control indicating that the drop in TAG content could be a consequence of their active degradation. Taken together, our data suggest the involvement of the fungal TAG metabolism to cope B[a]P toxicity through two means: (i) by providing carbon skeletons and energy necessary for membrane regeneration and/or for B[a]P translocation and degradation as well as (ii) by activating the phosphatidic acid and hexose metabolisms which may be involved in cellular stress defence. ? 2013 Elsevier Ltd. All rights reserved.</t>
  </si>
  <si>
    <t>Tataw J.T., Hall R., Ziss E., Schwarz T., Von Hohberg Und Buchwald C., Formayer H., H”sch J., Baumgarten A., Berthold H., Michel K., Zaller J.G.</t>
  </si>
  <si>
    <t>Climate change scenarios for central Europe predict fewer but heavier rains during the vegetation period without substantial changes in the total amount of annual rainfall. To investigate the impact of rainfall patterns derived from regionalised IPCC scenarios on agroecosystems in Austria, we conducted an experiment using 3 m2 lysimeters where prognosticated (progn.) rainfall patterns were compared with long-term current rainfall patterns on three agriculturally important soil types (sandy calcaric phaeozem, gleyic phaeozem and calcic chernozem). Lysimeters were cultivated with field peas (Pisum sativum) according to good farming practice. Prognosticated rainfall patterns decreased crop cover, net primary production (NPP) and crop yields, but increased root production and tended to decrease mycorrhization. Soil types affected the NPP, crop density and yields, weed biomass and composition, as well as the root production with lowest values commonly found in sandy soils, while other soil types showed almost similar effects. Significant interactions between rainfall patterns and soil types were observed for the harvest index (ratio crop yield versus straw), yield per crop plant, weed density and weed community composition. Abundance of the insect pest pea moth (Cydia nigricana) tended to be higher under progn. rainfall, but was unaffected by soil types. These results show that (a) future rainfall patterns will substantially affect various agroecosystem processes and crop production in the studied region, and (b) the influence of different soil types in altering ecosystem responses to climate change should be considered when attempting to scale-up experimental results derived at the plot level to the landscape level. ? 2013 The Authors.</t>
  </si>
  <si>
    <t>Ka?ucka I., Jagodzi?ski A.M.</t>
  </si>
  <si>
    <t>Ectomycorrhizal fungi and carbon dynamics in forest ecosystems [Grzyby ektomykoryzowe w obiegu w?gla w ekosystemach le?nych]</t>
  </si>
  <si>
    <t>This book's primary content explores plantation and non-plantation biodiversity values, mushrooms and woodlands, the roles of arbuscular mycorrhizal in tropical forestry and agro-forestry, the impacts on the abundance and diversity of soil legume-nodulating rhizobia and arbuscular mycorrhizal fungal communities in semiarid regional plantations. The book also investigates carbon biosequestration and bioenergy options of plantations, lessons from plantation forestry carbon sequestration, and carbon sequestration in agro forestry-block plantations or mangrove plantations. The book includes targeted chapters on forest restoration and management of plantations for restoring degraded landscapes, alluvial-gold-mining soil reclamation using Acacia mangium plantations, effects of forest practices on wild populations of Testudo hermanni, effects of incorporation of native species biomass in an acidic andisol to control water contamination from plant residues, and ecohydrology of Amazonian rain forest ecosystems. The international list of authors were carefully selected, and through a rigorous peer review process, this edited book aims to fill some of the information gaps in vegetation restoration and nutrient mobilization, particularly in under researched plantation ecosystems around the world. Our intended audience includes planners of projects to restore and manage forests or plantations; practitioners who implement those plans; forest resource managers who oversee the sites; forestry consultants; tree farms; environmental authorities; conservationists and students of forestry. We also hope that researchers and the public can find valued information for their future use and efforts. We hope that our work can bring scientists and policy-makers together to envision a sustainable future for woodlands' health and productivity management. ? 2013 by Nova Science Publishers, Inc. All rights reserved.</t>
  </si>
  <si>
    <t>For many ecosystems, one of the primary avenues of climate impact may be through changes to foundation species, which create habitats and sustain ecosystem services. For plants, microbial symbionts can often act as mutualists under abiotic stress and may mediate foundational plant responses to climate change. We manipulated the presence of endophytes in Ammophila breviligulata, a foundational sand dune species, to evaluate their potential to influence plant responses to climate change. We simulated projected climate change scenarios for temperature and precipitation using a growth chamber experiment. A 5 øC increase in temperature relative to current climate in northern Michigan reduced A. breviligulata survival by 45 %. Root biomass of A. breviligulata, which is critical to dune stabilization, was also strongly reduced by temperature. Plants inoculated with the endophyte had 14 % higher survival than endophyte-free plants. Contrary to our prediction, endophyte symbiosis did not alter the magnitude or direction of the effects of climate manipulations on A. breviligulata survival. However, in the absence of the endophyte, an increase in temperature increased the number of sand grains bound by roots by 80 %, while in symbiotic plants sand adherence did not significantly respond to temperature. Thus, plant-endophyte symbiosis actually negated the benefits in ecosystem function gained under a warmer climate. This study suggests that heat stress related to climate change in the Great Lakes may compromise the ability of A. breviligulata to stabilize dune ecosystems and reduce carbon storage and organic matter build-up in these early-successional systems due to reduced plant survival and root growth. ? 2013 Springer-Verlag Berlin Heidelberg.</t>
  </si>
  <si>
    <t>Albarrac¡n M.V., Six J., Houlton B.Z., Bledsoe C.S.</t>
  </si>
  <si>
    <t>Ectomycorrhizal (EM) fungi form relationships with higher plants; plants transfer C to fungi, and fungi transfer nutrients to their host. While evidence indicates that this interaction is largely mutualistic, less is known about how nutrient supply and EM associates may alter C and nutrient exchanges, especially in intact plant-soil-microbe systems in the field. In a dual-labeling experiment with N fertilization, we used C and N stable isotopes to examine in situ transfers in EM pine trees in a Pinus sabiniana woodland in northern California. We added 15NH4SO2 and 13CO2 to track 13C transfer from pine needles to EM roots and 15N transfer from soil to EM roots and pine needles. Transfers of 13C and 15N differed with EM morphotype and with N fertilization. The brown morphotype received the least C per unit of N transferred (5:1); in contrast red and gold morphotypes gained more C and transferred less N (17:1 and 25:1, respectively). N fertilization increased N retention by ectomycorrhizas (EMs) but did not increase N transfer from EMs to pine needles. Therefore N fertilization positively affected both nutrient and C gains by EMs, increasing net C flows and N retention in EMs. Our work on intact and native trees/EM associations thereby extends earlier conclusions based on pot studies with young plants and culturable EM fungi; our results support the concept that EM-host relationships depend on species-level differences as well as responses to soil resources such as N. ? 2013 Springer-Verlag Berlin Heidelberg.</t>
  </si>
  <si>
    <t>With the rising levels of atmospheric carbon dioxide (CO2) threatening to alter global climate, carbon sequestration in plants has been proposed as a possible moderator or solution to the problem. This chapter examines the different mechanisms through which carbon sequestration can take place within the Earth's natural carbon cycle with special focus on events surrounding plant development. Unfortunately, endeavors that have purposefully and successfully altered plant traits to improve carbon sequestration are currently quite few. Consequently, we delve deeply into the specific biological processes that allow plants to capture, allocate, and store CO2 long term in the form of both above-ground and below-ground biomass. Distinctions are made between the differing molecular mechanisms of C3, C4, and CAM plants, and we point out the importance of mycorrhizal and other soil community level interactions as an important reminder that healthy soils are required for the uptake of nutrients needed for efficient carbon sequestration. We suggest that, due the complexity of the biological interactions, modeling approaches designed to network multiple types of data input may provide the best means for generating more useful hypotheses that can target specific traits for improved carbon sequestration. ? Springer-Verlag Berlin Heidelberg 2013. All rights are reserved.</t>
  </si>
  <si>
    <t>Summary: Arbuscular mycorrhizal (AM) fungi are the most abundant plant symbiont and a major pathway of carbon sequestration in soils. However, their basic biology, including their activity throughout a 24-h day: night cycle, remains unknown. We employed the in situ Soil Ecosystem Observatory to quantify the rates of diurnal growth, dieback and net productivity of extra-radical AM fungi. AM fungal hyphae showed significantly different rates of growth and dieback over a period of 24 h and paralleled the circadian-driven photosynthetic oscillations observed in plants. The greatest rates (and incidences) of growth and dieback occurred between noon and 18:00 h. Growth and dieback events often occurred simultaneously and were tightly coupled with soil temperature and moisture, suggesting a rapid acclimation of the external phase of AM fungi to the immediate environment. Changes in the environmental conditions and variability of the mycorrhizosphere may alter the diurnal patterns of productivity of AM fungi, thereby modifying soil carbon sequestration, nutrient cycling and host plant success. ? 2013 New Phytologist Trust.</t>
  </si>
  <si>
    <t>Roots of most terrestrial plants interact with arbuscular mycorrhizal (AM) fungi and soil protozoa with each individually increasing nitrogen (N) supply to plants and plant growth. We investigated if AM fungi and protozoa interactively affect plant N acquisition and growth. We used stable isotopes (15N, 13C) to assess plant N uptake, C fixation and C partitioning. Shifts in the microbial community structure were evaluated by analysing phospholipid fatty acids. Protozoa and AM fungi enhanced plant N uptake. Protozoa mobilized N from bacterial biomass and AM fungi increased the translocation of the mobilized N to the host plant; if both were present, plant biomass, C fixation and C allocation to roots increased twofold. Protozoa alone and in the presence of AM fungi altered microbial activity and community structure in the rhizosphere. The results indicate that plant N uptake via mycorrhizal symbiosis strongly benefits from the presence of protozoa. ? 2013 Elsevier Ltd.</t>
  </si>
  <si>
    <t>Background: Mycorrhizal associations play a key role in the life cycle and evolutionary history of orchids. All orchids grow from extremely small seeds that are lacking in reserves, and germination and growth into an underground heterotrophic, achlorophyllous stage depend upon symbiotic fungi to provide nutrient. However, the nutritional physiology between this symbiosis and green-leaved orchids is still unclear. To understand further how these associations affect growth and carbon utilization of green orchids, the green orchids were inoculated with two symbiotic fungi isolated from the roots of a wild orchid (Dendrobium officinale) in vitro and 13C stable isotope signature experiments were designed to analyze carbon nutrition acquisition. Results: After two months, both fungi had formed mycorrhizal associations with the host roots. Moreover, the growth rate was more rapid for the mycorrhizal seedlings than for the non-mycorrhizal seedlings. The mycorrhizal seedlings not only absorbed more 13C from the substrate, but also the S3-mycorrhizal seedlings assimilated more atmospheric 13CO2 due to significantly higher effective quantum yield of photosystem II, compared with the nonmycorrhizal seedlings. These results suggested that the green orchids could receive more C nutrition from the substrate due to symbiotic fungi, and photosynthesis capacity of the green D. officinale could be enhanced by the S3 fungus, therefore carbon nutrition acquisition also increased. As a result, the S1-and S3-mycorrhizal seedlings showed markedly higher biomass and polysaccharides contents than the non-mycorrhizal seedlings. Conclusions: These results improve our understanding of the mycorrhizal functioning in the green Dendrobium and show some potential application in the cultivation of D. officinale. ? 2013 Wang et al.; licensee Springer.</t>
  </si>
  <si>
    <t>Background and Aim: Climate change models are limited by lack of baseline data, in particular carbon (C) allocation to - and dynamics within - soil microbial communities. We quantified seasonal C-assimilation and allocation by plants, and assessed how well this corresponds with intraradical arbuscular mycorrhizal fungal (AMF) storage and structural lipids (16:1?5 NLFA and PLFA, respectively), as well as microscopic assessments of AMF root colonization. Methods: Coastal Hypochoeris radicata plants were labeled with 13CO2 in February, July and October, and 13C-allocation to fine roots and NLFA 16:1?5, as well as overall lipid contents and AM colonization were quantified. Results: C-allocation to fine roots and AMF storage lipids differed seasonally and mirrored plant C-assimilation, whereas AMF structural lipids and AM colonization showed no seasonal variation, and root colonization exceeded 80 % throughout the year. Molecular analyzes of the large subunit rDNA gene indicated no seasonal AMF community shifts. Conclusions: Plants allocated C to AMF even at temperatures close to freezing, and fungal structures persisted in roots during times of low C-allocation. The lack of seasonal differences in PLFA and AM colonization indicates that NLFA analyses should be used to estimate fungal C-status. The implication of our findings for AM function is discussed. ? 2012 Springer Science+Business Media Dordrecht.</t>
  </si>
  <si>
    <t>Zhang S., Li Q., L Y., Zhang X., Liang W.</t>
  </si>
  <si>
    <t>It is increasingly believed that substantial soil organic carbon (SOC) can be sequestered in conservation tillage system by manipulating the functional groups of soil biota. Soil aggregates of different size provide diverse microhabitats for soil biota and consequently influence C sequestration. Our objective was to evaluate the contributions of soil biota induced by tillage systems to C sequestration among different aggregate size fractions. Soil microbial and nematode communities were examined within four aggregatefractions: large macroaggregates (&gt;2mm), macroaggregates (2-1mm), small macroaggregates (1-0.25mm) and microaggregates (&lt;0.25mm) isolated from three tillage systems: no tillage (NT), ridge tillage (RT) and conventional tillage (CT) in Northeast China. Soil microbial and nematode communities varied across both tillage systems and aggregate fractions. The activity and abundance of microbes and nematodes were generally higher under NT and RT than under CT. Among the four aggregate fractions, soil microbial biomass and diversity were higher in microaggregates, while soil nematode abundance and diversity were higher in large macroaggregates. Structural equation modelling (SEM) revealed that the linkage between microbial and nematode communities and their contributions to soil C accumulation in &gt;1mm aggregate fractions were different from those in &lt;1mm aggregate fractions. Higher abundance of arbuscular mycorrhizal fungi (AMF) could enhance C retention within &gt;1mm aggregates, while more gram-positive bacteria and plant-parasitic nematodes might increase C accumulation within &lt;1mm aggregates. Our findings suggested that the increase in microbial biomass and nematode abundance and the alteration in their community composition at the micro-niche within aggregates could contribute to the higher C sequestration in conservation tillage systems (NT and RT). ? 2013 Elsevier Ltd.</t>
  </si>
  <si>
    <t>We labeled tree saplings of beech and ash with 15N and 13C in a greenhouse. Carbon (C) was applied as 13CO2 to plants and nitrogen (N) was added as 15NH415NO3 to the soil. We hypothesized that C will be transferred from plants to the rhizosphere, subsequently in beech to ectomycorrhiza (EM), in ash to arbuscular mycorrhiza (AM) and finally to soil animals. We expected the C signal to be more effectively transferred to soil animals in EM as compared to AM systems since EM forms more extensive extramatrical mycelia as compared to AM. For 15N we hypothesized that it will be taken up by both saprotrophic microorganisms and mycorrhizal fungi and then channeled to soil animals. After five month, ë13C and ë15N signatures of soil animals, EM and fine roots of beech and ash were measured. Litter and soil were hardly enriched in 15N whereas fine roots of beech and ash were highly enriched suggesting that nitrogen in 15NH415NO3 was predominantly taken up by plants and mycorrhizal fungi but little by saprotrophic microorganisms. Roots of beech and ash were highly enriched in 13C with maximum values in EM proving that 13C was translocated into roots and mycorrhizal fungi. Soil animals were a priori assigned to primary decomposers, secondary decomposers and predators. Generally, signatures of soil animals did not significantly vary between beech and ash and therefore were pooled. Primary decomposers had low ë13C and ë15N signatures similar to litter and soil confirming that rhizosphere C and microbial N are of limited importance for primary decomposer taxa. ë13C and ë15N signatures of secondary decomposers were higher than those of primary decomposers and spanned a large gradient indicating that certain secondary decomposers rely on root derived C and microbial N, however, none of the secondary decomposers had signatures pointing to exclusive feeding on EM. Unexpectedly, ë13C and ë15N signatures were highest in predators suggesting that they heavily preyed on secondary decomposer species such as the litter dwelling Collembola species Lepidocyrtus cyaneus and species not captured by the heat extraction procedure used for capturing prey taxa, presumably predominantly root associated nematodes. Overall, the results highlight that in particular higher trophic levels rely on carbon originating from other resources than litter with these resources channeled to dominant predators via litter dwelling Collembola species. ? 2013 Elsevier Ltd.</t>
  </si>
  <si>
    <t>1-{4-[(2-hydroxy-benzylidene)amino]phenyl}ethanone functionalized silica gel was synthesized and used as a highly efficient, selective and reusable solid phase extractant for separation and preconcentration of trace amount of Zn(II) from environmental matrices. The adsorbent was characterized by fourier transform infrared spectroscopy (FT-IR), elemental analysis,13C CPMAS NMR spectroscopy, scanning electron microscopy (SEM), thermogravimetric analysis (TGA) and BET surface area analysis. The dependence of zinc extraction on various analytical parameters such as pH, type and amount of eluent, sample flow rate and interfering ions were investigated in detail. The material exhibited superior adsorption efficiency for Zn(II) with high metal loading capacity of 1.0 mmol/g under optimum conditions. After adsorption, the recovery (&amp;gt; 98%) of metal ions was accomplished using 1.0 mol/L HNO3 as an eluent. The sorbent was also regenerated by microwave treatment in milder acidic environment (0.1 mol/L HNO3). The lower detection limit and preconcentration factor of the present method were found out to be 0.04 ?g/L and 312.5 respectively. The modified silica surface possessed excellent selectivity for the target analytes and the adsorption/desorption process remained effective for at least ten consecutive cycles. The optimized procedure was successfully implemented for the extraction of Zn(II) from mycorrhizal treated fly ash and pharmaceutical samples with reproducible results. ? 2013 The Research Centre for Eco-Environmental Sciences, Chinese Academy of Sciences.</t>
  </si>
  <si>
    <t>Arbuscular mycorrhizal fungi (AMF) perform an important ecosystem service by improving plant nutrient capture from soil, yet little is known about how AMF influence soil microbial communities during nutrient uptake. We tested whether an AMF modifies the soil microbial community and nitrogen cycling during litter decomposition. A two-chamber microcosm system was employed to create a root-free soil environment to control AMF access to 13C- and 15N-labelled root litter. Using a 16S rRNA gene microarray, we documented that approximately 10% of the bacterial community responded to the AMF, Glomus hoi. Taxa from the Firmicutes responded positively to AMF, while taxa from the Actinobacteria and Comamonadaceae responded negatively to AMF. Phylogenetic analyses indicate that AMF may influence bacterial community assembly processes. Using nanometre-scale secondary ion mass spectrometry (NanoSIMS) we visualized the location of AMF-transported 13C and 15N in plant roots. Bulk isotope ratio mass spectrometry revealed that the AMF exported 4.9% of the litter 15N to the host plant (Plantago lanceolataL.), and litter-derived 15N was preferentially exported relative to litter-derived 13C. Our results suggest that the AMF primarily took up N in the inorganic form, and N export is one mechanism by which AMF could modify the soil microbial community and decomposition processes. ? 2013 Society for Applied Microbiology and Blackwell Publishing Ltd.</t>
  </si>
  <si>
    <t>Glomalin is abundant in soils and is closely correlated with aggregate water stability. Glomalin contains carbon and, hence, constitutes a non-trivial portion of the terrestrial carbon pool. Possibly far more importantly, however, stabilization of aggregates amplifies the role of glomalin in soils because carbonaceous compounds are protected from degradation inside of aggregates. Increased atmospheric CO2 can lead to increased production of glomalin because of the symbiotic association that exists between plants and producers of glomalin, arbuscular mycorrhizal fungi (AMF). Glomalin concentrations in soils are influenced by management practices, for example, in agroecosystems, further highlighting the role of this protein in carbon storage. Glomalin is an unusual molecule that has proven difficult to analyze biochemically due to its recalcitrance and complexity. Future research will be directed towards the elucidation of its structure and controls on its production. ? 2012 Springer-Verlag.</t>
  </si>
  <si>
    <t>Le Tacon F., Zeller B., Plain C., Hossann C., Br‚chet C., Robin C.</t>
  </si>
  <si>
    <t>Truffles ascocarps need carbon to grow, but it is not known whether this carbon comes directly from the tree (heterotrophy) or from soil organic matter (saprotrophy). The objective of this work was to investigate the heterotrophic side of the ascocarp nutrition by assessing the allocation of carbon by the host to Tuber melanosporum mycorrhizas and ascocarps. In 2010, a single hazel tree selected for its high truffle (Tuber melanosporum) production and situated in the west part of the Vosges, France, was labeled with 13CO2. The transfer of 13C from the leaves to the fine roots and T. melanosporum mycorrhizas was very slow compared with the results found in the literature for herbaceous plants or other tree species. The fine roots primarily acted as a carbon conduit; they accumulated little 13C and transferred it slowly to the mycorrhizas. The mycorrhizas first formed a carbon sink and accumulated 13C prior to ascocarp development. Then, the mycorrhizas transferred 13C to the ascocarps to provide constitutive carbon (1.7 mg of 13C per day). The ascocarps accumulated host carbon until reaching complete maturity, 200 days after the first labeling and 150 days after the second labeling event. This role of the Tuber ascocarps as a carbon sink occurred several months after the end of carbon assimilation by the host and at low temperature. This finding suggests that carbon allocated to the ascocarps during winter was provided by reserve compounds stored in the wood and hydrolyzed during a period of frost. Almost all of the constitutive carbon allocated to the truffles (1% of the total carbon assimilated by the tree during the growing season) came from the host. ? 2013 Le Tacon et al.</t>
  </si>
  <si>
    <t>Davinic M., Moore-Kucera J., Acosta-Mart¡nez V., Zak J., Allen V.</t>
  </si>
  <si>
    <t>Integrated crop and livestock (ICL) agroecosystems are characterized by a mixture of perennial or annual vegetation grazed by livestock and annual harvested crops. Compared to annual crops, ICLs hold the potential to enhance soil organic matter (OM) inputs, carbon sequestration, nutrient cycling, and water conservation. Soil fungi play an essential role in the transformation of OM and nutrients and soil structure stabilization; however their specific role in OM transformations in ICL agroecosystems has not been studied. This study evaluated mycorrhizal and saprophytic fungal populations (via fatty acid methyl ester profiles; FAME) and saprophytic fungal functionality (via FungiLog analysis) under two ICL agroecosystems and a continuous cotton (Gossypium hirsutum L.) system in the Southern High Plains of the U.S. The first ICL system included non-irrigated perennial native grasses, an annual cotton and foxtail millet (Setaria italica) rotation and deficit-irrigated 'WW-B. Dahl' old world bluestem (Bothriochloa bladhii; OWB). The second ICL agroecosystem consisted of deficit-irrigated OWB and bermudagrass (Cynodon dactylon). The effect of grazing by cattle was evaluated via grazing exclusion areas. Abundance of saprophytic fungal FAMEs (10-26% of total FAMEs) and mycorrhizal FAMEs (2-24% of total FAMEs) were higher under ICLs compared to the continuous-cotton system at 0-5. cm. Overall, vegetation impacted the distribution of the fungal FAME markers, whereas the fungal saprophytic functionality was more sensitive to grazing. Perennial vegetation of ICLs was associated with an increase in fungal markers (saprophytic and mycorrhizal) as well as increased soil OM content. Greater utilization of multiple C sources and increased saprophytic fungal functional indices were found under cotton, non-grazed perennial vegetation (with exception of bermudagrass) and the rotation under millet. Among the grazed perennial vegetation, bermudagrass showed the highest fungal FAMEs abundance and functional diversity values. These fungal improvements were also reflected in the highest OM content under this grass, potentially indicating improved sustainability under the OWB and bermudagrass agroecosystem. ? 2013 Elsevier B.V.</t>
  </si>
  <si>
    <t>The objective of this study was to apply phospholipid fatty acid (PLFA)-based stable isotope probing to assess the temporal variation of active microorganisms associated with rhizosphere-C flow in a natural wetland. We applied 13CO2 pulse labeling at three different times throughout the vegetation period: spring (April), early summer (June), and early autumn (October). Soil redox potentials (Eh) at 10 cm depth ranged from moderately reduced (October) to oxidized conditions (June). Based on combined PLFA relative abundance and 13C enrichment results, we suggest that gram-negative bacteria play a main role in rhizodeposit-C uptake in these wetland ecosystems, especially when reduced soil conditions prevail in October. Arbuscular and saprotrophic fungi also take up a significant proportion of the belowground allocated C, though mostly in the summer period. Gram-positive bacteria showed only a minor reliance on rhizodeposit-C throughout the year. It is concluded that rhizodeposit-C-assimilating microbial communities are heterogeneous and temporal variable entities with groups that are capable of adapting differently to seasonally varying environmental conditions. ? 2012 Springer-Verlag.</t>
  </si>
  <si>
    <t>Agricultural intensification has been vital for meeting global food demand but has caused environmental degradation. This has disrupted the ability of soil to provide vital ecosystem services. Organic farming is often thought to conserve and utilise soil ecosystem services, and thus be a more sustainable method of food production than conventional farming. However, evidence for this is equivocal, and little is known of the potential trade-offs between soil functions, which can be classified as supporting and provisioning ecosystem services, in conventional and organic systems. In addition, few studies have simultaneously examined how surrounding landscape heterogeneity affects soil functions in agriculture. In this study we investigated the effects of farming method (conventional versus organic) and landscape heterogeneity (100. m, 500. m and 1000. m radius) on indicators of soil ecosystem services: soil organic carbon (SOC), total nitrogen (TN), water holding capacity (WHC) and plant-available phosphorous (P) (measures of carbon storage and nutrient retention); net N mineralisation and microbial community composition and biomass (nutrient cycling); and crop yield. We found no effect of landscape heterogeneity, and no differences in any of the measured soil and microbial variables between conventional and organic farms, apart from net N mineralisation, which was higher in organic farms. However, conventional farms had significantly greater yield than organic farms, and there was no apparent trade-off between increasing yield and the level of supporting ecosystem services. The organic farms in this study appear to have been intensively managed, with a straight substitution of organic inputs for chemicals, but little other effort to enhance soil fertility. For example, the organic farms applied large quantities of manure compared with conventional farms but conducted mechanical weeding (harrowing), whereas conventional farms applied herbicides. This repeated soil disturbance may cause rapid organic matter mineralisation and undermine the ability of these organic farms to retain carbon and nitrogen. The terms 'organic' and 'conventional' agriculture both cover a wide variety of farming methods, some of which enhance or deplete ecosystem services more than others. To develop truly sustainable methods of agriculture, research should focus on the effects of specific farming practices, rather than the labels 'conventional' and 'organic'. ? 2013 Elsevier B.V.</t>
  </si>
  <si>
    <t>Tracking the carbon source of arbuscular mycorrhizal fungi colonizing C3 and C4 plants using carbon isotope ratios (ë13C)</t>
  </si>
  <si>
    <t>Arbuscular mycorrhizal fungi (AMF) may colonize several plant species simultaneously, thus receiving their carbon from different plants. In previous work, we have used microcosms with flax (a C3 plant) and sorghum (a C4 plant), connected to a common mycorrhizal network, in order to track the carbon source of AMF, making use of the distinct 13C/12C isotope compositions of C3 and C4 plants (Walder et al., 2012). Here we compare three methods for analysing the stable carbon isotope composition of AMF. Bulk carbon isotope analysis of washed extraradical mycelium is possible, but has the drawback of potential contamination from non-mycorrhizal sources. Bulk carbon isotope analysis of isolated AMF spores yields more reliable results but is rather tedious. We explain, in some detail, a more refined analysis based on the extraction of lipids from soil, followed by analysis of an AMF biomarker, the fatty acid C16:1?5. ? 2013 Elsevier Ltd.</t>
  </si>
  <si>
    <t>13C signature; Arbuscular mycorrhizal fungi; Carbon source; Common mycorrhizal networks; Fatty acid C16:1?5</t>
  </si>
  <si>
    <t>(+)-Strigone was described earlier in a paper on isolation of strigol and then recently examined for hyphal branching activity in arbuscular mycorrhizal fungi as a strigolactone. Herein, it was isolated from root exudates of Houttuynia cordata, and its structure was confirmed by direct comparison with synthetic standards in LC-MS/MS, GC-MS, and 1H and 13C NMR analyses. The stereochemistry of strigone was determined by comparing the CD spectra and RRt in chiral LC-MS/MS with those of synthetic (+)-strigone and (-)-strigone. Four stereoisomers of strigone exhibited clearly different levels of stimulation activity on the seeds of three root parasitic plants, Orobanche minor, Phelipanche ramosa, and Striga hermonthica. (+)-Strigone was a highly potent germination stimulant on S. hermonthica and also on P. ramosa, but less active than ent-2?-epi-strigone on O. minor. In addition to strigone, H. cordata was found to produce strigol, sorgomol, and 5-deoxystrigol, indicating that this plant produces mainly strigol-type strigolactones derived from 5-deoxystrigol. ? 2012 Elsevier Ltd. All rights reserved.</t>
  </si>
  <si>
    <t>We conducted a 13CO2 pulse-chase labelling experiment in a drained boreal organic (peat) soil cultivated with perennial crop, reed canary grass (RCG; Phalaris arundinacea) to study the flow of carbon from plants to soil microbes. Both limed and unlimed soils were studied, since liming is a common agricultural practice for acidic organic soils. Soil samples taken within three months after the labelling and three times in the following year were used for the ë13C analysis of microbial phospholipid fatty acids (PLFAs), root sugars and root lipids. We estimated the contribution of carbon from root exudates to microbial PLFA synthesis. The flow of carbon from plants to microbes was fast as the label allocation in PLFAs had a peak 1-3 days after labelling. The results showed that fungi were important in the incorporation of fresh, plant-derived carbon, including root sugars. None of the main microbial PLFA biomarker groups (fungi, Gram-positive bacteria, Gram-negative bacteria, arbuscular mycorrhizal fungi) was completely lacking label over the measurement period. One year after the labelling, when the labelled carbon was widely distributed into plant biomass and soil, bacterial biomarkers increased their share of the label allocation. Liming had a minor effect on the label allocation rate into PLFAs. The mixing model approach used to calculate the root exudate contribution to microbial biomass resulted in a highly conservative estimate of utilization of this important C-source (0-6.5%, with highest incorporation into fungi). In summary, the results of this study provide new information about the role of various microbial groups in the turnover of plant-derived, fresh carbon in boreal organic soil. ? 2012 Elsevier Ltd.</t>
  </si>
  <si>
    <t>Some forest plants adapt to shade by mixotrophy, i.e., they obtain carbon both from photosynthesis and from their root mycorrhizal fungi. Fully achlorophyllous species using exclusively fungal carbon (the so-called mycoheterotrophic plants) have repeatedly evolved from such mixotrophic ancestors. However, adaptations for this evolutionary transition, and the reasons why it has happened a limited number of times, remain unknown. We investigated this using achlorophyllous variants (i.e., albinos) spontaneously occurring in Cephalanthera damasonium, a mixotrophic orchid. In two populations, we compared albinos with co-occurring green individuals in situ. We investigated vegetative traits, namely, shoot phenology, dormancy, CO 2 and H2O leaf exchange, mycorrhizal colonization, degree of mycoheterotrophy (using 13C abundance as a proxy), and susceptibility to pathogens and herbivores. We monitored seed production (in natural or experimental crosses) and seed germination. Albinos displayed (1) more frequent shoot drying at fruiting, possibly due to stomatal dysfunctions, (2) lower basal metabolism, (3) increased sensitivity to pathogens and herbivores, (4) higher dormancy and maladapted sprouting, and, probably due to the previous differences, (5) fewer seeds, with lower germination capacity. Over the growing season, green shoots shifted from using fungal carbon to an increasingly efficient photosynthesis at time of fruiting, when fungal colonization reached its minimum. Conversely, the lack of photosynthesis in fruiting albinos may contribute to carbon limitation, and to the above-mentioned trends. With a 103? fitness reduction, albinos failed a successful transition to mycoheterotrophy because some traits inherited from their green ancestors are maladaptive. Conversely, mycoheterotrophy requires at least degeneration of leaves and stomata, optimization of the temporal pattern of fungal colonization and shoot sprouting, and new defenses against pathogens and herbivores. Transition to mycoheterotrophy likely requires progressive, joint evolution of these traits, while a sudden loss of photosynthesis leads to unfit plants. We provide explanations for the evolutionary stability of mixotrophic nutrition and for the rarity of emergence of carbon sinks in mycorrhizal networks. More broadly, this may explain what prevents the emergence of fully heterotrophic taxa in the numerous other mixotrophic plant or algal lineages recently described. ? 2013 by the Ecological Society of America.</t>
  </si>
  <si>
    <t>With the rising levels of atmospheric carbon dioxide (CO2) threatening to alter global climate, carbon sequestration in plants has been proposed as a possible moderator or solution to the problem. This chapter examines the different mechanisms through which carbon sequestration can take place within the Earth?s natural carbon cycle with special focus on events surrounding plant development. Unfortunately, endeavors that have purposefully and successfully altered plant traits to improve carbon sequestration are currently quite few. Consequently, we delve deeply into the specific biological processes that allow plants to capture, allocate, and store CO2 long term in the form of both above-ground and below-ground biomass. Distinctions are made between the differing molecular mechanisms of C3, C4, and CAM plants, and we point out the importance of mycorrhizal and other soil community level interactions as an important reminder that healthy soils are required for the uptake of nutrients needed for efficient carbon sequestration. We suggest that, due the complexity of the biological interactions, modeling approaches designed to network multiple types of data input may provide the best means for generating more useful hypotheses that can target specific traits for improved carbon sequestration. ? Springer-Verlag Berlin Heidelberg 2013.</t>
  </si>
  <si>
    <t>Ma?ek I.</t>
  </si>
  <si>
    <t>Understanding microbial transformations in soils is important for predicting future carbon sequestration and nutrient cycling. This review questions some methods of assessing one key microbial process, the uptake of labile organic compounds. First, soil microbes have a starving-survival life style of dormancy, arrested activity, and low activity. Yet they are very abundant and remain poised to completely take up all substrates that become available. As a result, dilution assays with the addition of labeled substrates cannot be used. When labeled substrates are transformed into 14CO2, the first part of the biphasic release follows metabolic rules and is not affected by the environment. As a consequence, when identical amounts of isotopically substrates are added to soils from different climate zones, the same percentage of the substrate is respired and the same half-life of the respired 14CO2 from the labeled substrate is estimated. Second, when soils are sampled by a variety of methods from taking 10 cm diameter cores to millimeter-scale dialysis chambers, amino acids (and other organic compounds) appear to be released by the severing of fine roots and mycorrhizal networks as well as from pressing or centrifuging treatments. As a result of disturbance as well as of natural root release, concentrations of individual amino acids of ~10 ?M are measured. This contrasts with concentrations of a few nanomolar found in aquatic systems and raises questions about possible differences in the bacterial strategy between aquatic and soil ecosystems. The small size of the hyphae (2-10 ?m diameter) and of the fine roots (0.2-2 mm diameter), make it very difficult to sample any volume of soil without introducing artifacts. Third, when micromolar amounts of labeled amino acids are added to soil, some of the isotope enters plant roots. This may be an artifact of the high micromolar concentrations applied. ? 2013 Hobbie and Hobbie.</t>
  </si>
  <si>
    <t>One strain of ectomycorrhizal fungi, Xerocomus chrysenteron, had been investigated for its ability to degrade 1,1,1-trichloro-2,2-bis(4-chlorophe-nyl) ethane (DDT) by measuring unlabeled DDT and identifying its metabolites, and determining the mineralization of [13C]DDT in pure cultures. After 45d incubation, about 55% of the added DDT disappeared from the culture system, less than 5% remained in the nutrient solution, and about 44% was retained in the mycelium. Inoculation with mycelium enhanced the degradation of DDT in soil, and alleviated enrichment of DDT in plants. The metabolites identified by gas chromatography-mass spectrometry were 1,1-dichloro-2,2-bis(4-chlorophenyl) ethane (DDD), 1,1-dichloro-2,2-bis(4-chlorophenyl)ethylene (DDE), and 4,4'-dichlorobenzophenone (DBP). There were significant differences in the ë13C of released CO2 between [13C]DDT and DDT cultures, which indicated X. chrysenteron was able to mineralize DDT to CO2. ? 2013 Elsevier Ltd.</t>
  </si>
  <si>
    <t>Organic nitrogen use by mycorrhizal fungi and associated plants could fuel productivity in nitrogen-limited systems. To test whether fungi assimilated soil-derived organic nitrogen, we compared the 14C signal (expressed as ?14C) from 1950s to 1960s thermonuclear testing in protein and structural carbon of ectomycorrhizal fungi. As expected, structural carbon had ?14C similar to recent photosynthesis; however, protein ?14C was either higher or lower than structural carbon depending on the fungal taxa. This suggests that some protein carbon derived from uptake of organic nitrogen with different ?14C signals. Specimens from two taxa (Lactarius and Russula) adapted to taking up soluble nutrients had protein higher than structural carbon in ?14C, indicating uptake of young, post-bomb organic nitrogen, whereas two taxa (Cortinarius and Leccinum) adapted to using insoluble, complex organic nutrients had protein lower than structural carbon in ?14C, indicating uptake of old, pre-bomb organic nitrogen. Tuber, a genus common in mineral soil, was also consistently lower in ?14C for protein than for structural carbon, with an estimated 10 % of protein carbon originating from old, deep organic nitrogen for this taxon. Our results indicate that radiocarbon can provide evidence of organic nitrogen use in ectomycorrhizal fungi and reflects the exploration depth of different taxa. ? 2012 Springer Science+Business Media B.V.</t>
  </si>
  <si>
    <t>Soil management practices significantly impact soil aggregation and carbon (C) dynamics. Organic fertilizer and mycorrhizal inoculation also affect aggregate stability and soil C pool. Thus, this study was designed to assess the effects of inorganic and organic fertilizer treatments (control, chemical fertilizer, animal manure, compost, and compost + mycorrhizal inoculation) on bulk density (?b), C and N concentrations, soil organic C (SOC) pool, C sequestration, total N, aggregate fractions, water-stable aggregates (WSA), and mean weight diameter (MWD) in the long-term field experiment initiated in 1996 on the Mediterranean coast of Turkey. Disturbed and undisturbed soil samples were collected from the 0-to 0.15-m and 0.15-to 0.30-m depths after wheat (Triticum aestivum) harvest in June 2010 to determine the soil physical and chemical characteristics.Soils that received animal manure, compost, and compost + mycorrhizae contained more C (in percent), N (in percent), SOC, and total N concentrations than control. In comparison with control, chemical fertilizers also affected soil C and N concentrations and pools by increasing plant biomass production. The C/N ratio of soil was less than 10 in control and chemical fertilizer treatments but more than 10 in animal manure, compost, and compost + mycorrhizae treatments. Organic fertilizers significantly reduced ?b and increased porosity (in percent). Total amounts and rate of C and N sequestration increased with application of organic fertilizers. The rate (kg C ha year) of C sequestration in 0-to 0.15-m depth was 7.19 for control, 329.6 for animal manure, and 273.4 for the compost + mycorrhizae treatment. Furthermore, organic fertilizers significantly increased the SOC concentrations in different aggregate size fractions. The C and N concentrations in the 0.25-to 1.0-mm aggregate size were higher than those in the less than 0.25-mm fraction. Concentrations of C and N decreased significantly with the decrease in aggregate size less than 0.25 mm (P &lt; 0.0009).Application of organic fertilizers impacted soil ?b, WSA, and MWD. Compost + mycorrhizae-treated soil had the highest MWD (3.09 mm), and the control treatment had the least (1.49 mm). Decline in aggregate size decreased WSA in compost and mycorrhizae treatments. The high values of MWD were associated with mycorrhizal inoculation rather than with application of organic fertilizer.Application of organic fertilizers including mycorrhizal inoculation contributed considerably to soil aggregation and soil C sequestration. There was more C concentration in 1-to 2-mm and 0.5-to 1-mm aggregate sizes than in the less than 0.25-mm size range. Additional research is needed to assess the role of mycorrhizae on macroaggregate development and C sequestration under long-term soil and crop management systems. ? 2013 Lippincott Williams &amp; Wilkins.</t>
  </si>
  <si>
    <t>Biochar is a carbon-rich coproduct resulting from pyrolyzing biomass. When applied to the soil it resists decomposition, effectively sequestering the applied carbon and mitigating anthropogenic CO2 emissions. Other promoted benefits of biochar application to soil include increased plant productivity and reduced nutrient leaching. However, the effects of biochar are variable and it remains unclear if recent enthusiasm can be justified. We evaluate ecosystem responses to biochar application with a meta-analysis of 371 independent studies culled from 114 published manuscripts. We find that despite variability introduced by soil and climate, the addition of biochar to soils resulted, on average, in increased aboveground productivity, crop yield, soil microbial biomass, rhizobia nodulation, plant K tissue concentration, soil phosphorus (P), soil potassium (K), total soil nitrogen (N), and total soil carbon (C) compared with control conditions. Soil pH also tended to increase, becoming less acidic, following the addition of biochar. Variables that showed no significant mean response to biochar included belowground productivity, the ratio of aboveground: belowground biomass, mycorrhizal colonization of roots, plant tissue N, and soil P concentration, and soil inorganic N. Additional analyses found no detectable relationship between the amount of biochar added and aboveground productivity. Our results provide the first quantitative review of the effects of biochar on multiple ecosystem functions and the central tendencies suggest that biochar holds promise in being a win-win-win solution to energy, carbon storage, and ecosystem function. However, biochar's impacts on a fourth component, the downstream nontarget environments, remain unknown and present a critical research gap. ? 2012 Blackwell Publishing Ltd.</t>
  </si>
  <si>
    <t>Strmer S.L., Sgrott A.F., Braghirolli F.L., Pescador R., Uhlmann A.</t>
  </si>
  <si>
    <t>The endomycorrhizal association established between arbuscular mycorrhizal fungi (Glomeromycetes) and plant roots are known to have a pivotal role on plant survival and nutrition. In this chapter, we convey that the triad riparian forest-carbon sequestration-arbuscular mycorrhizal fungi should be considered as environmental friendly strategy to recovery riparian sites. Greenhouse and field experiments carried out in soils occurring at the Itajai valley basin have demonstrated the importance of this association for growth and carbon allocation on plants species used to revegetation of riparian sites. Inoculation of pioneer species with selected fungal isolates have shown that more carbon is allocated to roots when compared to non-inoculated plants or plants inoculated with indigenous fungi. For Schinus terebinthifolius we have evidence at field conditions that inoculation with Scutellospora heterogama, Glomus clarum, and Acaulospora koskei increased significantly the quantity of carbon stored in individual plants, calculated using allometric equations. Riparian sites are habitats that harbors a great diversity of glomeromycetes and 42 species has been registered in works developed in the USA and Brazil, most of them in the genera Glomus and Acaulospora. It is also noticeable that all members of Paraglomus (P. occultum, P. brasilianum, P. laccatum) and Archaeospora trappei are commonly found in riparian sites. Considering the role of arbuscular mycorrhizal fungi on growth and carbon accumulation of pioneer plants and the high diversity of glomeromycetes in riparian soils, the inoculation of plants to be used in revegetation process of riparian sites should be viewed as a environmental friendly strategy to recovery these areas and improve carbon sequestration. ? 2012 by Nova Science Publishers, Inc. All rights reserved.</t>
  </si>
  <si>
    <t>All available data on arbuscular mycorrhizal fungi (AMF) in Australian extensive cropping systems are reviewed in an agronomic framework. In the southern temperate and northern subtropical zones, 80-85% and 60%, respectively, of cropped area is winter cereals. In the south, non-mycorrhizal winter break crops are common and crops are often rotated with low input pastures. In the north, continuous cropping with winter crops, summer crops and long (12-18 month) plant-free fallow is common. Only here does reduced colonization by AMF cause intermittent yield reductions, perhaps reflecting low phosphorus (P) soils, high crop growth rates and dry surface soil limiting P availability. Soil temperatures below 10. øC may limit the contribution of AMF to southern crops. In both zones, wheat yields are generally enhanced following fallows and non-mycorrhizal break crops, even under P limitation. AMF are unlikely to aid control of root diseases or dryland salinity adaptation; their role in soil structure and carbon sequestration requires clarification. Organic crops are highly colonized, but invariably P deficient. Thus, little evidence supports consideration of AMF in farm management and many agronomic practices that underpin sustainable productivity reduce colonization. We hope this paper stimulates dialog between mycorrhizal researchers and agronomists to target high priority research. ? 2012 Elsevier B.V.</t>
  </si>
  <si>
    <t>A water soluble glucan (PS-I) was isolated from the hot aqueous extract of the fruit bodies of an ectomycorrhizal edible mushroom, Russula albonigra (Krombh.) Fr. The total hydrolysis, methylation analysis, periodate oxidation, and NMR (1H, 13C, DEPT-135, TOCSY, DQF-COSY, NOESY, ROESY, HSQC, and HMBC) studies revealed the presence of the following repeating unit in the polysaccharide: This glucan showed excellent activation of macrophages as well as splenocytes and thymocytes in vitro. ? 2012 Elsevier Ltd. All rights reserved.</t>
  </si>
  <si>
    <t>Responses of wetland productivity to changes in water table depth (WTD) are controlled by complex interactions among several soil and plant processes, and hence are site-specific rather than general in nature. Hydrological controls on wetland productivity were studied by representing these interactions in connected hummock and hollow sites in the ecosystem model ecosys and by testing CO2 and energy fluxes from the model with those measured by eddy covariance (EC) during years with contrasting WTD in a shrub fen at Lost Creek, WI. Modelled interactions among coupled processes for O2 transfer, O2 uptake, Coxidation, N mineralization, N uptake and C fixation by diverse microbial, root and mycorrhizal populations enabled the model to simulate complex responses of CO2 exchange to changes in WTD that depended on the WTD at which change was occurring. At the site scale, greater WTD caused the model to simulate greater CO2 influxes and effluxes over hummocks vs. hollows, as has been found at field sites. At the landscape scale, greater WTD caused the model to simulate greater diurnal CO2 influxes and effluxes under cooler weather when water tables were shallow, but also smaller diurnal CO2 influxes and effluxes under warmer weather when water tables were deeper, as was also apparent in the EC flux measurements. At an annual time scale, these diurnal responses to WTD in the model caused lower net primary productivity (NPP) and heterotrophic respiration (R h), but higher net ecosystem productivity (NEP Combining double low line NPP gRh), to be simulated in a cooler year with a shallower water table than in a warmer year with a deeper one. This difference in NEP was consistent with those estimated from gap-filled EC fluxes in years with different water tables at Lost Creek and at similar boreal fens elsewhere. In sensitivity tests of the model, annual NEP declined with increasing WTD in a year with a shallow water table, but rose in a year with a deeper one. The model thus provided an integrated set of hypotheses for explaining site-specific and sometimes contrasting responses of wetland productivity to changes in WTD as found in different field experiments. ? ? 2012 Author(s).</t>
  </si>
  <si>
    <t>Multi-proxy investigation of high-resolution, ~. 200-year sediment records from two shallow, climate-sensitive crater lakes in western Uganda, surrounded by either presently undisturbed (Lake Chibwera) or severely disturbed (Lake Kanyamukali) catchments, provides insights into lake ecosystem and vegetation response to short-term natural climate variability, as separate from local human impact. Here, we present fossil non-pollen palynomorph (NPP) assemblages, mainly including spores of saprotrophic, coprophilous (dung-colonizing), and/or mycorrhizal fungi, to assess and validate their paleoecological significance in a tropical African context. At both sites, high abundances of the saprotrophic Coniochaeta spp. broadly coincide with documented decade-scale episodes of increased humidity (early- to mid-19th century, ~. 1870-1900. AD and late 20th century). Severe drought in the late 18th and early 19th century reduced both lakes to ephemeral ponds, which were intensively visited by large wild and/or domestic herbivores, as indicated by abundant Sordaria spp. and Delitschia spp., obligately growing on herbivore dung. From the mid-19th century onwards, large herbivore presence at Chibwera declined, and remained low as the site became incorporated in a game reserve in the early 20th century, and was added to Queen Elizabeth National Park in 1965. In contrast, herbivore presence remained strong at Kanyamukali, where grazing and subsistence farming intensified from the mid-20th century onwards. The location of Lake Kanyamukali near an ancient cattle trail and/or trading route underscores its historical linkage with transhumance. Grazing activity at Kanyamukali is indicated mainly by slightly increased abundances of coprophilous Sordaria spp. and of Glomus sp., indicative of soil erosion. Only this modest change in the NPP assemblage can be uniquely attributed to relatively intense recent human impact at Kanyamukali, contrasting with the strong NPP response at both lakes to the shifts in large herbivore behavior associated with late 18th- and early 19th century climatic drought. Comparison of the two records therefore allows us to conclude that in African lakes, (i) only high densities of domestic large herbivores create a paleoenvironmental NPP signature that can be unambiguously linked to past pastoralist activity, and (ii) facultative coprophilous fungal spores are overwhelmingly controlled by natural, climate-driven fluctuations in the local availability of preferred substrates for the fungi. ? 2012 Elsevier B.V.</t>
  </si>
  <si>
    <t>Background: Ectomycorrhizal (ECM) fungi provide one of the main pathways for carbon (C) to move from trees into soils, where these fungi make significant contributions to microbial biomass and soil respiration. Scope: ECM fungal species vary significantly in traits that likely influence C sequestration, such that forest C sequestration potential may be driven in part by the existing community composition of ECM fungi. Moreover, accumulating experimental data show that tree genotypes differ in their compatibility with particular ECM fungal species, i. e. mycorrhizal traits of forest trees are heritable. Those traits are genetically correlated with other traits for which tree breeders commonly select, suggesting that selection for traits of interest, such as disease resistance or growth rate, could lead to indirect selection for or against particular mycorrhizal traits of trees in forest plantations. Conclusions: Altogether, these observations suggest that selection of particular tree genotypes could alter the community composition of symbiotic ECM fungi in managed forests, with cascading effects on soil functioning and soil C sequestration. ? 2012 Springer Science+Business Media B.V.</t>
  </si>
  <si>
    <t>Background: Anthropogenic disturbance of old-growth tropical forests increases the abundance of early successional tree species at the cost of late successional ones. Quantifying differences in terms of carbon allocation and the proportion of recently fixed carbon in soil CO2 efflux is crucial for addressing the carbon footprint of creeping degradation. Methodology: We compared the carbon allocation pattern of the late successional gymnosperm Podocarpus falcatus (Thunb.) Mirb. and the early successional (gap filling) angiosperm Croton macrostachyus Hochst. es Del. in an Ethiopian Afromontane forest by whole tree 13CO2 pulse labeling. Over a one-year period we monitored the temporal resolution of the label in the foliage, the phloem sap, the arbuscular mycorrhiza, and in soil-derived CO2. Further, we quantified the overall losses of assimilated 13C with soil CO2 efflux. Principal Findings: 13C in leaves of C. macrostachyus declined more rapidly with a larger size of a fast pool (64% vs. 50% of the assimilated carbon), having a shorter mean residence time (14 h vs. 55 h) as in leaves of P. falcatus. Phloem sap velocity was about 4 times higher for C. macrostachyus. Likewise, the label appeared earlier in the arbuscular mycorrhiza of C. macrostachyus and in the soil CO2 efflux as in case of P. falcatus (24 h vs. 72 h). Within one year soil CO2 efflux amounted to a loss of 32% of assimilated carbon for the gap filling tree and to 15% for the late successional one. Conclusions: Our results showed clear differences in carbon allocation patterns between tree species, although we caution that this experiment was unreplicated. A shift in tree species composition of tropical montane forests (e.g., by degradation) accelerates carbon allocation belowground and increases respiratory carbon losses by the autotrophic community. If ongoing disturbance keeps early successional species in dominance, the larger allocation to fast cycling compartments may deplete soil organic carbon in the long run. ? 2012 Shibistova et al.</t>
  </si>
  <si>
    <t>Ectomycorrhizal (EcM) fungi are increasingly recognized as important agents of mineral weathering and soil development, with far-reaching impacts on biogeochemical cycles. Because EcM fungi live in a symbiotic relationship with trees and in close contact with bacteria and archaea, it is difficult to distinguish between the weathering effects of the fungus, host tree and other micro-organisms. Here, we quantified mineral weathering by the fungus Paxillus involutus, growing in symbiosis with Pinus sylvestris under sterile conditions. The mycorrhizal trees were grown in specially designed sterile microcosms in which the supply of soluble phosphorus (P) in the bulk media was varied and grains of the calcium phosphate mineral apatite mixed with quartz, or quartz alone, were provided in plastic wells that were only accessed by their fungal partner. Under P limitation, pulse labelling of plants with 14CO2 revealed plant-to-fungus allocation of photosynthates, with 17 times more 14C transferred into the apatite wells compared with wells with only quartz. Fungal colonization increased the release of P from apatite by almost a factor of three, from 7.5 (ñ1.1)?10-10molm-2s-1 to 2.2 (ñ0.52)?10-9molm-2s-1. On increasing the P supply in the microcosms from no added P, through apatite alone, to both apatite and orthophosphate, the proportion of biomass in roots progressively increased at the expense of the fungus. These three observations, (i) proportionately more plant energy investment in the fungal partner under P limitation, (ii) preferential fungal transport of photosynthate-derived carbon towards patches of apatite grains and (iii) fungal enhancement of weathering rate, reveal the tightly coupled plant-fungal interactions underpinning enhanced EcM weathering of apatite and its utilization as P source. ? 2012 Blackwell Publishing Ltd.</t>
  </si>
  <si>
    <t>Tedersoo L., Naadel T., Bahram M., Pritsch K., Buegger F., Leal M., K?ljalg U., P?ldmaa K.</t>
  </si>
  <si>
    <t>Ectomycorrhizal (ECM) fungi obtain both mineral and simple organic nutrients from soil and transport these to plant roots. Natural abundance of stable isotopes (15N and 13C) in fruit bodies and potential enzymatic activities of ECM root tips provide insights into mineral nutrition of these mutualistic partners. By combining rDNA sequence analysis with enzymatic and stable isotope assays of root tips, we hypothesized that phylogenetic affinities of ECM fungi are more important than ECM exploration type, soil horizon and host plant in explaining the differences in mineral nutrition of trees in an African lowland rainforest. Ectomycorrhizal fungal species belonging to extraradical mycelium-rich morphotypes generally displayed the strongest potential activities of degradation enzymes, except for laccase. The signature of 15N was determined by the ECM fungal lineage, but not by the exploration type. Potential enzymatic activities of root tips were unrelated to 15N signature of ECM root tip. The lack of correlation suggests that these methods address different aspects in plant nutrient uptake. Stable isotope analysis of root tips could provide an additional indirect assessment of fungal and plant nutrition that enables enhancement of taxonomic coverage and control for soil depth and internal nitrogen cycling in fungal tissues. ? 2012 The Authors. New Phytologist ? 2012 New Phytologist Trust.</t>
  </si>
  <si>
    <t>Evidence suggests that in addition to sequestering carbon (C), biochar amendment can increase crop yields, improve soil quality and nutrient cycling, reduce the leaching of nutrients from soil and stimulate soil microbial activity. However, biochar application primarily benefits soils of intrinsic poor quality, thus the advantages of adding biochar to temperate agricultural soils remains controversial. In addition, there is limited information about the longer term effects of biochar application, or of increasing the rate of biochar loading to soil. Therefore, the aim of this study was to determine the effect of biochar residency time and application rate on soil quality, crop performance, weed emergence, microbial growth and community composition in a temperate agricultural soil. We used replicated field plots with three wood biochar application rates (0, 25 and 50tha -1). Three years after biochar amendment, the plots were further split and fresh biochar added at two different rates (25 and 50tha -1) resulting in double-loaded reapplications of 25+25 and 50+50tha -1. After a soil residency time of three years, there were no significant differences in soil nutrients, microbial growth, mycorrhizal colonisation or weed emergence between biochar amended and unamended soil. In contrast, the reapplication of biochar had a significant effect on soil quality, (e.g. increased PO 4 3-, K + and Ca 2+, DOC, soil moisture, organic matter and EC), microbial growth, (e.g. decreased saprophytic fungal growth), increased mycorrhizal root colonisation and inhibition of weed emergence. Whilst biochar application is unquestionably a strategy for the sequestration of C, in this case, other benefits, e.g. improved soil nutrient levels or crop performance, seemed to be short lived. Reapplication of biochar exemplifies the transient nature of biochar-mediated benefits rather than any lasting differences in soil nutrient dynamics or microbial communities. These results emphasise the need for more long-term field studies to provide data that can meaningfully inform agronomic management decisions and climate change mitigation strategies. ? 2012 Elsevier B.V..</t>
  </si>
  <si>
    <t>A series of pot experiments and field trials were carried out to evaluate the effects of arbuscular mycorrhizal fungi (AMF) on activities of soil enzymes and carbon sequestration capacity in reclaimed mine soil. A complex substrate of coal gangue, fly ash and sludge was used as reclaimed mine soil, and ryegrass was planted with AMF inoculation to construct a plant-complex substrate-microbe ecological restoration system. The changes to the soil organic carbon (SOC), activities of soil enzymes and glomalin-related soil protein (GRSP) were measured and the effects of AMF on activities of soil enzymes and carbon sequestration capacity in reclaimed mine soil were analyzed. The results show that the contents of GRSP (total glomalin (TG) and easily extractable glomalin (EEG)), SOC and activities of enzymes increased, and the increments were higher in the AMF inoculation treated plant-complex substrate-microbe ecological restoration systems than those with no AMF inoculated treatments after 12 months of ryegrass growth. TG, EEG and soil enzyme activity have a significant positive correlation, and the correlative coefficient was 0.427-0.573; SOC and TG, EEG have a significant positive correlation (p &lt; 0.01), indicating that AMF plays an important role in carbon sequestration of reclaimed mine soils. ? 2012 Published by Elsevier B.V. on behalf of China University of Mining and Technology.</t>
  </si>
  <si>
    <t>Premise of the study: Mixotrophy is a strategy whereby plants acquire carbon both through photosynthesis and heterotrophic exploitation of mycorrhizal fungi. In Euro-American Pyroleae species studied hitherto, heterotrophy levels vary according to species, sites of study, and possibly light conditions. We investigated mycorrhizal association and mixotrophy in the Asiatic forest species Pyrola japonica, and their plasticity under different light conditions.Methods: Pyrola japonica was sampled bimonthly in sunny and shaded conditions from a deciduous broadleaf forest. We microscopically assessed the rate of fungal colonization and sequenced the ITS to identify the mycorrhizal fungi. We measured 13C and 15N isotopic abundances in P. japonica as compared with neighboring autotrophic and mycoheterotrophic plants, to evaluate P. japonica's heterotrophy level.Key results: Pyrola japonica formed arbutoid mycorrhizas devoid of fungal mantles, with intracellular hyphal coils and a Hartig net. It tended to be more colonized by mycorrhizal fungi in spring and summer. Most associated fungi belonged to ectomycorrhizal taxa, and 84% of identified fungi were Russula spp. Rate of mycorrhizal colonization and Russula frequency tended to be higher in shaded conditions. Both ë13C and ë15N values of P. japonica were significantly higher in autotrophic plants, showing that about half of the carbon on average was received from mycorrhizal fungi. Both isotopic values negatively correlated with light availability, suggesting higher heterotrophy levels in shaded conditions.Conclusions: The mixotrophic P. japonica undergoes changes in mycorrhizal symbionts and carbon nutrition according to light availability. Our results suggest that during Pyroleae evolution, a tendency to increased heterotrophy emerged in the Pyrola / Orthilia clade. ? 2012 Botanical Society of America.</t>
  </si>
  <si>
    <t>A pot experiment was carried out (1) to compare C and N yield of different plant parts, nutrient concentrations, and root colonization between the non-mycorrhizal mutant P2 (myc -) and the symbiotic isoline Frisson (myc +), (2) to investigate the effects of arbuscular mycorrhizal fungi and growing pea plants on microbial decomposition of 15N-labeled maize residues, and (3) to follow the distribution of the added substrate over different soil fractions, such as particulate organic matter, soil microbial biomass, and microbial residues. Yields of C in straw, grain, and roots of myc + peas were significantly higher by 27%, 11%, and 92%, respectively, compared with those of myc - peas. The ë 13C values in the different plant parts were significantly higher in myc + than in myc - tissue with and without maize. Application of labeled maize residues generally resulted in 15N enrichment of pea plants. At the end of the experiment, the ergosterol concentration in roots of mature peas did not differ between the two isolines, indicating similar colonization by saprotrophic fungi. The decomposition of added maize residues was significantly reduced by the myc - peas, but especially by myc + peas. The formation of microbial residue C was increased and that of microbial residue N was reduced in the presence of plants. The insufficient N supply to soil microorganisms reduced decomposition of maize residues in the presence of peas, especially myc + peas. ? 2011 Springer-Verlag.</t>
  </si>
  <si>
    <t>ë 13C; ë 15N; Arbuscular mycorrhizal fungi; Decomposition; Maize residues; Microbial biomass; Particulate organic matter; Peas</t>
  </si>
  <si>
    <t>Soil multitrophic interactions transfer energy from plants as the predominant primary producer to communities of organisms that occupy different positions in the food chain and are linked by multiple ecological networks, which is the soil food web. Soil food web sequesters carbon, cycles nutrients, maintains soil health to suppress pathogens, helps plants tolerate abiotic and biotic stress, and maintains ecosystem resilience and sustainability. Understanding the influence of climate change on soil multitrophic interactions is necessary to maintain these essential ecosystem services. But summarising this influence is a daunting task due to a paucity of knowledge and a lack of clarity on the ecological networks that constitute these interactions. The scant literature is fragmented along disciplinary lines, often reporting inconsistent findings that are context and scale-dependent. We argue for the differentiation of soil multitrophic interactions along functional and spatial domains to capture cross-disciplinary knowledge and mechanistically link all ecological networks to reproduce full functionalities of the soil food web. Distinct from litter mediated interactions in detritosphere or elsewhere in the soil, the proposed 'pathogen suppression' and 'stress tolerance' interactions operate in the rhizosphere. A review of the literature suggests that climate change will influence the relative importance, frequency and composition of functional groups, their trophic interactions and processes controlling these interactions. Specific climate change factors generally have a beneficial influence on pathogen suppression and stress tolerance, but findings on the overall soil food web are inconsistent due to a high level of uncertainty. In addition to an overall improvement in the understanding of soil multitrophic interactions using empirical and modelling approaches, we recommend linking biodiversity to function, understanding influence of combinations of climatic factors on multitrophic interactions and the evolutionary ecology of multitrophic interactions in a changing climate as areas that deserve most attention. ? 2012 Blackwell Publishing Ltd.</t>
  </si>
  <si>
    <t>Stand-level patterns of carbon fluxes and partitioning in a Eucalyptus grandis plantation across a gradient of productivity, in S?o Paulo State, Brazil</t>
  </si>
  <si>
    <t>Wood production represents a large but variable fraction of gross primary production (GPP) in highly productive Eucalyptus plantations. Assessing patterns of carbon (C) partitioning (C flux as a fraction of GPP) between above- and belowground components is essential to understand mechanisms driving the C budget of these plantations. Better knowledge of fluxes and partitioning to woody and non-woody tissues in response to site characteristics and resource availability could provide opportunities to increase forest productivity. Our study aimed at investigating how C allocation varied within one apparently homogeneous 90ha stand of Eucalyptus grandis (W. Hill ex Maiden) in Southeastern Brazil. We assessed annual aboveground net primary production (ANPP: stem, leaf, and branch production) and total belowground C flux (TBCF: the sum of root production and respiration and mycorrhizal production and respiration), GPP (computed as the sum of ANPP, TBCF and estimated aboveground respiration) on 12 plots representing the gradient of productivity found within the stand. The spatial heterogeneity of topography and associated soil attributes across the stand likely explained this fertility gradient. Component fluxes of GPP and C partitioning were found to vary among plots. Stem NPP ranged from 554g C m -2 year-1 on the plot with lowest GPP to 923g C m -2 year-1 on the plot with highest GPP. Total belowground carbon flux ranged from 497 to 1235g C m-2 year-1 and showed no relationship with ANPP or GPP. Carbon partitioning to stem NPP increased from 0.19 to 0.23, showing a positive trend of increase with GPP (R2=0.29, P=0.07). Variations in stem wood production across the gradient of productivity observed at our experimental site were a result of the variability in C partitioning to different forest system components. ? The Author 2011. Published by Oxford University Press.</t>
  </si>
  <si>
    <t>Kasurinen A., Biasi C., Holopainen T., Rousi M., M„enp„„ M., Oksanen E.</t>
  </si>
  <si>
    <t>In the present experiment, the single and combined effects of elevated temperature and ozone (O3) on four silver birch genotypes (gt12, gt14, gt15 and gt25) were studied in an open-air field exposure design. Above- and below-ground biomass accumulation, stem growth and soil respiration were measured in 2008. In addition, a 13C-labelling experiment was conducted with gt15 trees. After the second exposure season, elevated temperature increased silver birch above- and below-ground growth and soil respiration rates. However, some of these variables showed that the temperature effect was modified by tree genotype and prevailing O3 level. For instance, in gt14 soil respiration was increased in elevated temperature alone (T) and in elevated O3 and elevated temperature in combination (O3+T) treatments, but in other genotypes O3 either partly (gt12) or totally nullified (gt25) temperature effects on soil respiration, or acted synergistically with temperature (gt15). Before leaf abscission, all genotypes had the largest leaf biomass in T and O3+T treatments, whereas at the end of the season temperature effects on leaf biomass depended on the prevailing O3 level. Temperature increase thus delayed and O3 accelerated leaf senescence, and in combination treatment O 3 reduced the temperature effect. Photosynthetic:non-photosynthetic tissue ratios (P:nP ratios) showed that elevated temperature increased foliage biomass relative to woody mass, particularly in gt14 and gt12, whereas O 3 and O3+T decreased it most clearly in gt25. O 3-caused stem growth reductions were clearest in the fastest-growing gt14 and gt25, whereas mycorrhizal root growth and sporocarp production increased under O3 in all genotypes. A labelling experiment showed that temperature increased tree total biomass and hence 13C fixation in the foliage and roots and also label return was highest under elevated temperature. Ozone seemed to change tree 13C allocation, as it decreased foliar 13C excess amount, simultaneously increasing 13C excess obtained from the soil. The present results suggest that warming has potential to increase silver birch growth and hence carbon (C) accumulation in tree biomass, but the final magnitude of this C sink strength is partly counteracted by temperature-induced increase in soil respiration rates and simultaneous O3 stress. Silver birch populations' response to climate change will also largely depend on their genotype composition. ? The Author 2011. Published by Oxford University Press.</t>
  </si>
  <si>
    <t>The dynamics of rapid changes in carbon (C) partitioning within forest ecosystems are not well understood, which limits improvement of mechanistic models of C cycling. Our objective was to inform model processes by describing relationships between C partitioning and accessible environmental or physiological measurements, with a special emphasis on short-term C flux through a forest ecosystem. We exposed eight 7-year-old loblolly pine (Pinus taeda L.) trees to air enriched with 13CO2 and then implemented adjacent light shade (LS) and heavy shade (HS) treatments in order to manipulate C uptake and flux. The impacts of shading on photosynthesis, plant water potential, sap flow, basal area growth, root growth and soil CO2 efflux rate (CER) were assessed for each tree over a 3-week period. The progression of the 13C label was concurrently tracked from the atmosphere through foliage, phloem, roots and surface soil CO2 efflux. The HS treatment significantly reduced C uptake, sap flow, stem growth and fine root standing crop, and resulted in greater residual soil water content to 1m depth. Soil CER was strongly correlated with sap flow on the previous day, but not the current day, with no apparent treatment effect on the relationship. Although there were apparent reductions in new C flux belowground, the HS treatment did not noticeably reduce the magnitude of belowground autotrophic and heterotrophic respiration based on surface soil CER, which was overwhelmingly driven by soil temperature and moisture. The 13C label was immediately detected in foliage on label day (half-life=0.5 day), progressed through phloem by Day 2 (half-life=4.7 days), roots by Days 2-4, and subsequently was evident as respiratory release from soil which peaked between Days 3 and 6. The 13C of soil CO2 efflux was strongly correlated with phloem 13C on the previous day, or 2 days earlier. While the 13C label was readily tracked through the ecosystem, the fate of root C through respiratory, mycorrhizal or exudative release pathways was not assessed. These data detail the timing and relative magnitude of C flux through various components of a young pine stand in relation to environmental conditions. ? The Author 2011. Published by Oxford University Press.</t>
  </si>
  <si>
    <t>? Extraradical mycelia from different ectomycorrhizal (ECM) roots coexist and interact under the forest floor. We investigated structural connections of conspecific mycelia and translocation of carbon and phosphorus between the same or different genets. ? Paired ECM Pinus thunbergii seedlings colonized by the same or different Pisolithus isolates were grown side by side in a rhizobox as their mycelia contacted each other. 14CO 2 or 33P-phosphoric acid was fed to leaves or a spot on the mycelium in one of the paired seedlings. Time-course distributions of 14C and 33P were visualized using a digital autoradiographic technique with imaging plates. ? Hyphal connections were observed between mycelia of the same Pisolithus isolate near the contact site, but hyphae did not connect between different isolates. 14C and 33P were translocated between mycelia of the same isolate. In 33P-fed mycelia, accumulation of 33P from the feeding spot toward the host ECM roots was observed. No 14C and 33P translocation occurred between mycelia of different isolates. ? These results provide direct evidence that contact and hyphal connection between mycelia of the same ECM isolate can cause nutrient translocation. The ecological significance of contact between extraradical mycelia is discussed. ? 2012 The Authors New Phytologist ? 2012 New Phytologist Trust.</t>
  </si>
  <si>
    <t>Response of biomass accumulation and nodulation by Vicia villosa to soil conditions: Evidence from ë 13C and ë 15N isotopes</t>
  </si>
  <si>
    <t>Vicia villosa is an annual legume plant, and is mainly used for green manure by farmers in southwest China. Field growth experiments were performed on six plots. The concentrations of mineral nutrients and soluble sugar, and the changes of carbon and nitrogen isotopic composition within and among organs of Vicia were determined. Significant differences in legume growth were found in response to soil type and its moisture conditions. The Vicia villosa was relatively well adapted to growth in limestone soils than sandstone soils. The distribution of sugar concentrations and ë 13C-differences between roots and leaves indicate that the translocation of sugars from leaves to roots may be restricted by soil drought. Therefore, there was an inhibition of Pi distribution from roots to leaves, resulting in over optimum threshold of N/P ratio. Those may originate from the feedback regulation in the legume, where soluble sugar could not be distributed from leaves to roots. The results of ë 15N values in tissues suggest that there should be different preferential use of nitrogen resource by legume during the formation of nodules: before nodule formation the legume preferentially utilizes inorganic nitrogen from soils, but afterwards the nitrogen should be mainly from N 2-fixation. Our results indicate that the lack of nodulation development, except for S2, should be ascribed to the factor controlling bi-direction nutrient transfer, which should be efficiency of establishment symbiosis with arbuscular mycorrhiza before nodulation formation. It is predicted that the species of Vicia villosa should be a legume associated with dual symbiosis with rhizobia and mycorrhiza. ? 2012 Science Press, Institute of Geochemistry, CAS and Springer-Verlag Berlin Heidelberg.</t>
  </si>
  <si>
    <t>ë 13C; ë 15N; isotope; soil; Vicia villosa</t>
  </si>
  <si>
    <t>Braghirolli F.L., Sgrott A.F., Pescador R., Uhlmann A., Strmer S.L.</t>
  </si>
  <si>
    <t>Arbuscular Mycorrhizal Fungi in riparian forest restoration and soil carbon fixation [Fungos Micorr¡zicos Arbusculares na Recupera‡?o de Florestas Ciliares e Fixa‡?o de Carbono no Solo]</t>
  </si>
  <si>
    <t>A more detailed mechanistic understanding of how low molecular weight (MW) carbon (C) substrates are mineralized within the rhizosphere by soil microbial communities is crucial to accurately model terrestrial C fluxes. Currently, most experiments regarding soil C dynamics are conducted ex-situ (laboratory) and can fail to account for key variables (e.g. temperature and soil water content) which vary in-situ. In addition, ex-situ experiments are often highly invasive, e.g. severing root and mycorrhizal networks, changing the input and concentrations of low MW exudates within soil. The aim of this study was to directly compare the mineralization rates of 31 common low MW C substrates under ex- and in-situ conditions. In addition, we also assessed the inter-annual field variability of substrate mineralization rates. We added trace concentrations of 31 individual 14C-labelled common low MW C substrates into the top soil of an agricultural grassland and monitored the mineralization rates by capturing 14CO 2 evolved from the soil over 7 d. Our results showed that the contribution of low MW C components to soil respiration was highly reproducible between parallel studies performed either in-situ or ex-situ. We also found that differences in the mineralization of individual compounds were more variable inter-annually in the field than between the laboratory and the field. Our results suggest that laboratory-based C mineralization data can be used to reliably parameterize C models but that multiple experimental measurements should be made over time to reduce uncertainty in model parameter estimation. ? 2012 Elsevier Ltd.</t>
  </si>
  <si>
    <t>The aim of this study was to gain understanding of the carbon flow from the roots of a genetically modified (GM) amylopectin-accumulating potato (Solanum tuberosum) cultivar and its parental isoline to the soil fungal community using stable isotope probing (SIP). The microbes receiving 13C from the plant were assessed through RNA/phospholipid fatty acid analysis with stable isotope probing (PLFA-SIP) at three time-points (1, 5 and 12d after the start of labeling). The communities of Ascomycota, Basidiomycota and Glomeromycota were analysed separately with RT-qPCR and terminal restriction fragment length polymorphism (T-RFLP). Ascomycetes and glomeromycetes received carbon from the plant as early as 1 and 5d after labeling, while basidiomycetes were slower in accumulating the labeled carbon. The rate of carbon allocation in the GM variety differed from that in its parental variety, thereby affecting soil fungal communities. We conclude that both saprotrophic and mycorrhizal fungi rapidly metabolize organic substrates flowing from the root into the rhizosphere, that there are large differences in utilization of root-derived compounds at a lower phylogenetic level within investigated fungal phyla, and that active communities in the rhizosphere differ between the GM plant and its parental cultivar through effects of differential carbon flow from the plant. ? 2012 The Authors. New Phytologist ? 2012 New Phytologist Trust.</t>
  </si>
  <si>
    <t>Archaea are ubiquitous in forest soils, but little is known about the factors regulating their abundance and distribution. Low molecular weight organic compounds represent an important energy source for archaea in marine environments, and it is reasonable to suspect that archaeal abundance is dependent on such compounds in soils as well, represented by, for example, plant and fungal exudates. To test this hypothesis, we designed a microcosm experiment in which we grew ponderosa pine, sitka spruce, and western hemlock in forest soil. Root and mycorrhizal exudation rates were estimated in a 13C pulse-chase experiment, and the number of archaeal and bacterial 16S rRNA genes was determined by qPCR. Archaeal abundance differed among plant species, and the number of archaeal 16S rRNA genes was generally lower in soil receiving high concentration of exudates. The mycorrhizal fungi of ponderosa pine seemed to favor archaea, while no such effect was found for mycorrhized sitka spruce or western hemlock. The low abundance of archaea in the proximity of roots and mycorrhiza may be a result of slow growth rates and poor competitive ability of archaea vs. bacteria and does not necessarily reflect a lack of heterotrophic abilities of the archaeal community. ? 2012 Federation of European Microbiological Societies.</t>
  </si>
  <si>
    <t>The development of an arbuscular mycorrhizal (AM) symbiosis is a non-synchronous process with typical mycorrhizal root containing different symbiotic stages at one time. Methods providing cell type-specific resolution are therefore required to separate these stages and analyze each particular structure independently from each other. We established an experimental system for analyzing specific proteomic changes in arbuscule-containing cells of Glomus intraradices colonized Medicago truncatula roots. The combination of laser capture microdissection (LCM) and liquid chromatography-tandem mass chromatography (LC-MS/MS) allowed the identification of proteins with specific or increased expression in arbuscule-containing cells. Consistent with previous transcriptome data, the proteome of arbuscule-containing cells showed an increased number of proteins involved in lipid metabolism, most likely related to the synthesis of the periarbuscular membrane. In addition, transcriptome data of non-colonized cells of mycorrhizal roots suggest mobilization of carbon resources and their symplastic transport toward arbuscule-containing cells for the synthesis of periarbuscular membranes. This highlights the periarbuscular membrane as important carbon sink in the mycorrhizal symbiosis. ? Landes Bioscience.</t>
  </si>
  <si>
    <t>Although plant phosphate uptake is reduced by low soil temperature, arbuscular mycorrhizal (AM) fungi are responsible for P uptake in many plants. We investigated growth and carbon allocation of the AM fungus Glomus mosseae and a host plant (Plantago lanceolata) under reduced soil temperature. Plants were grown in compartmented microcosm units to determine the impact on both fungus and roots of a constant 2.7øC reduction in soil temperature for 16d. C allocation was measured using two 13CO2 pulse labels. Although root growth was reduced by cooling, AM colonization, growth and respiration of the extraradical mycelium (ERM) and allocation of assimilated 13C to the ERM were all unaffected; the frequency of arbuscules increased. In contrast, root respiration and 13C content and plant P and Zn content were all reduced by cooling. Cooling had less effect on N and K, and none on Ca and Mg content. The AM fungus G.mosseae was more able to sustain activity in cooled soil than were the roots of P.lanceolata, and so enhanced plant P content under a realistic degree of soil cooling that reduced plant growth. AM fungi may therefore be an effective means to promote plant nutrition under low soil temperatures. ? 2011 Blackwell Publishing Ltd.</t>
  </si>
  <si>
    <t>Sporocarps of ectomycorrhizal fungi are strong carbon sinks for the source in host trees, but the details of carbon transfer from the host to the sporocarp are unknown. In this study, single seedlings of Japanese red pine (Pinus densiflora) colonised by Laccaria amethystina were grown on floral foam plates fitted in rhizoboxes, resulting in fruiting on the substrate. The seedlings were photosynthetically labelled with 14CO 2; 14C-labelled photosynthate transfer from leaves to sporocarps was then chased using a time-course autoradiography technique. 14C was transferred to healthy, fresh sporocarps in a purple colour ranging from primordial to elongate sporocarps, but hardly to senesced ones that had faded to white or grey, or browned. This suggested that C is transferred only to physiologically active sporocarps. Two seedlings associated with a growing sporocarp were labelled again 7 and 16 days after the first labelling, respectively. 14C accumulation in the sporocarps rose in a stepwise manner after the second labelling, indicating that sporocarps mainly used recently rather than previously photosynthesised C. ? 2011 Springer-Verlag.</t>
  </si>
  <si>
    <t>We investigated arbuscular mycorrhizal fungi (AMF) alteration of microbial mediation of litter decomposition. AMF (Glomus hoi) were either allowed access to or excluded from Plantago lanceolata L. root litter embedded in soil; litter was labeled with either 13C only or 13C and 15N. Plant N uptake was significantly increased if AMF accessed the litter, and 15N analysis of the plant material indicated that 2-3% of plant N originated from litter. Succession of the soil community mediating decomposition was assessed by phospholipid fatty acids (PLFA) combined with 13C-PLFA. During the first 21 days of decomposition, saprotrophic fungi and Gram-negative bacteria were the dominant consumers of litter C. As decomposition progressed however, 13C content of the fungal biomarkers declined substantially, and Gram-negative and Gram-positive bacteria became the primary reservoirs of labeled litter C. The putative PLFA marker for AMF (16:1?5c) originated primarily from non-AMF sources. In AMF-invaded root litter, Gram-negative, Gram-positive, and 16:1?5c markers became less 13C-enriched relative to their counterparts in non-AMF-invaded microcosms during active decomposition. These patterns of 13C: 12C enrichment may result from AMF supply of 12C from the plant to the decomposing soil microbial community; such C inputs could alter the microbial mediation of litter decomposition. ? 2012 Federation of European Microbiological Societies. Published by Blackwell Publishing Ltd. All rights reserved.</t>
  </si>
  <si>
    <t>This paper investigated the flow of carbon into different groups of soil microorganisms isolated from different particle size fractions. Two agricultural sites of contrasting organic matter input were compared. Both soils had been submitted to vegetation change from C3 (Rye/Wheat) to C4 (Maize) plants, 25 and 45years ago. Soil carbon was separated into one fast-degrading particulate organic matter fraction (POM) and one slow-degrading organo-mineral fraction (OMF). The structure of the soil microbial community were investigated using phospholipid fatty acids (PLFA), and turnover of single PLFAs was calculated from the changes in their 13C content. Soil enzyme activities involved in the degradation of carbohydrates was determined using fluorogenic MUF (methyl-umbelliferryl phosphate) substrates.We found that fresh organic matter input drives soil organic matter dynamic. Higher annual input of fresh organic matter resulted in a higher amount of fungal biomass in the POM-fraction and shorter mean residence times. Fungal activity therefore seems essential for the decomposition and incorporation of organic matter input into the soil. As a consequence, limited litter input changed especially the fungal community favoring arbuscular mycorrhizal fungi. Altogether, supply and availability of fresh plant carbon changed the distribution of microbial biomass, the microbial community structure and enzyme activities and resulted in different priming of soil organic matter.Most interestingly we found that only at low input the OMF fraction had significantly higher calculated MRT for Gram-positive and Gram-negative bacteria suggesting high recycling of soil carbon or the use of other carbon sources. But on average all microbial groups had nearly similar carbon uptake rates in all fractions and both soils, which contrasted the turnover times of bulk carbon. Hereby the microbial carbon turnover was always faster than the soil organic carbon turnover and higher carbon input reduced the carbon storage efficiency from 51% in the low input to 20%. These findings suggest that microbial community preferentially assimilated fresh carbon sources but also used recycled existing soil carbon. However, the priming rate was drastically reduced under carbon limitation. In consequence at high carbon availability more carbon was respired to activate the existing soil carbon (priming) whereas at low carbon availability new soil carbon was formed at higher efficiencies. ? 2012 Elsevier Ltd.</t>
  </si>
  <si>
    <t>Ectomycorrhizal (EM) networks are hypothesized to facilitate regeneration under abiotic stress. We tested the role of networks in interactions between P. menziesii var. glauca trees and conspecific seedlings along a climatic moisture gradient to: (1) determine the effects of climatic factors on network facilitation of Pseudotsuga menziesii (Mirb.) Franco var. glauca (Mayr) seedling establishment, (2) infer the changing importance of P. menziesii var. glauca parent trees in conspecific regeneration with climate, and (3) parse the competitive from facilitative effects of P. menziesii var. glauca trees on seedlings. When drought conditions were greatest, seedling growth increased when seedlings could form a network with trees in the absence of root competition, but was reduced when unable to form a network. Survival was maximized when seedlings were able to form a network in the absence of root competition. Seedling stem natural abundance ë 13C increased with drought due to increasing water use efficiency, but was unaffected by distance from tree or network potential. We conclude that P. menziesii seedlings may benefit from the presence of established P. menziesii trees when growing under climatic drought, but that this benefit is contingent upon the establishment of an EM network prior to the onset of summer drought. These results suggest that networks are an important mechanism for EM plants establishing in a pattern consistent with the stress-gradient hypothesis, and therefore the importance of EM networks to facilitation in regeneration of EM trees is expected to increase with drought. ? 2011 Springer Science+Business Media, LLC.</t>
  </si>
  <si>
    <t>M†rtensson L.-M., Schnoor T.K., Olsson P.A.</t>
  </si>
  <si>
    <t>By investigating both semi-natural and experimentally implemented pH variation in nutrient-poor sandy grasslands, we examined how soil decalcification may influence the arbuscular mycorrhizal (AM) fungal biomass in plant roots and in the soil, as well as the allocation of carbon (C) to AM fungal biomass. We estimated the amount of AM fungal mycelium, by using the fatty acid 16:1?5, in the roots and in the soil surrounding the roots of two grass species in a pH gradient, and in one grass in an experimental area. We investigated the allocation of C to the AM fungi by using in situ 13C labelling. Contrary to our expectations, we found a decrease in AM fungal mycelium in the soil with increasing soil pH, and no significant relationship between soil pH and the amount of AM fungi in the roots. We also found that the allocation of C below ground was very small in the grasses investigated; the excess of 13C in the roots after five days was only between 0.06 and 1.2% of the excess of 13C in the shoots directly after labelling. The allocation of C to the extraradical AM mycelium also decreased with increasing pH, ranging from not detectable to 1.2?g 13C g -1 dry soil in the range of soil pH from 5.5 to 8.5. Experimental manipulation of decalcification through soil perturbation further supported the finding that AM fungal density is higher in decalcified areas, although it was not statistically significant in this case. We conclude that the amount of AM fungi is very low in this type of nutrient and drought stressed habitat, and that a high pH in the topsoil does not leads to higher AM fungal biomass. ? 2012 Elsevier B.V.</t>
  </si>
  <si>
    <t>Fellbaum C.R., Gachomo E.W., Beesetty Y., Choudhari S., Strahan G.D., Pfeffer P.E., Kiers E.T., Bcking H.</t>
  </si>
  <si>
    <t>Quantifying soil organic carbon stocks (SOC) and their dynamics accurately is crucial for better predictions of climate change feedbacks within the atmosphere-vegetation-soil system. However, the components, environmental responses and controls of the soil CO 2 efflux (R s) are still unclear and limited by field data availability. The objectives of this study were (1) to quantify the contribution of the various R s components, specifically its mycorrhizal component, (2) to determine their temporal variability, and (3) to establish their environmental responses and dependence on gross primary productivity (GPP). In a temperate deciduous oak forest in south east England hourly soil and ecosystem CO 2 fluxes over four years were measured using automated soil chambers and eddy covariance techniques. Mesh-bag and steel collar soil chamber treatments prevented root or both root and mycorrhizal hyphal in-growth, respectively, to allow separation of heterotrophic (R h) and autotrophic (R a) soil CO 2 fluxes and the R a components, roots (R r) and mycorrhizal hyphae (R m). Annual cumulative R s values were very similar between years (740 ñ 43 g C mg -2 yr -1) with an average flux of 2.0 ñ 0.3 ?mol CO 2 mg -2 s -1, but R s components varied. On average, annual R r, R m and R h fluxes contributed 38, 18 and 44%, respectively, showing a large R a contribution (56%) with a considerable R m component varying seasonally. Soil temperature largely explained the daily variation of R s (R 2 Combining double low line 0.81), mostly because of strong responses by R h (R 2 Combining double low line 0.65) and less so for R r (R 2 Combining double low line 0.41) and R m (R 2 Combining double low line 0.18). Time series analysis revealed strong daily periodicities for R s and R r, whilst R m was dominated by seasonal (?150 days), and R h by annual periodicities. Wavelet coherence analysis revealed that R r and R m were related to short-term (daily) GPP changes, but for R m there was a strong relationship with GPP over much longer (weekly to monthly) periods and notably during periods of low R r. The need to include individual R s components in C flux models is discussed, in particular, the need to represent the linkage between GPP and R a components, in addition to temperature responses for each component. The potential consequences of these findings for understanding the limitations for long-term forest C sequestration are highlighted, as GPP via root-derived C including R m seems to function as a C overflow tap, with implications on the turnover of SOC. ? 2012 Author(s).</t>
  </si>
  <si>
    <t>Large quantities of carbon are exchanged between terrestrial ecosystems and the atmosphere, and extensive research efforts are made to understand carbon cycling and the impact of elevated atmospheric CO 2 levels. The response of soils to increased carbon availability is largely driven by root associated ectomycorrhizal fungi in forest ecosystems, since they partition host derived carbon belowground. In this review I examine how CO 2 enrichment affects ectomycorrhizal fungal biomass production, exudation, respiration, soil carbon fluxes, and other soil microbes, and the importance of the fungal species in these responses. I briefly discuss the significance of CO 2 alterations in the mycorrhizal symbiosis in the context of consequences for carbon sequestration, and present research priorities. ? 2011 Elsevier Ltd and The British Mycological Society.</t>
  </si>
  <si>
    <t>Inselsbacher E., N„sholm T.</t>
  </si>
  <si>
    <t>? Nitrogen (N) availability has a major impact on a wide range of biogeochemical processes in terrestrial ecosystems. Changes in N availability modify the capacity of plants to sequester carbon (C), but despite the crucial importance for our understanding of terrestrial ecosystems, the relative contribution of different N forms to plant N nutrition in the field is not known. Until now, reliably assessing the highly dynamic pool of plant-available N in soil microsites was virtually impossible, because of the lack of adequate sampling techniques. ? For the first time we have applied a novel microdialysis technique for disturbance-free monitoring of diffusive fluxes of inorganic and organic N in 15 contrasting boreal forest soils in situ. ? We found that amino acids accounted for 80% of the soil N supply, while ammonium and nitrate contributed only 10% each. In contrast to common soil extractions, microdialysis revealed that the majority of amino acids are available for plant and mycorrhizal uptake. ? Our results suggest that the N supply of boreal forest soils is dominated by organic N as a major component of plant-available N and thus as a regulator of growth and C sequestration. ? 2012 The Authors. New Phytologist ? 2012 New Phytologist Trust.</t>
  </si>
  <si>
    <t>Biocharcharcoal used to amend land and sequester carbonis attracting considerable interest. Its distinctive physical/chemical/biological properties, including high water-holding capacity, large surface area, cation exchange capacity, elemental composition, and pore size/volume/distribution, effect its recognized impacts, especially on microbial communities. These are explored in the context of agriculture, composting, and land remediation/restoration. Considerable focus is given to mycorrhizal associations, which are central to exploitation in environmental technologies involving biochar. The characteristics of biochar, its availability for nutrient cycling, including the beneficial and potentially negative/inhibitory impacts, and the requisite multidisciplinary analysis (physicochemical, microbiological, and molecular) to study these in detail, are explored. ? 2012 Taylor &amp; Francis Group, LLC.</t>
  </si>
  <si>
    <t>Plants commonly live in a symbiotic association with arbuscular mycorrhizal fungi (AMF). They invest photosynthetic products to feed their fungal partners, which, in return, provide mineral nutrients foraged in the soil by their intricate hyphal networks. Intriguingly, AMF can link neighboring plants, forming common mycorrhizal networks (CMNs). What are the terms of trade in such CMNs between plants and their shared fungal partners? To address this question, we set up microcosms containing a pair of test plants, interlinked by a CMN of Glomus intraradices or Glomus mosseae. The plants were flax (Linum usitatissimum; a C3 plant) and sorghum (Sorghum bicolor; a C4 plant), which display distinctly different 13C/12C isotope compositions. This allowed us to differentially assess the carbon investment of the two plants into the CMN through stable isotope tracing. In parallel, we determined the plants' "return of investment" (i.e. the acquisition of nutrients via CMN) using 15N and 33P as tracers. Depending on the AMF species, we found a strong asymmetry in the terms of trade: flax invested little carbon but gained up to 94% of the nitrogen and phosphorus provided by the CMN, which highly facilitated growth, whereas the neighboring sorghum invested massive amounts of carbon with little return but was barely affected in growth. Overall biomass production in the mixed culture surpassed the mean of the two monocultures. Thus, CMNs may contribute to interplant facilitation and the productivity boosts often found with intercropping compared with conventional monocropping. ? 2012 American Society of Plant Biologists.</t>
  </si>
  <si>
    <t>P‚rez A.B., Etchevers J.D., del Carmen Gonz lez Ch vez M., Moreno C.H., Monreal C.M., Prat C.</t>
  </si>
  <si>
    <t>Glomalin is a glycoprotein produced by the hyphae of arbuscular mycorrhizal fungi (AMF). The chemical methods usually employed to extract glomalin from the soil obtain something more than this pure glycoprotein, and therefore it would be better to call this fraction soil protein related to glomalin (SPRG) or glomalin associated with humic substances (GAHS). On this account, its isolation is controversial. The SPGR or GAHS has a significant influence on the physical, chemical, and biological properties of soils and could then be considered as an indicator of soil use change. In the present study, the storage of SPRG was evaluated, as well as carbon (C) associated with the latter (CG) and the content of soil organic C (SOC) in cultivated tepetates in the State of Mexico. Tepetates are hardened volcanic tuffs of the fragipan type, ameliorated for agricultural production. The specific objectives of the present study were (1) to evaluate the SPRG levels in tepetates, (2) measure the contribution of carbon (C) made by the SPRG to soil organic C (SOC), and (3) compare the extraction of SPRG with sodium pyrophosphate and sodium citrate. The samples used in this experiment came from 87 tepetate-cultivated plots (0-20 cm) located in the Texcoco River basin, State of Mexico. The levels of SPRG were observed among traces, 2.3 mg g -1 for citrate and up to 5.6 mg g -1 for pyrophosphate. The latter reactive allowed us to extract nearly three times more SPRG and two times more C-SPRG than sodium citrate (P = 0.05) in the tepetates having about 4% of SOC; yet when the latter was less than 0.5%, the extraction levels with both solutions were similar. The SPRG and CG were closely correlated with SOC (r &amp;gt; 0.90). Tepetates have levels of SPRG similar to those observed in arid soils. ? 2012 Copyright Taylor and Francis Group, LLC.</t>
  </si>
  <si>
    <t>Schulz H., Sch„fer T., Storbeck V., H„rtling S., Rudloff R., K”ck M., Buscot F.</t>
  </si>
  <si>
    <t>Ectomycorrhiza (EM) formation improves tree growth and nutrient acquisition, particularly that of nitrogen (N). Few studies have coupled the effects of naturally occurring EM morphotypes to the nutrition of host trees. To investigate this, pine seedlings were grown on raw humus substrates collected at two forest sites, R2 and R3. Ectomycorrhiza morphotypes were identified, and their respective N uptake rates from organic (2- 13C, 15N-glycine) and inorganic ( 15NH 4Cl, Na 15NO 3, 15NH 4NO 3, NH4 15NO3) sources as well as their phosphate uptake rates were determined. Subsequently, the growth and nutritional status of the seedlings were analyzed. Two dominant EM morphotypes displayed significantly different mycorrhization rates in the two substrates. Rhizopogon luteolus Fr. (RL) was dominant in R2 and Suillus bovinus (Pers.) Kuntze (SB) was dominant in R3. 15N uptake of RL EM was at all times higher than that of SB EM. Phosphate uptake rates by the EM morphotypes did not differ significantly. The number of RL EM correlated negatively and the number of SB EM correlated positively with pine growth rate. Increased arginine concentrations and critical P/N ratios in needles indicated nutrient imbalances of pine seedlings from humus R2, predominantly mycorrhizal with RL. We conclude that different N supply in raw humus under Scots pine stands can induce shifts in the EM frequency of pine seedlings, and this may lead to EM formation by fungal strains with different ability to support tree growth. ? 2011 The Author.</t>
  </si>
  <si>
    <t>1. The relative constancy of the lower limit on Earth's atmospheric CO 2 concentration ([CO 2] a) during major tectonic episodes over the final 24million years (Ma) of the Cenozoic is surprising because they are expected to draw-down [CO 2] a by enhancing chemical weathering and carbonate deposition on the seafloor. That [CO 2] a did not drop to extremely low values suggests the existence of feedback mechanisms that slow silicate weathering as [CO 2] a declines. One proposed mechanism is a negative feedback mediated through CO 2 starvation of land plants in active orogenic regions compromising the efficiency of the primary carboxylating enzyme in C 3 plants (Rubisco) and diminishing productivity and terrestrial weathering. 2. The CO 2 starvation hypothesis is developed further by identifying four key related mechanisms: decreasing net primary production leading to (i) decreasing below-ground C allocation, reducing the surface area of contact between minerals and roots and mycorrhizal fungi and (ii) reduced demand for soil nutrients decreasing the active exudation of protons and organic acids by fine roots and mycorrhizas; (iii) lower carbon cost-for-nutrient benefits of arbuscular mycorrhizas (AM) favouring AM over ectomycorrhizal root-fungal symbioses, which are less effective at mineral weathering, and (iv) conversion of forest to C 3 and C 4 grassland arresting Ca leaching from soils. 3. We evaluated the global importance of mechanisms 1 and 2 in silicate weathering under a changing late Miocene [CO 2] a and climate using a process-based model describing the effects of plants and mycorrhizal fungi on the biological proton cycle and soil chemistry. The model captures what we believe are the key processes controlling the pH of the mycorrhizosphere and includes numerical routines for calculating weathering rates on basalt and granite using simple yet rigorous equilibrium chemistry and rate laws. 4. Our simulations indicate a reduction in the capacity of the terrestrial biosphere to weather continental silicate rocks by a factor of four in response to successively decreasing [CO 2] a values (400, 280, 180 and 100p.p.m.) and associated late Miocene (11.6-5.3Ma) cooling. Marked reductions in terrestrial weathering could effectively limit biologically mediated long-term carbon sequestration in marine sediments. 5. These results support the idea of terrestrial vegetation acting as a negative feedback mechanism that counteracts substantial declines in [CO 2] a linked to increased production of fresh weatherable minerals in warm, low-latitude, active orogenic regions. ? 2012 The Authors. Journal of Ecology ? 2012 British Ecological Society.</t>
  </si>
  <si>
    <t>? We investigated the fungal symbionts and carbon nutrition of a Japanese forest photosynthetic orchid, Platanthera minor, whose ecology suggests a mixotrophic syndrome, that is, a mycorrhizal association with ectomycorrhiza (ECM)-forming fungi and partial exploitation of fungal carbon. ? We performed molecular identification of symbionts by PCR amplifications of the fungal ribosomal DNA on hyphal coils extracted from P. minor roots. We tested for a 13C and 15N enrichment characteristic of mixotrophic plants. We also tested the ectomycorrhizal abilities of orchid symbionts using a new protocol of direct inoculation of hyphal coils onto roots of Pinus densiflora seedlings. ? In phylogenetic analyses, most isolated fungi were close to ECM-forming Ceratobasidiaceae clades previously detected from a few fully heterotrophic orchids or environmental ectomycorrhiza surveys. The direct inoculation of fungal coils of these fungi resulted in ectomycorrhiza formation on P. densiflora seedlings. Stable isotope analyses indicated mixotrophic nutrition of P. minor, with fungal carbon contributing from 50% to 65%. ? This is the first evidence of photosynthetic orchids associated with ectomycorrhizal Ceratobasidiaceae taxa, confirming the evolution of mixotrophy in the Orchideae orchid tribe, and of ectomycorrhizal abilities in the Ceratobasidiaceae. Our new ectomycorrhiza formation technique may enhance the study of unculturable orchid mycorrhizal fungi. ? 2011 The Authors. New Phytologist ? 2011 New Phytologist Trust.</t>
  </si>
  <si>
    <t>ë 13C; ë 15N; Chamaegastrodia sikokiana; Mycoheterotrophy; Rhizanthella gardneri; Rhizoctonias; Specificity; Tribe Orchideae</t>
  </si>
  <si>
    <t>The fungal symbiont, Arbuscular mycorrhiza (AM) may benefit greenhouse gas reduction at the same time as increasing plant nutrients, moisture availability and soil carbon. The lack of increased mineralization observed in response to higher carbon availability in AM colonized soils is addressed through a literature review of studies from fields with a range of soil carbon, soil texture from sand to clay and over various time frames. Many studies pointed to highest carbon solubility in organic systems with carbon amendments and on undisturbed prairie, both of which host abundant AM colonization. Published data from several large field studies with wide variation in carbon levels, provided evidence of significantly decreased nitrogen mineralization in high soil carbon conditions, and more so in sand than clay soils. Multiple explanations were proposed in literature, including increased nitrogen immobilization with abundant soluble carbon, changes in carbon storage form and turnover time and the delayed effect of AM colonization on soil water repellency and aggregation. Our review is contrary to ideology found in some computer modeling programs, where nitrate levels and nitrogen mineralization were increased in high soil carbon conditions, and decreased with low soil carbon in response to nitrogen level. Arbuscular mycorrhizal fungal colonization may provide a unique system to retain carbon and nitrogen in the environment in association with plant growth. Further research in this area could provide necessary detail to understand soil carbon feedback from plant growth that may alter carbon and nitrogen mineralization with increased atmospheric CO2 concentrations. ? 2011 Nova Science Publishers, Inc. All rights reserved.</t>
  </si>
  <si>
    <t>Strmer S.L., Sgrott A.F., Braghirolli F.L., Uhlmann A., Pescador R.</t>
  </si>
  <si>
    <t>The endomycorrhizal association established between arbuscular mycorrhizal fungi (Glomeromycetes) and plant roots are known to have a pivotal role on plant survival and nutrition. In this chapter, we convey that the triad riparian forest-carbon sequestration-arbuscular mycorrhizal fungi should be considered as environmental friendly strategy to recovery riparian sites. Greenhouse and field experiments carried out in soils occurring at the Itajai valley basin have demonstrated the importance of this association for growth and carbon allocation on plants species used to revegetation of riparian sites. Inoculation of pioneer species with selected fungal isolates have shown that more carbon is allocated to roots when compared to non-inoculated plants or plants inoculated with indigenous fungi. For Schinus terebinthifolius we have evidence at field conditions that inoculation with Scutellospora heterogama, ,Glomus clarum and Acaulospora koskei increased significantly the quantity of carbon stored in individual plants, calculated using allometric equations. Riparian sites are habitats that harbors a great diversity of glomeromycetes and 42 species has been registered in works developed in the USA and Brazil, most of them in the genera Glomus and Acaulospora. It is also noticeable that all members of Paraglomus ( P. occultum, P. brasilianum, P. laccatum) and Archaeospora trappei are commonly found in riparian sites. Considering the role of arbuscular mycorrhizal fungi on growth and carbon accumulation of pioneer plants and the high diversity of glomeromycetes in riparian soils, the inoculation of plants to be used in revegetation process of riparian sites should be viewed as a environmental friendly strategy to recovery these areas and improve carbon sequestration. ? 2012 by Nova Science Publishers, Inc. All rights reserved.</t>
  </si>
  <si>
    <t>Facilitation of tree establishment by ectomycorrhizal (EM) networks (MNs) may become increasingly important as drought stress increases with climate change in some forested regions of North America. The objective of this study was to determine (1) whether temperature, CO2 concentration ([CO2]), soil moisture, and MNs interact to affect plant establishment success, such that MNs facilitate establishment when plants are the most water stressed, and (2) whether transfer of C and water between plants through MNs plays a role in this. We established interior Douglas-fir (Pseudotsuga menziesii var. glauca) seedlings in root boxes with and without the potential to form MNs with nearby conspecific seedlings that had consistent access to water via their taproots. We varied temperature, [CO2], and soil moisture in growth chambers. Douglas-fir seedling survival increased when the potential existed to form an MN. Growth increased with MN potential under the driest soil conditions, but decreased with temperature at 800 ppm [CO2]. Transfer of 13C to receiver seedlings was unaffected by potential to form an MN with donor seedlings, but deuterated water (D2O) transfer increased with MN potential under ambient [CO2]. Chlorophyll fluorescence was reduced when seedlings had the potential to form an MN under high [CO2] and cool temperatures. We conclude that Douglas-fir seedling establishment in laboratory conditions is facilitated byMN potential where Douglas-fir seedlings have consistent access to water. Moreover, this facilitation appears to increase as water stress potential increases and water transfer via networks may play a role in this. These results suggest that conservation of MN potential may be important to forest regeneration where drought stress increases with climate change. ? 2011 The Authors.</t>
  </si>
  <si>
    <t>Many studies have scrutinized the nutritional benefits of arbuscular mycorrhizal associations to their host plants, while the carbon (C) balance of the symbiosis has often been neglected. Here, we present quantification of both the C costs and the phosphorus (P) uptake benefits of mycorrhizal association between barrel medic (Medicago truncatula) and three arbuscular mycorrhizal fungal species, namely Glomus intraradices, Glomus claroideum, and Gigaspora margarita. Plant growth, P uptake and C allocation were assessed 7 weeks after sowing by comparing inoculated plants with their non-mycorrhizal counterparts, supplemented with different amounts of P. Isotope tracing ( 33P and 13C) was used to quantify both the mycorrhizal benefits and the costs, respectively. G. intraradices supported greatest plant P acquisition and incurred high C costs, which lead to similar plant growth benefits as inoculation with G. claroideum, which was less efficient in supporting plant P acquisition, but also required less C. G. margarita imposed large C requirement on the host plant and provided negligible P uptake benefits. However, it did not significantly reduce plant growth due to sink strength stimulation of plant photosynthesis. A simple experimental system such as the one established here should allow quantification of mycorrhizal costs and benefits routinely on a large number of experimental units. This is necessary for rapid progress in assessment of C fluxes between the plants and different mycorrhizal fungi or fungal communities, and for understanding the dynamics between mutualism and parasitism in mycorrhizal symbioses. ? 2011 Springer-Verlag.</t>
  </si>
  <si>
    <t>Schnoor T.K., M†rtensson L.-M., Olsson P.A.</t>
  </si>
  <si>
    <t>We have studied how disturbance by ploughing and rotavation affects the carbon (C) flow to arbuscular mycorrhizal (AM) fungi in a dry, semi-natural grassland. AM fungal biomass was estimated using the indicator neutral lipid fatty acid (NLFA) 16:1?5, and saprotrophic fungal biomass using NLFA 18:2?6,9. We labeled vegetation plots with 13CO 2 and studied the C flow to the signature fatty acids as well as uptake and allocation in plants. We found that AM fungal biomass in roots and soil decreased with disturbance, while saprotrophic fungal biomass in soil was not influenced by disturbance. Rotavation decreased the 13C enrichment in NLFA 16:1?5 in soil, but 13C enrichment in the AM fungal indicator NLFA 16:1?5 in roots or soil was not influenced by any other disturbance. In roots, 13C enrichment was consistently higher in NLFA 16:1?5 than in crude root material. Grasses (mainly Festuca brevipila) decreased as a result of disturbance, while non-mycorrhizal annual forbs increased. This decreases the potential for mycorrhizal C sequestration and may have been the main reason for the reduced mycorrhizal C allocation found in disturbed plots. Disturbance decreased the soil ammonium content but did not change the pH, nitrate or phosphate availability. The overall effect of disturbance on C allocation was that more of the C in AM fungal mycelium was directed to the external phase. Furthermore, the functional identity of the plants seemed to play a minor role in the C cycle as no differences were seen between different groups, although annuals contained less AM fungi than the other groups. ? 2011 Springer-Verlag.</t>
  </si>
  <si>
    <t>? We tested the prediction that the abundance and diversity of arbuscular mycorrhizal (AM) fungi are influenced by resource availability and plant community composition by examining the joint effects of carbon dioxide (CO 2) enrichment, nitrogen (N) fertilization and plant diversity on AM fungi. ? We quantified AM fungal spores and extramatrical hyphae in 176 plots after 7yr of treatment with all combinations of ambient or elevated CO 2 (368 or 560ppm), with or without N fertilization (0 or 4gNm -2), and one (monoculture) or 16 host plant species (polyculture) in the BioCON field experiment at Cedar Creek Ecosystem Science Reserve, Minnesota, USA. ? Extramatrical hyphal lengths were increased by CO 2 enrichment, whereas AM spore abundance decreased with N fertilization. Spore abundance, morphotype richness and extramatrical hyphal lengths were all greater in monoculture plots. A structural equation model showed AM fungal biovolume was most influenced by CO 2 enrichment, plant community composition and plant richness, whereas spore richness was most influenced by fungal biovolume, plant community composition and plant richness. ? Arbuscular mycorrhizal fungi responded to differences in host community and resource availability, suggesting that mycorrhizal functions, such as carbon sequestration and soil stability, will be affected by global change. ? 2011 New Phytologist Trust.</t>
  </si>
  <si>
    <t>Situated in the fast-developing country of Brazil, the Atlantic rainforest Mata Atlƒntica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 3 and C4 plants having different 13C/ 12C compositions, a C3-C4 vegetation change was induced using maize, a C4 plant. We measured the ë13C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 ? INRA and Springer Science+Business Media B.V. 2011.</t>
  </si>
  <si>
    <t>C incorporation; Carbon-13; Disturbance; Link between soil microbial structure and its function; Mata Atlƒntica; Phospholipid fatty acid; SOM turnover</t>
  </si>
  <si>
    <t>The Earth's climate is rapidly changing largely due to increasing anthropogenic greenhouse gas (GHG) emissions. Agricultural practices during crop production, food processing, and product marketing all generate GHG, contributing to the global climate change. The general public and farmers are urging the development and adoption of effective measures to reduce GHG emissions from all agricultural activities and sectors. However, quantitative information is not available in regard to what strategies and practices should be adopted to reduce emission from agriculture and how crop productivity would affect the intensity of GHG emission. To provide the potential solution, we estimated the carbon footprint [i.e., the total amount of GHG associated with the production and distribution of a given food product expressed in carbon dioxide equivalence (CO2e)] for some of the major field crops grown on the Canadian prairie and assessed the effect of crop sequences on the carbon footprint of durum wheat. Key strategies for reducing the carbon footprint of various field crops grown in semiarid areas were identified. Carbon footprints were estimated using emissions from (1) the decomposition of crop straw and roots; (2) the manufacture of N and P fertilizers and their rates of application; (3) the production of herbicides and fungicides; and (4) miscellaneous farm field operations. Production and application of N fertilizers accounted for 57% to 65% of the total footprint, those from crop residue decomposition 16% to 30%, and the remaining portion of the footprint included CO2e from the production of P fertilizer and pesticides, and from miscellaneous field operations. Crops grown in the Brown soil zone had the lowest carbon footprint, averaging 0.46 kg CO2e kg-1 of grain, whereas crops grown in the Black soil zone had a larger average carbon footprint of 0.83 kg CO2e kg-1 of grain. The average carbon footprint for crops grown in the Dark Brown soil zone was intermediate to the other two at 0.61 kg CO2e kg-1 of grain. One kilogram of grain product emitted 0.80 kg CO2e for canola (Brassica napus L.), 0.59 for mustard (Brassica juncea L.) and flaxseed (Linum usitatissimum L.), 0.46 for spring wheat (Triticum aestivum L.), and 0.20 to 0.33 kg CO 2e for chickpea (Cicer arietinum L.), dry pea (Pisum sativum L.), and lentil (Lens culinaris Medik.). Durum wheat (T. aestivum L.) preceded by an N-fixing crop (i.e., pulses) emitted total greenhouse gases of 673 kg CO 2e, 20% lower than when the crop was preceded by a cereal crop. Similarly, durum wheat preceded by an oilseed emitted 744 kg CO2e, 11% lower than when preceded by a cereal. The carbon footprint for durum grown after a pulse was 0.25 kg CO2e per kg of the grain and 0.28 kg CO2e per kg of the grain when grown after an oilseed: a reduction in the carbon footprint of 24% to 32% than when grown after a cereal. The average carbon footprint can be lowered by as much as 24% for crops grown in the Black, 28% in the Dark Brown, and 37% in the Brown soil zones, through improved agronomic practices, increased N use efficiency, use of diversified cropping systems, adoption of crop cultivars with high harvest index, and the use of soil bioresources such as P-solublizers and arbuscular mycorrhizal fungi in crop production. ? INRA and Springer Science+Business Media B.V. 2011.</t>
  </si>
  <si>
    <t>The use of stable isotopes in diet analysis usually relies on the different photosynthetic pathways of C 3 and C 4 plants, and the resulting difference in carbon isotope signature. In the Arctic, however, plant species are exclusively C 3, and carbon isotopes alone are therefore not suitable for studying arctic herbivore diets. In this study, we examined the potential of both stable carbon and nitrogen isotopes to reconstruct the diet of an arctic herbivore, here the muskox (Ovibos moschatus (Zimmermann, 1780)), in northeast Greenland. The isotope composition of plant communities and functional plant groups was compared with those of muskox faeces and shed wool, as this is a noninvasive approach to obtain dietary information on different temporal scales. Plants with different root mycorrhizal status were found to have different ë 15N values, whereas differences in ë 13C, as expected, were less distinct. As a result, our examination mainly relied on stable nitrogen isotopes. The interpretation of stable isotopes from faeces was difficult because of the large uncertainty in diet-faeces fractionation, whereas isotope signatures from wool suggested that the muskox summer diet consists of around 80% graminoids and up to 20% willows. In conclusion, the diet composition of an arctic herbivore can indeed be inferred from stable isotopes in arctic areas, despite the lack of C 4 plants.</t>
  </si>
  <si>
    <t>Despite their prominent role for tree growth, few studies have examined the occurrence of ectomycorrhizal fungi in lowland, seasonally dry tropical forests (SDTF). Although fruiting bodies of boletes have been observed in a dry tropical forest on the Northern Yucatan Peninsula, Mexico, their occurrence is rare and their mycorrhizal status is uncertain. To determine the trophic status (mycorrhizal vs. saprotrophic) of these boletes, fruiting bodies were collected and isotopically compared to known saprotrophic fungi, foliage, and soil from the same site. Mean ë15N and ë13C values differed significantly between boletes and saprotrophic fungi, with boletes 8.0? enriched and 2.5? depleted in 15N and 13C, respectively relative to saprotrophic fungi. Foliage was depleted in 13C relative to both boletes and saprotrophic fungi. Foliar ë15N values, on the other hand, were similar to saprotrophic fungi, yet were considerably lower relative to bolete fruiting bodies. Results from this study provide the first isotopic evidence of ectomycorrhizal fungi in lowland SDTF and emphasize the need for further research to better understand the diversity and ecological importance of ectomycorrhizal fungi in these forested ecosystems. ? 2011 The Author(s).</t>
  </si>
  <si>
    <t>Premise of the study: We investigated whether four widespread, photosynthetic Mediterranean meadow orchids (Ophrys fuciflora, Anacamptis laxiflora, Orchis purpurea, and Serapias vomeracea) had either nutritional dependency on mycobionts or mycorrhizal fungal specificity. Nonphotosynthetic orchids generally engage in highly specific interactions with fungal symbionts that provide them with organic carbon. By contrast, fully photosynthetic orchids in sunny, meadow habitats have been considered to lack mycorrhizal specificity. Methods: We performed both culture-dependent and culture-independent ITS sequence analysis to identify fungi from orchid roots. By analyzing stable isotope ( 13C and 15N) natural abundances, we also determined the degree of autotrophy and mycoheterotrophy in the four orchid species. Key results: Phylogenetic and multivariate comparisons indicated that Or. purpurea and Oph. fuciflora featured lower fungal diversity and more specific mycobiont spectra than A. laxiflora and S. vomeracea. All orchid species were significantly enriched in 15N compared with neighboring non-orchid plants. Orchis purpurea had the most pronounced N gain from fungi and differed from the other orchids in also obtaining C from fungi. Conclusions: These results indicated that even in sunny Mediterranean meadows, orchids may be mycoheterotrophic, with correlated mycorrhizal fungal specificity. ? 2011 Botanical Society of America.</t>
  </si>
  <si>
    <t>In many forest ecosystems, fine root litter comprises a large pool of organic carbon and nutrients. In temperate climates ectomycorrhizal fungi colonize the roots of many forest plant species. If ectomycorrhizal colonization influenced root decomposition, it could significantly influence carbon sequestration and nutrient cycling. Fungal tissues and fine roots may decompose at different rates and, therefore, ectomycorrhizal colonization may either hasten or retard root decomposition. Unfortunately, no comparisons of the decomposition of roots and ectomycorrhizal fungi have yet been made. Therefore, we compared decomposition of Pinus resinosa fine roots and ectomycorrhizal fungi from a Pinus resinosa plantation. We also compared the decomposition rates of nonmycorrhizal Pinus resinosa fine roots with roots colonized by nine species of ectomycorrhizal fungi. We found that the several tested isolates of ectomycorrhizal fungi decomposed far more rapidly than the fine roots and that ectomycorrhizal colonization either had no significant effect on root decomposition or significantly increased root decomposition depending on the isolate of fungus. We conclude that the composition of an ectomycorrhizal fungal community may affect carbon and nutrient cycling through its influence on root decomposition. ? 2011 The Authors. New Phytologist ? 2011 New Phytologist Trust.</t>
  </si>
  <si>
    <t>Arbuscular mycorrhizal (AM) fungi can enhance the rate of decomposition of organic material, and can acquire nitrogen (N) from organic sources, although they are not saprotrophs. These fungi may instead indirectly influence decomposition through interactions with other soil microorganisms. We investigated the impact of both AM hyphae and a bacterial filtrate on N capture by a host plant from sterilized organic material (Lolium perenne shoots dual labelled with 15N and 13C), using compartmented microcosms. The addition of a bacterial filtrate considerably suppressed AM hyphal growth in the patch and reduced the root phosphorus content, demonstrating that bacterial populations can reduce symbiotic effectiveness. In contrast, AM hyphae had only a limited impact on bacterial community structure. Uptake of 15N greatly exceeded that of 13C, demonstrating that fungi acquired N in an inorganic form. We also examined the ability of AM fungi in gnotobiotic hairy root culture to acquire N directly from organic materials of varying complexities (glutamic acid, urea, bacterial lysate and L. perenne shoots). AM colonization did not enhance root N capture from these materials, although the bacterial lysate reduced both total AM colonization and arbuscule frequency. Collectively, these data demonstrate antagonistic interactions between AM fungi and bacteria that reflect resource competition for decomposition products. ? 2011 Federation of European Microbiological Societies.</t>
  </si>
  <si>
    <t>Plant-soil interactions are central to short-term carbon (C) cycling through the rapid transfer of recently assimilated C from plant roots to soil biota. In grassland ecosystems, changes in C cycling are likely to be influenced by land use and management that changes vegetation and the associated soil microbial communities. Here we tested whether changes in grassland vegetation composition resulting from management for plant diversity influences short-term rates of C assimilation and transfer from plants to soil microbes. To do this, we used an in situ 13C-CO2 pulse-labelling approach to measure differential C uptake among different plant species and the transfer of the plant-derived 13C to key groups of soil microbiota across selected treatments of a long-term plant diversity grassland restoration experiment. Results showed that plant taxa differed markedly in the rate of 13C assimilation and concentration: uptake was greatest and 13C concentration declined fastest in &lt;i&gt;Ranunculus repens&lt;/i&gt;, and assimilation was least and 13C signature remained longest in mosses. Incorporation of recent plant-derived 13C was maximal in all microbial phosopholipid fatty acid (PLFA) markers at 24 h after labelling. The greatest incorporation of 13C was in the PLFA 16:1&amp;omega;5, a marker for arbuscular mycorrhizal fungi (AMF), while after 1 week most 13C was retained in the PLFA18:2&amp;omega;6,9 which is indicative of assimilation of plant-derived 13C by saprophytic fungi. Our results of 13C assimilation and transfer within plant species and soil microbes were consistent across management treatments. Overall, our findings suggest that plant diversity restoration management may not directly affect the C assimilation or retention of C by individual plant taxa or groups of soil microbes, it can impact on the fate of recent C by changing their relative abundances in the plant-soil system. Moreover, across all treatments we found that plant-derived C is rapidly transferred specifically to AMF and decomposer fungi, indicating their consistent key role in the cycling of recent plant derived C. ? 2011 Auther(s).</t>
  </si>
  <si>
    <t>Arbuscular mycorrhizal fungi have been suggested to be of potential benefit in achieving sustainable agriculture systems. However, there is conflicting information on the degree to which arbuscular mycorrhizal fungi (AMF) can grow and function at soil temperatures typical of temperate regions. To resolve this conflict we grew Plantago lanceolata L. inoculated with Glomus hoi (UY 110) in microcosm units maintained at 12/10øC (day/night). The microcosms had two compartments, one planted and one not. The root-free compartment contained either an organic (15N:13C labelled milled shoot material) or a sand patch. When permitted access, G. hoi proliferated hyphae extensively in the organic patch material. Plant 15N content was a simple function of length density of extra-radical mycelium (ERM) in the patch and c. 6% of host plant N was derived from the patch. These results indicate that G. hoi not only grew at these realistic soil temperatures, but also conferred a nutritional benefit to its host. ? 2011 Elsevier B.V.</t>
  </si>
  <si>
    <t>K”rner C.</t>
  </si>
  <si>
    <t>The highest elevation flowering plant ever recorded in Europe, a lush moss flora, one of the coldest places of permanent animal life (collembola, mites) and indications of mycorrhizal fungi were evidenced for the Dom summit (4,545 m, central Swiss Alps) between solid siliceous rock at 4,505-4,543 m, 46ø N. Cushions of Saxifraga oppositifolia were found at 4,505 to 4,507 m a. s. l. A large individual (possibly &amp;gt;30 years old) was in full bloom on 12 August 2009. The 14C-dated oldest debris of the biggest moss, Tortula ruralis, suggests a 13 year litter turnover. The thermal conditions at this outpost of plant life were assessed with a miniature data logger. The 2008/09 growing season had 66 days with a daily mean rooting zone temperature &amp;gt;0 øC in this high elevation micro-habitat (2-3 cm below ground). The degree hours &amp;gt;0 øC during this period summed up to 4,277 øh corresponding to 178 ød (degree days), the absolute winter minimum was -20. 9 øC and the absolute summer maximum 18. 1 øC. The mean temperature for the growing period was +2. 6 øC. All plant parts, including roots, experience temperatures below 0 øC every night, even during the warmest part of the year. On clear summer days, plants may be physiologically active for several hours, and minimum night temperatures are clearly above the freezing tolerance of Saxifraga oppositifolia in the active state. In comparison with climate data for other extreme plant habitats in the Alps, Himalayas, in the Arctic and Antarctic, these data illustrate the life conditions at what is possibly the coldest place for angiosperm plant life on earth. ? 2011 Swiss Botanical Society.</t>
  </si>
  <si>
    <t>Epipogium aphyllum is a rare Eurasian achlorophyllous forest orchid known to associate with fungi that form ectomycorrhizas, while closely related orchids of warm humid climates depend on wood- or litter-decomposer fungi. We conducted 13C and 15N stable isotope natural abundance analyses to identify the organic nutrient source of E. aphyllum from Central Norway. These data for orchid shoot tissues, in comparison to accompanying autotrophic plants, document C and N flow from ectomycorrhizal fungi to the orchid. DNA data from fungal pelotons in the orchid root cortex confirm the presence of Inocybe and Hebeloma, which are both fungi that form ectomycorrhizas. The enrichment factors for 13C and 15N of E. aphyllum are used to calculate a new overall average enrichment factor for mycoheterotrophic plants living in association with ectomycorrhizal fungi (î13Cñ1SD of 7.2ñ1.6? and î15Nñ1SD of 12.8ñ3.9?). These can be used to estimate the fungal contribution to organic nutrient uptake by partially mycoheterotrophic plants where fully mycoheterotrophic plants are lacking. N concentrations in orchid tissue were unusually high and significantly higher than in accompanying autotrophic leaf samples. This may be caused by N gain of E. aphyllum from obligate ectomycorrhizal fungi. We show that E. aphyllum is an epiparasitic mycoheterotrophic orchid that depends on ectomycorrhizal Inocybe and Hebeloma to obtain C and N through a tripartite system linking mycoheterotrophic plants through fungi with forest trees. ? 2010 German Botanical Society and The Royal Botanical Society of the Netherlands.</t>
  </si>
  <si>
    <t>Tall fescue [Lolium arundinaceum (Schreb.) S. J. Darbyshire] is naturally infected with a fungal endophyte, Neotyphodium coenophialum, which produces toxic ergot alkaloids that negatively affect herbivores and may alter soil microbial communities. A 60-week mesocosm study with a factorial arrangement of soil type (clay loam and loamy sand) and endophyte infection (with and without) was conducted to determine changes in soil microbial community function (substrate utilization using Biolog), structure (phospholipid fatty acid profile), and glomalin concentration. Microbial utilization of carbohydrate, carboxylic acid, and miscellaneous substrate groups was lower in soil planted to endophyte-infected tall fescue than in soil planted to endophyte-free tall fescue. Gram-positive bacteria, arbuscular mycorrhizae, and glomalin in small (0.25-1.0 mm) and large (&gt;1 mm) water-stable macro-aggregates were also negatively affected by endophyte infection. Although microbial changes due to endophyte infection were not ubiquitous and overwhelming, they were consistent with previous observations of reduced decomposition of endophyte-infected tall fescue plant litter, which may lead to greater soil C sequestration. ? 2010 Springer Science+Business Media B.V. (outside the USA).</t>
  </si>
  <si>
    <t>St”ckel M., Meyer C., Gebauer G.</t>
  </si>
  <si>
    <t>Summary: ?Achlorophyllous variants of some forest orchids are known to reach almost the same size as their green forms. These vegetative albino forms cover their entire carbon (C) demand through fungi that simultaneously form ectomycorrhizae with trees, while green variants partially draw on C from photosynthesis and C from fungal hosts. Here, we investigate whether the amount of C derived from either source is proportional to leaf chlorophyll concentration. The discovery of two Cephalanthera damasonium populations with variegated leaves enabled a continuous bridging of leaf chlorophyll concentrations between green and albino forms.?Leaves of 27 green, variegated and albino individuals of C. damasonium were compared for chlorophyll concentrations, C sources (as characterized by 13C abundances) and total C and nitrogen (N) concentrations.?We found a linear relationship between leaf chlorophyll concentrations and the proportional reliance on fungi as a C source. Furthermore, we show that the shift in C gain through mycoheterotrophic means significantly changes leaf total C and N concentrations.?Our results document that partial mycoheterotrophy in C. damasonium is not a static nutritional mode but a flexible mechanism related inter alia to leaf chlorophyll concentrations. The change in proportional reliance on fungi as a C source affects leaf chemical composition. ? 2010 The Authors. New Phytologist ? 2010 New Phytologist Trust.</t>
  </si>
  <si>
    <t>Understanding the factors that drive soil carbon (C) accumulation is of fundamental importance given their potential to mitigate climate change. Much research has focused on the relationship between plant traits and C sequestration, but no studies to date have quantitatively considered traits of their mycorrhizal symbionts. Here, we use a modelling approach to assess the contribution of an important mycorrhizal fungal trait, organic nutrient uptake, to soil C accumulation. We show that organic nutrient uptake can significantly increase soil C storage, and that it has a greater effect under nutrient-limited conditions. The main mechanism behind this was an increase in plant C fixation and subsequent increased C inputs to soil through mycorrhizal fungi. Reduced decomposition due to increased nutrient limitation of saprotrophs also played a role. Our results indicate that direct uptake of nutrients from organic pools by mycorrhizal fungi could have a significant effect on ecosystem C cycling and storage. ? 2011 Blackwell Publishing Ltd/CNRS.</t>
  </si>
  <si>
    <t>The aboveground biomass and nutrient content are important measures of the characteristics and individual requirements of the plant species. Also, a previous evaluation of the areas to be planted is essential to a successful establishment of forests with native or exotic species. The aim of this review is to explore the current information on the total aboveground biomass, nutrient content and the benefit of symbiosis in some native woody species and exotic Eucalyptus plantations in Brazil.The methodology for native and exotic plant species used for agroforestry is illustrated. The Eucalyptus species presentedanaboveground wood biomass (AWB) of 26.9 to 44.4 Mg ha-1, and the aboveground wood volume varied for 42.8 to 75.9 m3ha-1. The biomass of the stem wood, leaves, branches, and stem bark accounted for 64-66%, 16-19%, 15-17%, and 0.2-0.6% of the total biomass, respectively. The wood localized in superior parts of the trunk presented a higher concentration of P and bark containing significant amounts of nutrients. On the other hand, the native species evaluated, presented a higher total aboveground biomass when inoculated with arbuscular mycorrhizal fungi and Rhizobium bacteria. Leguminous trees showed greater height and diameter growth, as well as, higher dry matter and nutrient concentration when inoculated. The AWB varied for 0.48 to 0.76 Mg ha-1 for Anadenanthera peregrina.The agroforestry trees exhibited mycorrhizal mycotrophy. The potential of agroforestry as a carbon sequestration strategy (carbon storage potential in its multiple plant species and soil) as well as its applicability in agricultural lands and in reforestation must be more exploited. Research directions that are needed to increase understanding of mycorrhizal associations in tropical cropping systems and to increase mycorrhizal benefit are indicated. The benefits and problems encountered are discussed in this chapter, in order to highlight the need for a continual study of the forestry species. ? 2011 Nova Science Publishers, Inc. All rights reserved.</t>
  </si>
  <si>
    <t>It is of great importance to maintain the soil health in grassland ecosystem. Glomalin, a secretion of the Arbuscular mycorrhizal fungi (AMF), was proved to be a useful biochemical parameter to evaluate the soil fertility. Present study designed a field experiment to investigate the effect of stocking rate on soil glomalin under traditional and mixed grazing systems in a temperate steppe of China. The results showed that grazing system significantly affected the amount of glomalin, and higher values of total glomalin (TG), total glomalin storage (TGs) and a higher ratio of (TGs) to soil organic carbon storage (TGs/SOCs) were found during the mixed system (MS), however, lower values of easily extractable glomalin (EEG) and soil organic carbon (SOCs) were achieved. In traditional system (TS), higher values of TG, TGs and TGs/SOCs were found in the control (S0) and light grazing treatments (S3). The obtained results indicate that light or moderate grazing would favorable to grassland and compared with TS, MS was a preferable grazing system to the maintenance of grassland ecosystem. ? 2011 Published by Elsevier Ltd.</t>
  </si>
  <si>
    <t>Most achlorophyllous mycoheterotrophic (MH) plants obtain carbon (C) from mycorrhizal networks and indirectly exploit nearby autotrophic plants. We compared overlooked tropical rainforest MH plants associating with arbuscular mycorrhizal fungi (AMF) to well-reported temperate MH plants associating with ectomycorrhizal basidiomycetes. We investigated 13C and 15N abundances of MH plants, green plants, and AMF spores in Caribbean rainforests. Whereas temperate MH plants and fungi have higher ë13C than canopy trees, these organisms displayed similar ë13C values in rainforests, suggesting differences in C exchanges. Although temperate green and MH plants differ in ë15N, they display similar 15N abundances, and likely nitrogen (N) sources, in rainforests. Contrasting with the high N concentrations shared by temperate MH plants and their fungi, rainforest MH plants had lower N concentrations than AMF, suggesting differences in C/N of exchanged nutrients. We provide a framework for isotopic studies on AMF networks and suggest that MH plants in tropical and temperate regions evolved different physiologies to adapt in diverging environments. ? 2011 American Society of Plant Biologists.</t>
  </si>
  <si>
    <t>Soil CO2 efflux is the main source of CO2 from forest ecosystems and it is tightly coupled to the transfer of recent photosynthetic assimilates belowground and their metabolism in roots, mycorrhiza and rhizosphere microorganisms feeding on root-derived exudates. The objective of our study was to assess patterns of belowground carbon allocation among tree species and along seasons. Pure 13CO2 pulse labelling of the entire crown of three different tree species (beech, oak and pine) was carried out at distinct phenological stages. Excess 1313øC in soil CO2 efflux was tracked using tuneable diode laser absorption spectrometry to determine time lags between the start of the labelling and the appearance of 13C in soil CO2 efflux and the amount of 13C allocated to soil CO2 efflux. Isotope composition (?13C) of CO 2 respired by fine roots and soil microbes was measured at several occasions after labelling, together with ?13C of bulk root tissue and microbial carbon. Time lags ranged from 0.5 to 1.3 days in beech and oak and were longer in pine (1.6-2.7 days during the active growing season, more than 4 days during the resting season), and the transfer of C to the microbial biomass was as fast as to the fine roots. The amount of 13C allocated to soil CO 2 efflux was estimated from a compartment model. It varied between 1 and 21 % of the amount of 13CO2 taken up by the crown, depending on the species and the season. While rainfall exclusion that moderately decreased soil water content did not affect the pattern of carbon allocation to soil CO2 efflux in beech, seasonal patterns of carbon allocation belowground differed markedly between species, with pronounced seasonal variations in pine and beech. In beech, it may reflect competition with the strength of other sinks (aboveground growth in late spring and storage in late summer) that were not observed in oak. We report a fast transfer of recent photosynthates to the mycorhizosphere and we conclude that the patterns of carbon allocation belowground are species specific and change seasonally according to the phenology of the species. ? Author(s) 2011.</t>
  </si>
  <si>
    <t>Terrestrial carbon sequestration represents an important option for partially mitigating anthropogenic CO2 emissions. Evidence suggests that terrestrial ecosystems can be managed for carbon sequestration, but it is not certain to what extent the microbes within them can be manipulated. Challenges include identifying which specific microbes and mechanisms contribute to sequestered carbon; understanding how microbial communities respond over large spatial and long temporal scales to crucial environmental variables; and developing management strategies suitable for large spatial and long temporal scales. The growing recognition that microbes produce proteins that limit organic matter degradation suggests targets for basic research. Directly manipulating microbes to sequester CO2 through other processes such as mineral formation offers intriguing alternatives that merit further attention, but at present the prospects for practical implementation appear remote. ? 2010 Elsevier Ltd.</t>
  </si>
  <si>
    <t>Quantifying pathways and temporal dynamics of carbon (C) flux between plants and soil is critical to our understanding of the long-term fate of C stored in soils. The potential priming of old organic matter decomposition by fresh C input from plants means that the impact of environmental changes on the interactions between plant C allocation and soil C storage need to be better understood. We used forest girdling to investigate the partitioning of total soil CO2 efflux (RS) into autotrophic (RA) and heterotrophic (RH) flux components and their interaction with litter decomposition. The reduction in RS in girdled plots stabilized within two weeks at 65% of control plot values, indicating that RS is dominated by RH, and that only a small pool of available non-structural C remains in roots in late summer to sustain rhizosphere metabolic processes. RA contributions declined from 35% late in the growing season to about 25% in winter. Our results indicate that actual root respiration (RR) and respiration by ectyomycorrhizas and other rhizospheric organisms (RM) contribute c. 50% each to RA between September and early November. During winter, RA remained significantly greater than zero despite frequent sub-zero air temperatures, with RM being a dominant component of RA during this period. Forest girdling significantly increased the age of C in soil-respired CO2, consistent with the removal of contemporary C derived from RA. Partitioning of soil CO2 efflux on the basis of 14C results shows good agreement with the flux reduction observed between girdled and control plots. Litter bag incubations indicate a promoting influence of an intact C supply to the rhizosphere on decomposition, indicating a positive rhizosphere priming effect. Synthesis: Our results demonstrate significant contribution of mycorrhizas and other rhizosphere organisms to RS, and suggest a direct link between an intact rhizosphere and litter decomposition dynamics. These results highlight the tight coupling between autotroph activity and soil decomposition processes in forest soils, and add to the growing body of evidence that plant and soil processes cannot be treated separately. ? 2010 The Authors. Journal of Ecology ? 2010 British Ecological Society.</t>
  </si>
  <si>
    <t>This study analyses the effect of tillage practices on organic carbon storage in soil aggregates and the diversity of arbuscular mycorrhizal (AM) fungi in a rice-wheat cropping system (located at Uchana, 29ø51&amp;amp;prime; N and 76ø57&amp;amp;prime; E) in northern India. The rice crop was grown under conventional tillage (CT) and the wheat crop under conventional tillage (CT), zero-tillage (ZT) and furrow irrigated raised bed (FIRB) tillage systems. After seven years, soil organic carbon was: zero-tillage, 0.61%; conventional tillage, 0.44% and FIRB 0.35%. In the zero-tillage (ZT) and furrow irrigated raised bed (FIRB) tillage systems, microaggregates (&amp;lt;250 ?m to 53 ?m) formed 48.47 to 61.64% of total soil aggregates fractions and protected most of organic carbon and nitrogen in the soil. The clay and silt fractions of the soil (&amp;lt;53 ?m) varied from 39.58 to 49.26% in different tillage systems. The total number of arbuscular mycorrhizal (AM) fungal spores in the soil under wheat crop at different depths was: 1.3-7.5 g-1 soil CT, 1.4-9.1 g-1 soil ZT and 1.2-9.3 g-1 soil FIRB. The species richness of AM fungal spores was greater during the wheat growing season than during the rice crop. The AM fungal root colonization was: 13.22 to 68.16% in rice crop and 17.60 to 87.78% in wheat crop. The AM fungal root colonization in both wheat and rice was greater at 0-15 cm soil depth. The relative density of the AM fungal spores under different tillage practices in wheat crop was: 7.58-18.31% Acaulospora sp., 5.04-11.38% Gigaspora sp., 67.00-83.3% Glomus sp. and 3.86-5.75% other species. ? NATIONAL INSTITUTE OF ECOLOGY, NEW DELHI.</t>
  </si>
  <si>
    <t>Soil aggregation is a major ecosystem process that can be impacted by intensified land use directly through soil disturbances, or indirectly through impacts on biotic and abiotic factors that affect soil aggregation. We collected soils from 27 grassland sites across a range of land use intensities including varying levels of mowing, grazing, and fertilization in order to test the importance of selected direct and indirect effects on soil aggregation. We measured root length and mass, root colonization by arbuscular mycorrhizal fungi (AMF), extraradical AMF hyphal length, soil aggregation, and soil hydrophobicity. We also quantified levels of phosphorus, nitrogen, organic carbon, carbonate carbon, and sand in the soil.As land use intensity (defined as a multivariate index combining mowing, grazing, and fertilization intensities) increased, root mass decreased and length of extraradical hyphae increased. Total colonization by AMF was unaffected by land use intensity, but vesicular colonization tended to increase while arbuscular colonization declined. Soil aggregation increased with increasing land use intensity. We used structural equation models to explore mechanisms of soil aggregation and found that extraradical AMF hyphal length contributed to soil aggregation in models containing only biotic explanatory factors. When we also included abiotic factors in the model, no biotic factor was significant, and soil aggregation decreased as levels of sand and carbonate increased, likely due to concurrent decreases in levels of clay in the soil.In summary, we have shown that agricultural measures such as mowing, grazing, and fertilization can increase soil aggregation in managed grasslands. Furthermore, abiotic factors can be more important for determining soil aggregation than biotic factors, especially in highly aggregated soils. Aggregate turnover may be reduced in such highly aggregated soils past the point required to ensure efficient integration of new labile C into stable aggregates. ? 2010 Elsevier Ltd.</t>
  </si>
  <si>
    <t>Natural organic biomass burning creates black carbon which forms a considerable proportion of the soil's organic carbon. Due to black carbon's aromatic structure it is recalcitrant and has the potential for long-term carbon sequestration in soil. Soils within the Amazon-basin contain numerous sites where the 'dark earth of the Indians' (Terra preta de Indio, or Amazonian Dark Earths (ADE)) exist and are composed of variable quantities of highly stable organic black carbon waste ('biochar'). The apparent high agronomic fertility of these sites, relative to tropical soils in general, has attracted interest. Biochars can be produced by 'baking' organic matter under low oxygen ('pyrolysis'). The quantities of key mineral elements within these biochars can be directly related to the levels of these components in the feedstock prior to burning. Their incorporation in soils influences soil structure, texture, porosity, particle size distribution and density. The molecular structure of biochars shows a high degree of chemical and microbial stability. A key physical feature of most biochars is their highly porous structure and large surface area. This structure can provide refugia for beneficial soil micro-organisms such as mycorrhizae and bacteria, and influences the binding of important nutritive cations and anions. This binding can enhance the availability of macro-nutrients such as N and P. Other biochar soil changes include alkalisation of soil pH and increases in electrical conductivity (EC) and cation exchange capacity (CEC). Ammonium leaching has been shown to be reduced, along with N2O soil emissions. There may also be reductions in soil mechanical impedance. Terra preta soils contain a higher number of 'operational taxonomic units' and have highly distinctive microbial communities relative to neighbouring soils. The potential importance of biochar soil incorporation on mycorrhizal fungi has also been noted with biochar providing a physical niche devoid of fungal grazers. Improvements in soil field capacity have been recorded upon biochar additions. Evidence shows that bioavailability and plant uptake of key nutrients increases in response to biochar application, particularly when in the presence of added nutrients. Depending on the quantity of biochar added to soil significant improvements in plant productivity have been achieved, but these reports derive predominantly from studies in the tropics. As yet there is limited critical analysis of possible agricultural impacts of biochar application in temperate regions, nor on the likelihood of utilising such soils as long-term sites for carbon sequestration. This review aims to determine the extent to which inferences of experience mostly from tropical regions could be extrapolated to temperate soils and to suggest areas requiring study. ? 2010 Springer Science+Business Media B.V.</t>
  </si>
  <si>
    <t>The majority of herbaceous plants are connected by arbuscular mycorrhizal (AM) fungi in complex networks, but how this affects carbon (C) and phosphorus (P) allocation among symbionts is poorly understood. We utilized a monoxenic AM system where hyphae from donor roots colonized two younger receiver roots of varying C status. AM fungal C allocation from donor to receiver compartments was followed by measuring the 13C contents in fungal- and plant-specific lipids, and P movement from a hyphal compartment was traced using 33P. Four times more 13C was translocated from donor to C-limited receiver roots, but C remained in fungal tissue. Root C status did not influence the overall AM colonization, but arbuscule density was twice as high in non-C-limited roots, and they received 10 times more 33P. The number of hyphal connections between compartments did not influence C and P allocation. Interestingly, there were more fungal storage lipids, but fewer structural lipids inside C-limited roots. Our results indicate that AM colonization may poorly reflect host quality as C can be supplied from neighboring roots. A mycocentric view of the symbiosis is proposed where C-delivering hosts are resource islands for the exchange of P for C, and C-limited hosts are storage units. ? 2010 Federation of European Microbiological Societies.</t>
  </si>
  <si>
    <t>Gastrodia sesamoides, a common obligate mycoheterotrophic orchid species found in eastern Australia relies on a soil fungus to provide a source of carbon nutrition. The identity of this fungus is not known although in other studies of Gastrodia species a number of mycobionts have been suggested including Fomes and Mycena. In this study the fungal community of rhizomes of G. sesamoides has been identified via fungal ITS-DNA PCR amplification, cloning and sequencing. Although a number of fungi were identified by this approach the most common fungal ITS DNA within the orchid were saprotrophic members of the Marasmiaceae (Campanella and Marasmius spp.). Analysis of the natural carbon and nitrogen stable isotope abundances of stems of G. sesamoides showed an enrichment in 13C and low levels of 15N. These data suggest that G. sesamoides obtains its carbon parasitically from free-living saprotrophic fungi and not from an ectomycorrhizal fungal partner of a photosynthetic plant, as is common for other obligate mycoheterotrophic orchid species. ? 2009 Elsevier Ltd and The British Mycological Society.</t>
  </si>
  <si>
    <t>In Asian countries, people have a long history of using rice husk charcoal or wood ash as an agricultural soil amendment, but evidence of this has been long obscured. Since the 1980s, microbiological studies, mainly on symbiotic organisms, have been performed in Japan. Charcoal is a porous material with high water and air retention capacities and high alkalinity. Therefore, it stimulates root growth and enhances the infection of various symbiotic microbes to plant partners. The use of carbonised materials in agriculture, forestry, and construction will contribute to the sustainability of crop production, soil conservation, and carbon sequestration. Biochar-related research accumulated mainly in Japan is reviewed. ? CSIRO 2010.</t>
  </si>
  <si>
    <t>Loblolly pine (Pinus taeda L.) plantations cover a large geographic area of the southeastern USA and supply a large proportion of the nation's wood products. Research on management strategies designed to maximize wood production while also optimizing nutrient use efficiency and soil C sequestration is needed. We used minirhizotrons to quantify the effects of incorporating logging residues into soil on fine-root standing crop, production and mortality, and mycorrhizal root tips in young loblolly pine clones of contrasting ideotypes. Clone 93 is known to allocate more C to stem growth, while clone 32 allocates less C to stems and more to leaves. The relative allocation by these clones to support fine-root turnover is unknown. Clone 32 exhibited 37% more fine-root mortality than clone 93, which was mainly the result of a greater standing crop of fine roots. Fine-root standing crop in plots amended with logging residue was initially higher than control plots, but 2.5 years after planting, standing crop in control plots had exceeded that in mulched plots. Production of mycorrhizal root tips, on the other hand, was initially higher in control than mulched plots, but during the last 9 months of the study, mycorrhizal tip production was greater in mulched than control plots, especially for clone 93. As expected, turnover rate of fine roots was greater in surface soil (0-25 cm) compared with deeper (25-50 cm) soil and for small roots (&lt;0.4 mm diameter) compared with larger fine roots (0.4-2.0 mm diameter). Rates of fine-root turnover were similar in both clones. Organic matter additions reduced survivorship of individual roots and increased turnover rates of fine-root populations. Results indicate that management decisions should be tailored to fit the growth and allocation patterns of available clones. ? The Author 2010.</t>
  </si>
  <si>
    <t>Background and Aims: Nutritional changes associated with the evolution of achlorophyllous, mycoheterotrophic plants have not previously been inferred with robust phylogenetic hypotheses. Variations in heterotrophy in accordance with the evolution of leaflessness were examined using a chlorophyllous- achlorophyllous species pair in Cymbidium (Orchidaceae), within a well studied phylogenetic background. Methods: To estimate the level of mycoheterotrophy in chlorophyllous and achlorophyllous Cymbidium, natural 13C and 15N contents (a proxy for the level of heterotrophy) were measured in four Cymbidium species and co-existing autotrophic and mycoheterotrophic plants and ectomycorrhizal fungi from two Japanese sites. Key Results: 13C and 15N values of the achlorophyllous C. macrorhizon and C. aberrans indicated that they are full mycoheterotrophs. 13C and 15N values of the chlorophyllous C. lancifolium and C. goeringii were intermediate between those of reference autotrophic and mycoheterotrophic plants; thus, they probably gain 30-50 of their carbon resources from fungi. These data suggest that some chlorophyllous Cymbidium exhibit partial mycoheterotrophy (= mixotrophy). Conclusions: It is demonstrated for the first time that mycoheterotrophy evolved after the establishment of mixotrophy rather than through direct shifts from autotrophy to mycoheterotrophy. This may be one of the principal patterns in the evolution of mycoheterotrophy. The results also suggest that the establishment of symbiosis with ectomycorrhizal fungi in the lineage leading to mixotrophic Cymbidium served as pre-adaptation to the evolution of the mycoheterotrophic species. Similar processes of nutritional innovations probably occurred in several independent orchid groups, allowing niche expansion and radiation in Orchidaceae, probably the largest plant family. ? The Author 2010. Published by Oxford University Press on behalf of the Annals of Botany Company. All rights reserved.</t>
  </si>
  <si>
    <t>ë15N, ë13C; Cymbidium; evolution; Mycoheterotrophy; mycorrhizal fungi; nutritional mode; Orchidaceae; symbiosis</t>
  </si>
  <si>
    <t>Merckx V., St”ckel M., Fleischmann A., Bruns T.D., Gebauer G.</t>
  </si>
  <si>
    <t>?In contrast to mycoheterotrophs that associate with ectomycorrhizal and saprotrophic fungi, we know little about the ecophysiology of arbuscular mycorrhizal mycoheterotrophs. Here, we identify the mycorrhizal fungi of two unrelated mycoheterotrophs and one putative partial mycoheterotroph that form arbuscular mycorrhizas, and analyse their carbon (C) and nitrogen (N) isotope signatures. ?We used molecular methods to identify the mycorrhizal fungi of Dictyostega orobanchoides, Burmannia capitata (Burmanniaceae) and Voyria aphylla (Gentianaceae). Their C and N sources were investigated by analysing their stable isotope natural abundances (ë13C and ë15N). In addition, four putative partially mycoheterotrophic Burmannia species were grown ex situ. ?We found that both mycoheterotrophs and a green Burmannia species are associated with nonoverlapping Glomeromycota fungi. The investigated mycoheterotrophs are significantly more enriched in 13C than co-occurring autotrophic plants but lack significant 15N enrichment. The green Burmannia species is not significantly enriched in 13C and 15N compared with surrounding plants and can grow fully autotrophically under controlled conditions. ?Our results suggest that mycoheterotrophic Burmanniaceae and Gentianaceae are able to exploit arbuscular mycorrhizal fungi. Green relatives of mycoheterotrophic Burmanniaceae from high-light grassland sites also associate with arbuscular mycorrhizal fungi but we found no evidence that they receive detectable amounts of C from fungi. ? The Authors (2010). Journal compilation ? New Phytologist Trust (2010).</t>
  </si>
  <si>
    <t>Winkler J.B., Dannenmann M., Simon J., Pena R., Offermann C., Sternad W., Clemenz C., Naumann P.S., Gasche R., K”gel-Knabner I., Gessler A., Rennenberg H., Polle A.</t>
  </si>
  <si>
    <t>The goal of this work was to increase the understanding of factors regulating nitrogen (N) competition between roots and soil microbes. For this purpose, root assimilate supply was diminished or abolished in beech (Fagus sylvatica L.) seedlings by girdling, drought stress or a combination of both factors. This was revealed by 13C tracer abundance in root tips after 13CO2 pulse labelling of the shoots. Analysis of different root tip fractions revealed that only 6% were ectomycorrhizal. Carbon (C) allocation to ectomycorrhizal and vital non-mycorrhizal root tips was ?26% higher than to distorted root tips. Drought resulted in ?30% increased ammonium (NH4+) and amino acid concentrations in roots and ?65% increased soil NH4+ concentrations, probably because of lower consumption of NH4+ by free-living microorganisms. Root uptake of glutamine of 13nmolg-1 fresh mass h-1 decreased 2-fold with drought, although the number of vital root tips did not decrease. Carbon content in biomass of free-living microbes increased with glucose application regardless of drought, resulting in significant depletion in soil nitrate (NO3-), root NH 4+ and amino acid concentrations. Our results suggest that the rootsoil system of young beech trees was C-limited, and this prevented amino acid metabolism in roots and microbial NO3- consumption in the soil, thereby exerting feedback inhibition on uptake of inorganic N by roots. We suggest that rhizodeposition is a key link in regulating the plantmicrobial N balance. ? 2010 CSIRO.</t>
  </si>
  <si>
    <t>Wallander H., Johansson U., Sterkenburg E., Brandstr”m Durling M., Lindahl B.D.</t>
  </si>
  <si>
    <t>?Here, species composition and biomass production of actively growing ectomycorrhizal (EM) mycelia were studied over the rotation period of managed Norway spruce (Picea abies) stands in south-western Sweden.?The EM mycelia were collected using ingrowth mesh bags incubated in the forest soil during one growing season. Fungal biomass was estimated by ergosterol analysis and the EM species were identified by 454 sequencing of internal transcribed spacer (ITS) amplicons. Nutrient availability and the fungal biomass in soil samples were also estimated.?Biomass production peaked in young stands (10-30 yr old) before the first thinning phase. Tylospora fibrillosa dominated the EM community, especially in these young stands, where it constituted 80% of the EM amplicons derived from the mesh bags. Species richness increased in older stands.?The establishment of EM mycelial networks in young Norway spruce stands requires large amounts of carbon, while much less is needed to sustain the EM community in older stands. The variation in EM biomass production over the rotation period has implications for carbon sequestration rates in forest soils. ? The Authors (2010). Journal compilation ? New Phytologist Trust (2010).</t>
  </si>
  <si>
    <t>The complete carbon budget and the turnover rate of assimilated carbon of ectomycorrhizal Scots pine seedlings growing on natural humus were determined in microcosm conditions. The main aim was to improve understanding of the partitioning of the assimilated carbohydrates within seedlings associated with multiple ectomycorrhizal fungi, and to discover carbon dynamics of the mycorrhizosphere.Plant photosynthesis and below-ground respiration were measured in order to obtain the actual carbon assimilation and respiration rates at the time of measurements. Soon after the photosynthesis and respiration rate measurements the seedlings were pulse-labeled with 14CO2 to follow carbon allocation to different plant, fungal and soil compartments and rhizosphere respiration. Long-term carbon allocation during the entire life span of the seedlings was estimated by measuring plant and mycorrhizal root-tip biomass. The ectomycorrhizal community was analyzed using morphotyping and ITS-sequencing.The 14C label was detected in rhizosphere respiration after 12 h and it peaked between 36 and 60 h after labeling. More than half of the assimilated carbon was allocated below-ground as biomass or respiration and higher mycorrhizal biomass increased the below-ground carbon turnover. The presence of Suillus variegatus affected the plant carbon balance in several ways. When S. variegatus was present, the below-ground respiration increased and this carbon loss was compensated by higher photosynthetic activity. Other fungal species did not differ between each other in their effects on carbon balance. Our findings indicate that some root-associated mycorrhizal fungal symbionts can significantly alter plant CO2 exchange, biomass distribution, and the allocation of recently photosynthesized plant-derived carbon. ? 2010 Elsevier Ltd.</t>
  </si>
  <si>
    <t>Arbuscular mycorrhizal (AM) fungi are obligate biotrophs that acquire carbon (C) solely from host plants. AM fungi can proliferate hyphae in, and acquire nitrogen (N) from, organic matter. Although they can transfer some of that N to plants, we tested the hypothesis that organic matter is an important N source for the AM fungi themselves. We grew pairs of plants with and without the AM fungus Glomus hoi in microcosms that allowed only the fungus access to a 15N/13C-labeled organic patch; in some cases, one plant was shaded to reduce C supply to the fungus. The fungal hyphae proliferated vigorously in the patch, irrespective of shading, and increased plant growth and N content; ?3% of plant N came from the patch. The extraradical mycelium of the fungus was N-rich (3-5% N) and up to 31% of fungal N came from the patch, confirming the hypothesis. The fungus acquired N as decomposition products, because hyphae were not 13C-enriched. In a second experiment, hyphae of both G. hoi and Glomus mosseae that exploited an organic material patch were also better able to colonize a new host plant, demonstrating a fungal growth response. These findings show that AM fungi can obtain substantial amounts of N from decomposing organic materials and can enhance their fitness as a result. The large biomass and high N demand of AM fungi means that they represent a global N pool equivalent in magnitude to fine roots and play a substantial and hitherto overlooked role in the nitrogen cycle.</t>
  </si>
  <si>
    <t>B ez-P‚rez A., Gonz lez-Ch vez M.C.?., Etchevers-Barra J.D., Prat C., Hidalgo-Moreno C.</t>
  </si>
  <si>
    <t>The tepetates are hardened volcanic tuffs that outcrop on the surface due to erosive processes; some of them can be ameliorated for agriculture and thus sequester carbon ?. This element accumulates in fragile aggregates that are formed as part of their developing physical structure after being cultivated, but the mechanism by which it is sequestered in the mineral fraction in these volcanic substrates is unknown. It is assumed that the biological activity contributes to the stabilization of the organic C (COS), specifically that of the arbuscular mycorrhizal fungi (AMF). It has been postulated that glomalin (a glycoprotein produced by the AMF) influences both processes. To contribute to the comprehension of this phenomenon, the present study was made with the following objectives: 1) to evaluate the accumulation of COS, glomalin and glomalin carbon (GC) in cultivated tepetates; 2) to measure the contribution of C made by the glomalin to the COS; and 3) to evaluate the tendency of accumulation of GC with years of cultivation. Based on interviews with producers of the Texcoco River basin, 83 plots were selected with 10 to 20 years of cultivation, and 10 classes of agronomic management were defined (I to X). As reference four Phaesozem soils of the region were used, grouped in two classes of management. Another 21 plots of tepetate had from 4 to over 100 years of cultivation. Tepetate samples were collected (0-20 cm) and COS, glomalin and GC were determined. The relationship between COS and the latter variables was close (R&amp;gt;0.91). The agronomic management had significant influence (pó0.05) on the accumulation of COS, glomalin and GC. As function of the maximum concentration of COS observed, it was calculated that the tepetates ameliorated for agricultural production after two decades of cultivation, with an agronomic management with constant incorporation of organic residues, have capacity for storing approximately 90 t ha-1 of C in the first 20 cm of depth, with a contribution of 15 % of stabilized C from glomalin (pó0.05). The accumulation of GC as a function of time followed a logarithmic tendency.</t>
  </si>
  <si>
    <t>H”gberg M.N., Briones M.J.I., Keel S.G., Metcalfe D.B., Campbell C., Midwood A.J., Thornton B., Hurry V., Linder S., N„sholm T., H”gberg P.</t>
  </si>
  <si>
    <t>The flux of carbon from tree photosynthesis through roots to ectomycorrhizal (ECM) fungi and other soil organisms is assumed to vary with season and with edaphic factors such as nitrogen availability, but these effects have not been quantified directly in the field. To address this deficiency, we conducted high temporal-resolution tracing of 13C from canopy photosynthesis to different groups of soil organisms in a young boreal Pinus sylvestris forest. There was a 500% higher below-ground allocation of plant C in the late (August) season compared with the early season (June). Labelled C was primarily found in fungal fatty acid biomarkers (and rarely in bacterial biomarkers), and in Collembola, but not in Acari and Enchytraeidae. The production of sporocarps of ECM fungi was totally dependent on allocation of recent photosynthate in the late season. There was no short-term (2 wk) effect of additions of N to the soil, but after 1 yr, there was a 60% reduction of below-ground C allocation to soil biota. Thus, organisms in forest soils, and their roles in ecosystem functions, appear highly sensitive to plant physiological responses to two major aspects of global change: changes in seasonal weather patterns and N eutrophication. ? The Authors (2010). Journal compilation ? New Phytologist Trust (2010).</t>
  </si>
  <si>
    <t>?Rhizanthella gardneri is a rare and fully subterranean orchid that is presumably obligately mycoheterotrophic. R. gardneri is thought to be linked via a common mycorrhizal fungus to co-occurring autotrophic shrubs, but there is no experimental evidence to support this supposition.?We used compartmentalized microcosms to investigate the R. gardneri tripartite relationship. 13CO2 was applied to foliage of Melaleuca scalena plants and [13C-15N]glycine was fed to the common mycorrhizal fungus, and both sources traced to R. gardneri plants.?In our microcosm trial, up to 5% of carbon (C) fed as 13CO2 to the autotrophic shrub was transferred to R. gardneri. R. gardneri also readily acquired soil C and nitrogen (N), where up to 6.2% of C and 22.5% of N fed as labelled glycine to soil was transferred via the fungus to R. gardneri after 240 h.?Our study confirms that R. gardneri is mycoheterotrophic and acquires nutrients via mycorrhizal fungus connections from an ectomycorrhizal autotrophic shrub and directly from the soil via the same fungus. This connection with a specific fungus is key to explaining why R. gardneri occurs exclusively under certain Melaleuca species at a very limited number of sites in Western Australia. ? The Authors (2010). Journal compilation ? New Phytologist Trust (2010).</t>
  </si>
  <si>
    <t>Experimental evidence from a diverse set of forested ecosystems indicates that CO2 enrichment may lead to deeper rooting distributions. While the causes of greater root production at deeper soil depths under elevated CO2 concentration ([CO2]) require further investigation, altered rooting distributions are expected to affect important ecosystem processes. The depth at which fine roots are produced may influence root chemistry, physiological function, and mycorrhizal infection, leading to altered nitrogen (N) uptake rates and slower turnover. Also, soil processes such as microbial decomposition are slowed at depth in the soil, potentially affecting the rate at which root detritus becomes incorporated into soil organic matter. Deeper rooting distributions under elevated [CO2] provide exciting opportunities to use novel sensors and chemical analyses throughout the soil profile to track the effects of root proliferation on carbon (C) and N cycling. Models do not currently incorporate information on root turnover and C and N cycling at depth in the soil, and modification is necessary to accurately represent processes associated with altered rooting depth distributions. Progress in understanding and modeling the interface between deeper rooting distributions under elevated [CO2] and soil C and N cycling will be critical in projecting the sustainability of forest responses to rising atmospheric [CO2]. ? The Authors (2010). Journal compilation ? New Phytologist Trust (2010).</t>
  </si>
  <si>
    <t>The nutrient and carbon (C) allocation dynamics in mycorrhizal hyphal networks cause variation in costs and benefits for individual plants and fungi and influence the productivity, diversity and C cycling in ecosystems. We manipulated light and phosphorus (P) availability in a pot experiment with Trifolium subterraneum colonised by the arbuscular mycorrhizal (AM) fungus Glomus intraradices. Stable 13C-labelling was used to trace assimilated CO2 to the mycorrhizal fungus in roots and soil using compound-specific isotope ratio mass spectrometry. We used the neutral lipid fatty acid 16:1?5 as a signature for AM fungal storage lipids. Both P and shading reduced the AM fungal lipid accumulation in the intraradical mycelium, while only P reduced the amount of lipids in the extraradical mycelium. Recently assimilated plant C was only allocated to the mycorrhizal fungus to a small extent when plant mycorrhizal benefit was reduced by P fertilization, while increasing the plant C cost by shading did not reduce the C flow to the fungus. These results are of importance for our conception of mycorrhizal dynamics during periods of shade in nature. ? 2010 Federation of European Microbiological Societies Published by Blackwell Publishing Ltd.</t>
  </si>
  <si>
    <t>Nehls U., G”hringer F., Wittulsky S., Dietz S.</t>
  </si>
  <si>
    <t>Ectomycorrhizal (ECM) symbiosis is a mutualistic interaction between certain soil fungi and fine roots of perennial plants, mainly forest trees, by which both partners become capable of efficiently colonising nutrient-limited environments. The success of this interaction is reflected in the dominance of ECM forest ecosystems in the Northern hemisphere. Apart from their economic importance (wood production), forest ecosystems are essential for large-scale carbon sequestration, leading to substantial reductions in anthropogenic CO2 release. The biological function of ECM symbiosis is the exchange of fungus-derived mineral nutrients for plant-derived carbohydrates. Improved plant nutrition as a result of this interaction, however, has a price. Together with their fungal partner, root systems of ECM plants can receive about half of the photosynthetically fixed carbon. To enable such a strong carbohydrate sink, the monosaccharide uptake capacity and carbohydrate flux through glycolysis and intermediate carbohydrate storage pools (trehalose and/or mannitol) of mycorrhizal fungi is strongly increased at the plant-fungus interface. Apart from their function as a carbohydrate store, trehalose/mannitol are additionally considered to be involved in carbon allocation within the fungal colony. Dependent on the fungal species involved in the symbiosis, regulation and fine-tuning of fungal carbohydrate uptake and metabolism seems to be controlled either by developmental mechanisms or by the apoplastic sugar content. As a consequence of the increased carbohydrate demand in symbiosis, trees increase their photosynthetic capacity. In addition, host plants control and restrict carbohydrate flux towards their partner to avoid fungal parasitism. The mechanisms behind this phenomenon are still largely unknown but rates of local sucrose hydrolysis and hexose uptake by rhizodermal cells are thought to restrict fungal carbohydrate nutrition under certain conditions (e.g., reduced fungal nutrient export). ? 2010 German Botanical Society and The Royal Botanical Society of the Netherlands.</t>
  </si>
  <si>
    <t>Plant and microbial use of nitrogen (N) can be simultaneously mutualistic and competitive, particularly in ecosystems dominated by mycorrhizal fungi. Our goal was to quantify plant uptake of organic and inorganic N across a broad latitudinal gradient of forest ecosystems that varied with respect to overstory taxon, edaphic characteristics, and dominant mycorrhizal association. Using 13C and 15N, we observed in situ the cycling dynamics of NH4+ and glycine through various soil pools and fine roots over 14 days. Recovery of 15N as soil N varied with respect to N form, forest type, and sampling period; however, there were similarities in the cycling dynamics of glycine and NH4+ among all forest types. Microbial immobilization of 15N was immediately apparent for both treatments and represented the largest sink (~25%) for 15N among extractable soil N pools during the first 24 h. In contrast, fine roots were a relatively small sink (&amp;lt;10%) for both N forms, but fine root 13C enrichment indicated that plants in all forest types absorbed glycine intact, suggesting that plants and microbes effectively target the same labile soil N pools. Relative uptake of amino acid-N versus NH4+ varied significantly among sites and approximately half of this variation was explained by mycorrhizal association. Estimates of plant uptake of amino acid-N relative to NH4+ were 3? higher in ectomycorrhizal-dominated stands (1.6 ñ 0.2) than arbuscular mycorrhizae-dominated stands (0.5 ñ 0.1). We conclude that free amino acids are an important component of the N economy in all stands studied; however, in these natural environments plant uptake of organic N relative to inorganic N is explained as much by mycorrhizal association as by the availability of N forms per se. ? 2010 Springer Science+Business Media, LLC.</t>
  </si>
  <si>
    <t>Although increasing concentrations of atmospheric CO2 are predicted to have substantial impacts on plant growth and functioning of ecosystems, there is insufficient understanding of the responses of belowground processes to such increases. We investigated the effects of different dark septate root endophytic (DSE) fungi on growth and nutrient acquisition by Pinus sylvestris seedlings under conditions of N limitation and at ambient and elevated CO2 (350 or 700 ?1 CO2 l-1). Each seedling was inoculated with one of the following species: Phialocephala fortinii (two strains), Cadophora finlandica, Chloridium paucisporum, Scytalidium vaccinii, Meliniomyces variabilis and M. vraolstadiae. The trial lasted 125 days. During the final 27 days, the seedlings were labeled with 14CO2 and 15NH4+. We measured extraradical hyphal length, internal colonization, plant biomass, 14C allocation, and plant N and 15N content. Under elevated CO2, the biomass of seedlings inoculated with DSE fungi was on average 17% higher than in control seedlings. Simultaneously, below-ground respiration doubled or trebled, and as a consequence carbon use efficiency by the DSE fungi significantly decreased. Shoot N concentration decreased on average by 57% under elevated CO2 and was lowest in seedlings inoculated with S. vaccinii. Carbon gain by the seedlings despite reduced shoot N concentration indicates that DSE fungi increase plant nutrient use efficiency and are therefore more beneficial to the plant under elevated CO2. ? The Author(s) 2009.</t>
  </si>
  <si>
    <t>The objective of this research was to decrease the bioaccumulation of RDX( hexahydro-1,3,5-trinitro-1,3,5-triazine)intheleaves of switchgrass (Panicum virgatum) and hybrid poplar trees (Populus deltoides x nigra, DN34) by exploiting the symbiotic relationship between these plants and mycorrhizal fungi. Prior to dosing with uniformly labeled 14C-RDX, plants were grownfor three months to establish the symbiosis. Results showed that the presence of mycorrhizal fungi does not significantly decrease the concentration of RDX in leaf tissues for experimental periods of 30 days. Results also indicated that a radiolabeled volatile organic compound was emitted by both plant species. This is the first evidence that a whole plant can facilitate the transformation of RDX to a volatile organic chemical. ? 2010 American Chemical Society.</t>
  </si>
  <si>
    <t>Mazzoncini M., Canali S., Giovannetti M., Castagnoli M., Tittarelli F., Antichi D., Nannelli R., Cristani C., B…rberi P.</t>
  </si>
  <si>
    <t>Soil quality in Mediterranean conventional and organic stockless arable systems was assessed by a multidisciplinary approach. At the end of the first cycle of a 5-year crop rotation (2002-2006) in the Mediterranean Arable Systems Comparison Trial (MASCOT) long-term experiment, the effects of organic and conventional management systems were evaluated by using soil chemical, biochemical and biological parameters. Chemical and biochemical parameters linked to soil C cycle, arbuscular mycorrhizal fungi (AMF) and microarthropod communities were analysed according to a comparative approach. Results suggested a higher soil carbon sequestration in the organic respect to the conventional system, as shown by the values of total organic C (9.5 and 7.8 g kg-1, for organic and conventional system, respectively) and potentially mineralisable C (277 and 254 mg kg-1, for organic and conventional system, respectively). AMF population, AMF root colonisation and diversity of microarthropod population were slightly influenced by management system. On the other hand, mites/collembolans ratio was higher in conventionally than in organically managed soil (2.67 and 1.30, respectively), indicating as organic managed soils were more disturbed than conventional ones, probably as the consequence of the more frequent soil tillage performed for mechanical weeds control. The overall results demonstrated that, even in the short-term, the implementation of organically managed stockless systems in Mediterranean areas determined significant changes of some attributes for soil quality evaluation. ? 2009 Elsevier B.V. All rights reserved.</t>
  </si>
  <si>
    <t>INTRODUCTION Soil respiration (RS, Fig. 8.1) is the sum of an autotrophic component (RA) produced by roots and the associated rhizosphere (mycorrhizae and rhizosphere bacteria) and a heterotrophic component (RH) originating from soil micro-organisms that decompose the organic materials from both above-ground and below-ground litter (Bowden et al., 1993; Boone et al., 1998; Epron et al., 1999). Autotrophic respiration involves root carbohydrates and root exudates that have very low residence time in soil, while the heterotrophic component involves carbon compounds with a longer residence time, ranging from months to years for fresh litter and from years to centuries for old soil organic matter. All components are thought to be differently influenced by climatic conditions and site characteristics (Boone et al., 1998; Epron et al., 2001; Lavigne et al., 2004; Dilustro et al., 2005) and are thought to respond differently to elevated atmospheric CO2 or soil warming (Rustad et al., 2001; King et al., 2004; Pendall et al., 2004; Soe et al., 2004; Eliasson et al., 2005). Thus, separate estimations of these components are required for analyzing and modelling soil respiration and its response to climate or perturbation, for providing a better knowledge of carbon budgets of ecosystems and for improving carbon sequestration in soil (Hanson et al., 2000; Ryan and Law, 2005; Subke et al., 2006). ? Cambridge University Press 2009.</t>
  </si>
  <si>
    <t>Mycorrhizal symbioses are critical to desert plants since they face the challenges of scarce, sporadic precipitation, nutrient deficiencies, intense solar radiation, and the high temperatures found in hot deserts. Deserts are covering increasingly more of the Earth's surface area as desertification increases globally. Mycorrhizal desert plants have a greater chance of survival in the harsh desert environment. Desert plants form mycorrhizae with endomycorrhizal arbuscular fungi and with ectomycorrhizal fungi. Both form extensive networks of hyphae in the soil, and glomalin, a glycoprotein produced by hyphae of arbuscular mycorrhizal fungi, is crucial in soil structure and carbon storage. Mycorrhizal desert plants are important in agriculture, ecosystem biology, and conservation of the deserts. ? Springer-Verlag Berlin Heidelberg 2010. All rights reserved.</t>
  </si>
  <si>
    <t>Soil respiration (Rs), the emission of CO2 from the soil surface, is one of major carbon fluxes from terrestrial ecosystems to the atmosphere, and is therefore an important component of the global carbon balance. Total respiration from soils is mainly comprised of both the heterotrophic respiration of microorganisms (soil bacteria, fungi, and fauna) and autotrophic respiration from roots and their associated mycorrhizae. While Rs has received considerable attention in recent decades, much less is known about the contribution of heterotrophic or autotrophic component to the total Rs. A large part of gross primary production is consumed in heterotrophic respiration, and published estimates of the contribution of heterotrophic respiration to total Rs vary greatly and ranged from 10% to 90%. As a result, precise assessment of the contribution of autotrophic respiration to the total Rs is important to understand the effects of global climate change and human management practices on carbon sequestration and cycling in terrestrial ecosystems. This study aimed to reveal seasonal changes of Rs and the contribution of root respiration to total Rs in a Cunninghamia lanceolata plantation in the Tianjiling Forestry Park (113ø01?-113ø02? E, 28 ø06?-28øO7? N) of Changsha, Hunan Province, China. A trenching method, in which the roots existing in a given area are severed at the plot boundary but not removed, was used to determine the contribution of root respiration to total soil CO2 efflux. The Rs rates were measured from January 2007 to December 2008 by using infrared gas exchange analyzer of Li-Cor 6400-09. The results showed that the soil temperature at 5cm depth between trenched plots (without living roots) and control plots (with living roots) was not significant difference(P =0.987), but soil moisture at 5cm depth between these two types of plots was significant difference (P =0.035). The Rs rates in control plots increased from May to August and then decreased during autumn. A similar seasonal pattern of Rs process was found in the trenched plots, but the Rs rates in the trenched plots were lower than the controls, and the difference was significant in 2008 (P =0.021). The rates of soil CO2 efflux within the trenched and control plots ranged 0.19-2.01 and 0.26-2. 61? mol ? m-2s-1 respectively. The annual Rs in the trenched and control plots averaged 0.90 and l.30? mol ? m-2s-1, respectively. The Rs rates were decreased 9.4%-59.7% with an annual value of 30.4% in trenched plots when compared with the control plots. There was a significant exponential relationship (R2 =0.882, P =0.000) between Rs within the trenched plots and soil temperature. The Q10 value, representing the sensitivity of Rs to soil temperature was higher in the trenched plots (2.56) than the control plots (2.01). It was worth mentioning that great decreases of Rs within the trenched plots was suppressed in September 2008 due to natural distribution of precipitation and the variation of soil moisture in the study area.</t>
  </si>
  <si>
    <t>Human activities have greatly accelerated emissions of both carbon dioxide and biologically reactive nitrogen to the atmosphere. As nitrogen availability often limits forest productivity, it has long been expected that anthropogenic nitrogen deposition could stimulate carbon sequestration in forests. However, spatially extensive evidence for deposition-induced stimulation of forest growth has been lacking, and quantitative estimates from models and plot-level studies are controversial. Here, we use forest inventory data to examine the impact of nitrogen deposition on tree growth, survival and carbon storage across the northeastern and north-central USA during the 1980s and 1990s. We show a range of growth and mortality responses to nitrogen deposition among the regions 24 most common tree species. Nitrogen deposition (which ranged from 3 to 11 kg ha 1 yr 1) enhanced the growth of 11 species and decreased the growth of 3 species. Nitrogen deposition enhanced growth of all tree species with arbuscular mycorrhizal fungi associations. In the absence of disturbances that reduced carbon stocks by more than 50%, above-ground biomass increment increased by 61 kg of carbon per kg of nitrogen deposited, amounting to a 40% enhancement over pre-industrial conditions. Extrapolating to the globe, we estimate that nitrogen deposition could increase tree carbon storage by 0.31 Pg carbon yr 1. ? 2010 Macmillan Publishers Limited. All rights reserved.</t>
  </si>
  <si>
    <t>van Groenigen K.-J., Bloem J., B††th E., Boeckx P., Rousk J., Bod‚ S., Forristal D., Jones M.B.</t>
  </si>
  <si>
    <t>Soil tillage practices affect the soil microbial community in various ways, with possible consequences for nitrogen (N) losses, plant growth and soil organic carbon (C) sequestration. As microbes affect soil organic matter (SOM) dynamics largely through their activity, their impact may not be deduced from biomass measurements alone. Moreover, residual microbial tissue is thought to facilitate SOM stabilization, and to provide a long term integrated measure of effects on the microorganisms. In this study, we therefore compared the effect of reduced (RT) and conventional tillage (CT) on the biomass, growth rate and residues of the major microbial decomposer groups fungi and bacteria. Soil samples were collected at two depths (0-5ÿcm and 5-20ÿcm) from plots in an Irish winter wheat field that were exposed to either conventional or shallow non-inversion tillage for 7 growing seasons. Total soil fungal and bacterial biomasses were estimated using epifluorescence microscopy. To separate between biomass of saprophytic fungi and arbuscular mycorrhizae, samples were analyzed for ergosterol and phospholipid fatty acid (PLFA) biomarkers. Growth rates of saprophytic fungi were determined by [14C]acetate-in-ergosterol incorporation, whereas bacterial growth rates were determined by the incorporation of 3H-leucine in bacterial proteins. Finally, soil contents of fungal and bacterial residues were estimated by quantifying microbial derived amino sugars. Reduced tillage increased the total biomass of both bacteria and fungi in the 0-5ÿcm soil layer to a similar extent. Both ergosterol and PLFA analyses indicated that RT increased biomass of saprophytic fungi in the 0-5ÿcm soil layer. In contrast, RT increased the biomass of arbuscular mycorrhizae as well as its contribution to the total fungal biomass across the whole plough layer. Growth rates of both saprotrophic fungi and bacteria on the other hand were not affected by soil tillage, possibly indicating a decreased turnover rate of soil microbial biomass under RT. Moreover, RT did not affect the proportion of microbial residues that were derived from fungi. In summary, our results suggest that RT can promote soil C storage without increasing the role of saprophytic fungi in SOM dynamics relative to that of bacteria. ? 2009 Elsevier Ltd. All rights reserved.</t>
  </si>
  <si>
    <t>Summary Six position-specific 13C-labelled isotopomers of glucose were supplied to the ectomycorrhizal fungi Suillus pungens and Tricholoma flavovirens. From the resulting distribution of 13C among fungal PLFAs, the overall order and contribution of each glucose atom to fatty acid 13C enrichment was: C6 (?31%) &amp;gt; C5 (?25%) &amp;gt; C1 (?18%) &amp;gt; C2 (?18%) &amp;gt; C3 (?8%) &amp;gt; C4 (?1%). These data were used to parameterize a metabolic model of the relative fluxes from glucose degradation to lipid synthesis. Our data revealed that a higher amount of carbon is directed to glycolysis than to the oxidative pentose phosphate pathway (60% and 40% respectively) and that a significant part flows through these pathways more than once (73%) due to the reversibility of some glycolysis reactions. Surprisingly, 95% of carbon cycled through glyoxylate prior to incorporation into lipids, possibly to consume the excess of acetyl-CoA produced during fatty acid turnover. Our approach provides a rigorous framework for analysing lipid biosynthesis in fungi. In addition, this approach could ultimately improve the interpretation of isotopic patterns at natural abundance in field studies. ? 2009 Society for Applied Microbiology and Blackwell Publishing Ltd.</t>
  </si>
  <si>
    <t>Mycoheterotrophic orchids have adapted to shaded forest understory by shifting to achlorophylly and receiving carbon from their mycorrhizal fungi. In temperate forests, they associate in a highly specific way with fungi forming ectomycorrhizas on nearby trees, and exploiting tree photosynthates. However, many rainforests lack ectomycorrhizal fungi, and there is evidence that some tropical Asiatic species associate with saprotrophic fungi. To investigate this in different geographic and phylogenetic contexts, we identified the mycorrhizal fungi supporting two tropical mycoheterotrophic orchids from Mascarene (Indian Ocean) and Caribbean islands. We tested their possible carbon sources by measuring natural nitrogen (15N) and carbon (13C) abundances. Saprotrophic basidiomycetes were found: Gastrodia similis associates with a wood-decaying Resinicium (Hymenochaetales); Wullschlaegelia aphylla associates with both litter-decaying Gymnopus and Mycena species, whose rhizomorphs link orchid roots to leaf litter. The 15N and 13C abundances make plausible food chains from dead wood to G. similis and from dead leaves to W. aphylla. We propose that temperature and moisture in rainforests, but not in most temperate forests, may favour sufficient saprotrophic activity to support development of mycoheterotrophs. By enlarging the spectrum of mycorrhizal fungi and the level of specificity in mycoheterotrophic orchids, this study provides new insights on orchid and mycorrhizal biology in the tropics. ? 2009 New Phytologist.</t>
  </si>
  <si>
    <t>Changes in temperature, precipitation, and atmospheric carbon dioxide (CO2) concentration that are expected in the coming decades will have profound impacts on terrestrial ecosystem net primary production (NPP). Nearly all models linking forest NPP with soil carbon (C) predict that increased NPP will result in either unchanged or increased soil C storage, and that decreased NPP will result in decreased soil C storage. However, linkages between forest productivity and soil C storage may not be so simple and direct. In an old-growth coniferous forest located in the H.J. Andrews Experimental Forest, OR, USA, we experimentally doubled needle litter inputs, and found that actual soil respiration rates exceeded those expected due to the C added by the extra needles. Here, we estimated that this 'priming effect' accounted for 11.5-21.6% of annual CO2 efflux from litter-amended plots, or an additional 137-256 g C m-2 yr-1 loss of stored C to the atmosphere. Soil priming was seasonal, with greatest amounts occurring in June-August coincident with peaks in temperature and dry summer conditions. As a result of priming, mineral soil was more resistant to further mineralization during laboratory incubations. Soil lignin-derived phenols in the Double Litter plots were more oxidized than in the control, suggesting that the soil residue was more degraded. Our hypothesis that excess dissolved organic C produced from the added litter provided the link between the forest floor and mineral soil and a substrate for soil priming was not supported. Instead, the rhizosphere, and associated mycorrhizal fungi, likely responded directly to the added aboveground litter inputs. Our results revealed that enhanced NPP may lead to accelerated processing of some stored soil C, but that the effects of increased NPP on ecosystem C storage will be based on a net balance among all ecosystem C pools and are likely to be ecosystem-dependant. Forest C models need to include these complex linkages between forest productivity and soil C storage. ? 2009 Elsevier B.V. All rights reserved.</t>
  </si>
  <si>
    <t>Interactions between trees such as Populus and their associated soil microbiome significantly impact the net plant productivity (NPP), carbon biosequestration and carbon allocation. In this chapter we discuss new insights learned from genomic-level studies involving Populus and its soil microbial community, especially symbiotic ectomycorrhizal interactions, focusing on the communication and signaling in the soil between the tree roots and the mycorrhizal fungi, effect of root exudates and fungal enzymes in the turn over and translocation of mineral nutrients, nitrogen and soil organic matter (SOM). Future prospects of functional genomic studies on plant and fungal components to improve carbon sequestration and partitioning are outlined. Studies of the Populus ectomycorrhizal interactome in the soil are critical to long-term ecosystem productivity and greatly impact planet's atmosphere. ? Taylor &amp; Francis Group, LLC.</t>
  </si>
  <si>
    <t>An accurate assessment of soil organic matter dynamics is critical for understanding and predicting ecosystem responses to anthropogenic perturbation such as climate change, pollution and agriculture. These measurements of carbon (C) turnover are frequently made in the laboratory where it is easier to control the experimental conditions. However, this could potentially bias the results due to a range of factors including the absence of plants and associated mycorrhizas, physical disturbance, alteration in redox status etc. The aim of this study was therefore to directly compare the turnover of organic acids under field and laboratory conditions in three contrasting land use regimes (grassland, woodland and arable). The method involved the injection of 14C-labeled citric acid into the top soil and monitoring of its mineralization by capturing 14CO2 evolved from the soil over a 7 day period. Laboratory climate conditions were matched to those in the field. In both the laboratory and the field we showed that 14CO2 evolution followed a bi-phasic pattern and conformed extremely well to a double first-order kinetic model. While the first rapid mineralization phase showed a similar half-life for citrate under both laboratory and field conditions (4.9ÿñÿ0.7ÿh), the second slower mineralization phase had a significantly longer half-life when performed in the field. Overall, our results suggest that the first rapid mineralization phase was largely independent of our experimental conditions whilst the turnover of the citrate-derived C immobilized in the microbial biomass was significantly affected by the incubation conditions either due to differences in substrate utilization and storage pathways or due to faster microbial turnover in the laboratory. ? 2009 Elsevier Ltd. All rights reserved.</t>
  </si>
  <si>
    <t>Most current climate-carbon cycle models that include the terrestrial carbon (C) cycle are based on a model developed 40 years ago by Woodwell &amp;amp; Whittaker (1968) and omit advances in biogeochemical understanding since that time. Their model treats net C emissions from ecosystems as the balance between net primary production (NPP) and heterotrophic respiration (HR, i.e. primarily decomposition). Under conditions near steady state, geographic patterns of decomposition closely match those of NPP, and net C emissions are adequately described as a simple balance of NPP and HR (the Woodwell-Whittaker model). This close coupling between NPP and HR occurs largely because of tight coupling between C and N (nitrogen) cycles and because NPP constrains the food available to heterotrophs. Processes in addition to NPP and HR become important to understanding net C emissions from ecosystems under conditions of rapid changes in climate, hydrology, atmospheric CO2, land cover, species composition and/or N deposition. Inclusion of these processes in climate-C cycle models would improve their capacity to simulate recent and future climatic change. Processes that appear critical to soil C dynamics but warrant further research before incorporation into ecosystem models include below-ground C flux and its partitioning among roots, mycorrhizas and exudates; microbial community effects on C sequestration; and the effects of temperature and labile C on decomposition. The controls over and consequences of these processes are still unclear at the ecosystem scale. Carbon fluxes in addition to NPP and HR exert strong influences over the climate system under conditions of rapid change. These fluxes include methane release, wildfire, and lateral transfers of food and fibre among ecosystems. Water and energy exchanges are important complements to C cycle feedbacks to the climate system, particularly under non-steady-state conditions. An integrated understanding of multiple ecosystem-climate feedbacks provides a strong foundation for policies to mitigate climate change. Synthesis. Current climate systems models that include only NPP and HR are inadequate under conditions of rapid change. Many of the recent advances in biogeochemical understanding are sufficiently mature to substantially improve representation of ecosystem C dynamics in these models. ? 2009 British Ecological Society.</t>
  </si>
  <si>
    <t>Esperschtz J., Buegger F., Winkler J.B., Munch J.C., Schloter M., Gattinger A.</t>
  </si>
  <si>
    <t>Plants act as an important link between atmosphere and soil: CO2 is transformed into carbohydrates by photosynthesis. These assimilates are distributed within the plant and translocated via roots into the rhizosphere and soil microorganisms. In this study, 3 year old European beech trees (Fagus sylvatica L.) were exposed after the chilling period to an enriched 13C-CO2 atmosphere (ë13C = 60? - 80?) at the time point when leaves development started. Temporal dynamics of assimilated carbon distribution in different plant parts, as well as into dissolved organic carbon and microbial communities in the rhizosphere and bulk soil have been investigated for a 20 days period. Photosynthetically fixed carbon could be traced into plant tissue, dissolved organic carbon and total microbial biomass, where it was utilized by different microbial communities. Due to carbon allocation into the rhizosphere, nutrient stress decreased; exudates were preferentially used by Gram-negative bacteria and (mycorrhizal) fungi, resulting in an enhanced growth. Other microorganisms, like Gram-positive bacteria and mainly micro eucaryotes benefited from the exudates via food web development. Overall our results indicate a fast turnover of exudates and the development of initial food web structures. Additionally a transport of assimilated carbon into bulk soil by (mycrorhizal) fungi was observed. ? 2009 Elsevier Ltd. All rights reserved.</t>
  </si>
  <si>
    <t>Background: Mycoheterotrophic plants are considered to associate very specifically with fungi. Mycoheterotrophic orchids are mostly associated with ectomycorrhizal fungi in temperate regions, or with saprobes or parasites in tropical regions. Although most mycoheterotrophic orchids occur in the tropics, few studies have been devoted to them, and the main conclusions about their specificity have hitherto been drawn from their association with ectomycorrhizal fungi in temperate regions. Results: We investigated three Asiatic Neottieae species from ectomycorrhizal forests in Thailand. We found that all were associated with ectomycorrhizal fungi, such as Thelephoraceae, Russulaceae and Sebacinales. Based on 13C enrichment of their biomass, they probably received their organic carbon from these fungi, as do mycoheterotrophic Neottieae from temperate regions. Moreover, 13C enrichment suggested that some nearby green orchids received part of their carbon from fungi too. Nevertheless, two of the three orchids presented a unique feature for mycoheterotrophic plants: they were not specifically associated with a narrow clade of fungi. Some orchid individuals were even associated with up to nine different fungi. Conclusion: Our results demonstrate that some green and mycoheterotrophic orchids in tropical regions can receive carbon from ectomycorrhizal fungi, and thus from trees. Our results reveal the absence of specificity in two mycoheterotrophic orchid-fungus associations in tropical regions, in contrast to most previous studies of mycoheterotrophic plants, which have been mainly focused on temperate orchids. ? 2009 Roy et al; licensee BioMed Central Ltd.</t>
  </si>
  <si>
    <t>Partial mycoheterotrophy in Norwegian Wintergreen species - Relevance for endangered species protection [Partiell mykoheterotrofi hos norske vintergr?nnarter - relevans for vernetiltak overfor truede arter]</t>
  </si>
  <si>
    <t>ABSTRACT We tested the hypothesis that carbon productivity of beech (Fagus sylvatica) controls ectomycorrhizal colonization, diversity and community structures. Carbon productivity was limited by long-term shading or by girdling. The trees were grown in compost soil to avoid nutrient deficiencies. Despite severe limitation in photosynthesis and biomass production by shading, the concentrations of carbohydrates in roots were unaffected by the light level. Shade-acclimated plants were only 10% and sun-acclimated plants were 74% colonized by ectomycorrhiza. EM diversity was higher on roots with high than at roots with low mycorrhizal colonization. Evenness was unaffected by any treatment. Low mycorrhizal colonization had no negative effects on plant mineral nutrition. In girdled plants mycorrhizal colonization and diversity were retained although 14C-leaf feeding showed almost complete disruption of carbon transport from leaves to roots. Carbohydrate storage pools in roots decreased upon girdling. Our results show that plant carbon productivity was the reason for and not the result of high ectomycorrhizal diversity. We suggest that ectomycorrhiza can be supplied by two carbon routes: recent photosynthate and stored carbohydrates. Storage pools may be important for ectomycorrhizal survival when photoassimilates were unavailable, probably feeding preferentially less carbon demanding EM species as shifts in community composition were found. ? 2009 Blackwell Publishing Ltd.</t>
  </si>
  <si>
    <t>While measurements of tissue stable isotope signatures and isotope mixing models have suggested that the green orchid Corallorhiza trifida is photosynthetically active and hence only partially mycoheterotrophic, these assumptions have not been validated by direct analysis of carbon assimilation. The photosynthetic capabilities of three orchid species assumed on the basis of the indirect methods or chlorophyll content to have differing trophic strategies: Neottia nidus-avis (fully mycoheterotrophic), Cephalanthera damasonium (partially autotrophic), C. trifida (partially autotrophic), as well as saplings of an autotrophic tree, Fagus sylvatica, were investigated by combining the determination of chlorophyll content and fluorescence, with direct measurement of the potential for CO2 assimilation using 13C isotope tracers in the field. Chlorophyll content and fluorescence values were indicative of ineffective photochemical processes in Neottia and reduced efficiency of photochemical processes in Corallorhiza. These differences are reflected in the mean assimilation rates of 13CO2 of 594 ñ 129, 331 ñ 72, 12.4 ñ 2.4 and 7.3 ñ 0.9 ?g g-1 h-1 for Fagus, Cephalanthera, Corallorhiza and Neottia, respectively. Our study, while confirming the fully mycoheterotrophic status of Neottia and the partially autotrophic condition in Cephalanthera, also demonstrates under field conditions that Corallorhiza is physiologically closer to the fully mycoheterotrophic condition than has previously been recognized. ? 2009 New Phytologist Trust.</t>
  </si>
  <si>
    <t>Carbon dioxide is released from the soil to the atmosphere in heterotrophic respiration when the dead organic matter is used for substrates for soil micro-organisms and soil animals. Respiration of roots and mycorrhiza is another major source of carbon dioxide in soil CO2 efflux. The partitioning of these two fluxes is essential for understanding the carbon balance of forest ecosystems and for modelling the carbon cycle within these ecosystems. In this study, we determined the carbon balance of three common tree species in boreal forest zone, Scots pine, Norway spruce, and Silver birch with gas exchange measurements conducted in laboratory in controlled temperature and light conditions. We also studied the allocation pattern of assimilated carbon with 14C pulse labelling experiment. The photosynthetic light responses of the tree species were substantially different. The maximum photosynthetic capacity (P max) was 2.21 ?g CO2 s-1 g -1 in Scots pine, 1.22 ?g CO2 s-1 g -1 in Norway spruce and 3.01 ?g CO2 s-1 g-1 in Silver birch seedlings. According to the pulse labelling experiments, 43-75% of the assimilated carbon remained in the aboveground parts of the seedlings. The amount of carbon allocated to root and rhizosphere respiration was about 9-26%, and the amount of carbon allocated to root and ectomycorrhizal biomass about 13-21% of the total assimilated CO2. The 14CO2 pulse reached the root system within few hours after the labelling and most of the pulse had passed the root system after 48 h. The transport rate of carbon from shoot to roots was fastest in Silver birch seedlings. ? 2008 Springer-Verlag.</t>
  </si>
  <si>
    <t>Botanists and mycologists have long debated the potential for full myco-heterotrophy in the achlorophyllous Pyrola aphylla (Ericaceae). Here we address the ecophysiology of this putative myco-heterotroph and two other closely related green species in the tribe Pyroleae (Pyrola picta and Chimaphila umbellata). The stable isotopes of carbon and nitrogen (ë13C and ë15N) were analysed from 10 populations of Pyroleae species in California and Oregon, USA. For all populations isotope signatures were tested for significant differences between P. aphylla, green pyroloids, surrounding autotrophs and obligate myco-heterotrophs. Throughout all populations P. aphylla was most similar to myco-heterotrophs that associate with ectomycorrhizal fungi in its 13C signature (average enrichment î13C = 6.9 ñ 0.9?) and even more enriched in 15N than many previously recorded myco-heterotrophic species (average enrichment î15N = 18.0 ñ 2.2?). The two green Pyroleae species were not enriched in 13C compared with the autotrophic understory (C. umbellata average enrichment î13C = -0.5 ñ 1.0? and P. picta average î13C = 0.3 ñ 1.4?) and their 15N signatures were similar to myco-heterotrophs that associate with ectomycorrhizal fungi (C. umbellata average enrichment î15N = 10.6 ñ 1.6? and P. picta average î15N = 10.6 ñ 1.9?). This is the first study to analyse the isotope signatures of P. aphylla from a wide geographic region and our results confirm the variable trophic strategies of adult plants within the Pyroleae and the myco-heterotrophic status of P. aphylla. ? 2009 New Phytologist.</t>
  </si>
  <si>
    <t>We examined the role of arbuscular mycorrhizal fungi (AMF) in ecosystems using soil aggregate stability and C and N storage as representative ecosystem processes. We utilized a wide gradient in AMF abundance, obtained through long-term (17 and 6 years) large-scale field manipulations. Burning and N-fertilization increased soil AMF hyphae, glomalin-related soil protein (GRSP) pools and water-stable macroaggregates while fungicide applications reduced AMF hyphae, GRSP and water-stable macroaggregates. We found that AMF abundance was a surprisingly dominant factor explaining the vast majority of variability in soil aggregation. This experimental field study, involving long-term diverse management practices of native multispecies prairie communities, invariably showed a close positive correlation between AMF hyphal abundance and soil aggregation, and C and N sequestration. This highly significant linear correlation suggests there are serious consequences to the loss of AMF from ecosystems. ? 2009 Blackwell Publishing LtdCNRS.</t>
  </si>
  <si>
    <t>Phenanthrene uptake by Medicago sativa L. was investigated under the influence of an arbuscular mycorrhizal fungus. Inoculation of lucerne with the arbuscular mycorrhizal fungus Glomus etunicatum L. resulted in higher phenanthrene accumulation in the roots and lower accumulation in the shoots compared to non-mycorrhizal controls. Studies on sorption and desorption of phenanthrene by roots and characterization of heterogeneity of mycorrhizal and non-mycorrhizal roots using solid-state 13C nuclear magnetic resonance spectroscopy (13C NMR) demonstrated that increased aromatic components due to mycorrhizal inoculation resulted in enhanced phenanthrene uptake by the roots but lower translocation to the shoots. Direct visualization using two-photon excitation microscopy (TPEM) revealed higher phenanthrene accumulation in epidermal cells of roots and lower transport into the root interior and stem in mycorrhizal plants than in non-mycorrhizal controls. These results provide some insight into the mechanisms by which arbuscular mycorrhizal inoculation may influence the uptake of organic contaminants by plants. ? 2008 Elsevier Ltd. All rights reserved.</t>
  </si>
  <si>
    <t>Bi-directional translocation and degradation of Arginine (Arg) along the arbuscular mycorrhizal (AM) fungal mycelium were testified through 15N and/or 13C isotopic labeling. In vitro mycorrhizas of Glomus intraradices and Ri T-DNA-transformed carrot roots were grown in dual compartment Petri dishes. [15N- and/or13C]Arg was supplied to either the fungal compartment or the mycorrhizal compartment or separate dishes containing the uncolonized roots. The levels and labeling of free amino acids (AAs) in the mycorrhizal roots and in the extraradical mycelia(ERM) were measured by gas chromatography/mass spectrometry (GC-MS) and high-performance liquid chromatography (HPLC). The ERM of AM fungi exposed in either NH4+ or urea as sole external nitrogen source had much higher 15N enrichment of Arg, compared with those in nitrate or exogenous Arg; however, glycerol supplied as an external carbon source to the ERM had no significant effect on the level of Arg in the ERM. Meanwhile, Arg biosynthesized in the ERM could be translocated intact to the mycorrhizal roots and thereby the level of Arg in the mycorrhizal roots increased to about 20% after culture of ERM in 4 mmol/L NH4+ for 6 weeks. Also Arg was found to be bi-directionally transported along the AM fungal mycelium through [U-13C]Arg labeling either in the mycorrhizal compartment or in the fungal compartment. Once Arg was translocated to the potential N-limited sites, it would be further degraded into ornithine (Orn) and urea since either [U-13C] or [U-15N/U-13C]Orn was apparently shown up in the mycorrhizal root tissues when [U-13C] or [U-15N/U-13C]Arg was labeled in the fungal compartment, respectively. Evidently Orn formation indicated the ongoing activities of Arg translocation and degradation through the urea cycle in AM fungal mycelium. ? 2009 Science in China Press and Springer-Verlag GmbH.</t>
  </si>
  <si>
    <t>The overstorey coniferous trees and understorey ericaceous dwarf shrubs of northern temperate and boreal forests have previously been considered to form mycorrhizas with taxonomically and functionally distinct groups of fungi. Here, we tested the hypothesis that Meliniomyces variabilis and Meliniomyces bicolor, isolated from Piceirhiza bicolorata ectomycorrhizas of pine, can function as ericoid mycorrhizal symbionts with Vaccinium vitis-idaea. We used split-compartment microcosms to measure the reciprocal exchange of 13C and 15N between V. vitis-idaea and three fungal isolates in the Hymenoscyphus ericae aggregate isolated from Scots pine ectomycorrhizas (M. variabilis and M. bicolor) or Vaccinium roots (M. variabilis). The extramatrical fungal mycelium of labelled mycorrhizal plants was significantly enriched in 13C, and the leaves were significantly enriched in 15N, compared with nonmycorrhizal and nonlabelled controls. These findings show for the first time that fungi in the H. ericae aggregate, isolated from pine ectomycorrhizas, can transfer C and N and can thus form functional ericoid mycorrhizas in an understorey ericaceous shrub. ? 2009 New Phytologist.</t>
  </si>
  <si>
    <t>Etcheverr¡a P., Huygens D., Godoy R., Borie F., Boeckx P.</t>
  </si>
  <si>
    <t>Increasing evidence suggests that accretion of microbial turnover products is an important driver for isotopic carbon (C) and nitrogen (N) enrichment of soil organic matter (SOM). However, the exact contribution of arbuscular mycorrhizal fungi (AMF) to soil isotopic patterns remains unknown. In this study, we compared 13C and 15N patterns of glomalin-related soil protein (GRSP), which includes a main fraction derived from AMF, litter, and bulk soil in four temperate rainforests. GRSP was an abundant C and N pool in these forest soils, showing significant 13C and 15N enrichment relative to litter and bulk soil. Hence, cumulative accumulation of recalcitrant AMF turnover products in the soil profile likely contributes to 13C and 15N enrichment in forest soils. Further research on the relationship between GRSP and AMF should clarify the exact extent of this process. ? 2009 Elsevier Ltd. All rights reserved.</t>
  </si>
  <si>
    <t>ë13C; ë15N; Arbuscular mycorrhizal fungi; Chile; Glomalin-related soil protein (GRSP); Isotope enrichment; Pristine forest</t>
  </si>
  <si>
    <t>Cryptic belowground organisms are difficult to observe and their responses to global changes are not well understood. Nevertheless, there is reason to believe that interactions among above- and belowground communities may mediate ecosystem responses to global change. We used grassland mesocosms to manipulate the abundance of one important group of soil organisms, arbuscular mycorrhizal (AM) fungi, and to study community and ecosystem responses to CO2 and N enrichment. Responses of plants, AM fungi, phospholipid fatty acids and community-level physiological profiles were measured after two growing seasons. Ecosystem responses were examined by measuring net primary production (NPP), evapotranspiration, total soil organic matter (SOM), and extractable mineral N. Structural equation modeling was used to examine the causal relationships among treatments and response variables. We found that while CO2 and N tended to directly impact ecosystem functions (evapotranspiration and NPP, respectively), AM fungi indirectly impacted ecosystem functions by influencing the community composition of plants and other root fungi, soil fungi and soil bacteria. We found that the mycotrophic status of the dominant plant species in the mesocosms determined whether the presence of AM fungi increased or decreased NPP. Mycotrophic grasses dominated the mesocosm communities during the first growing season, and the mycorrhizal treatments had the highest NPP. In contrast, nonmycotrophic forbs were dominant during the second growing season and the mycorrhizal treatments had the lowest NPP. The composition of the plant community strongly influenced soil N, and the community composition of soil organisms strongly influenced SOM accumulation in the mesocosms. These results show how linkages between above- and belowground communities can determine ecosystem responses to global change. ? 2009 The Authors Journal compilation ? 2009 Blackwell Publishing.</t>
  </si>
  <si>
    <t>Soil ecosystem functioning is vital to the sustained functioning of the biosphere. Many processes occur in soils. These include the recycling of nutrients from previous crop residues to maintain primary production, and the consequent introduction of the sun's energy into the biosphere. Other processes that enhance environmental quality such as the suppression of plant pathogens, carbon sequestration and bioremediation also occur. Soils support one of the most diverse ecosystems in the biosphere, with a population consisting of many thousands of species of bacteria, protozoa, fungi and micro-, meso- and macro-fauna, which are responsible for a large number of functional processes. The soil population varies greatly in types, numbers and functional expression both temporally and spatially, and is responsive to a variety of inputs and physical conditions. These are dynamic systems that are constantly evolving and changing, in which many components are intrinsically interconnected, and conversely others are completely autonomous. Plant inputs are the major drivers of soil ecosystem functioning, and responses to these inputs vary according to both the quantity of these inputs and the constituent chemicals. These inputs come from roots, root exudates and debris, and residues from the aerial parts during active plant growth and from senescing material after the plant dies. They provide energy from the breakdown of the carbon fixed during primary production in the plant, and frequently, although consequentially, nitrogen, in many forms. Inputs differ in both amounts and types of compounds according to plant species. Hence, different plants can have differing effects on soil process dynamics. Soil organisms are also involved in other nutrient acquisitions such as phosphorous mobilization and metal chelation to enable plant uptake, as well as mycorrhizal associations. Their activities also impact on soil health and quality, with subsequent impacts on water quality and supply. Without these soil-ecosystem-driven phenomena primary production would cease. Here the possible impacts of genetically modified (GM) crops on agricultural and natural systems are considered. However, it should be borne in mind that all the topics considered will apply equally to the introduction of new, or indeed different, cultivars or crops, since it is the consequences of changed inputs from these that are relevant. Similarly, many changes in agronomic practice, such as cultivation technique and timing, planting and sowing rates, pesticide usage, etc., must also be considered. The environmental impacts of these should receive equal attention as these large perturbations that are routinely applied to soil ecosystems during normal agricultural management practices have significant impacts on soil communities and functions (Buckley and Schmidt, 2001). These and other factors such as plant type being cultivated, season, climate and geography may well be much greater drivers of community structure in the rhizosphere than any changes in inputs resulting from GM of the crop plant (Donegan et al., 1999; Griffiths et al., 2000; Lukow et al., 2000; Dunfield and Germida, 2001; Hopkins et al., 2001). When the environmental impacts of GM plants are being assessed, comparisons must be drawn against the background of such 'normal' baseline variations, in both structure and function. ? CAB International 2009.</t>
  </si>
  <si>
    <t>We investigated the physiological ecology of the Asian non-photosynthetic orchid Gastrodia confusa. We revealed its mycorrhizal partners by using molecular identification and identified its ultimate nutritional source by analysing carbon and nitrogen natural stable isotope abundances. Molecular identification using internal transcribed spacer and large subunit nrDNA sequences showed that G. confusa associates with several species of litter- and wood-decomposer Mycena fungi. The carbon and nitrogen isotope signatures of G. confusa were analysed together with photosynthetic plant reference samples and samples of the ectomycorrhizal epiparasite Monotropa uniflora. We found that G. confusa was highly enriched in 13C but not greatly in 15N, while M. uniflora was highly enriched in both 13C and 15N. The 13C and 15N signatures of G. confusa were the closest to those of the fruit bodies of saprotrophic fungi. Our results demonstrate for the first time using molecular and mass-spectrometric approaches that myco-heterotrophic plants gain carbon through parasitism of wood or litter decaying fungi. Furthermore, we demonstrate that, several otherwise free-living non-mycorrhizal, Mycena can be mycorrhizal partners of orchids. ? 2008 The Royal Society.</t>
  </si>
  <si>
    <t>Cenococcum geophilum Fr. is one of the most frequently encountered mycorrhizal fungi in nature. It reveals tolerance to low pH and forms abundant number of sclerotia. In this study, distribution of sclerotia of C. geophilum was investigated in a single stand forest of Picea abies, Harz mountains, Germany to analyze their forming factors. Surface soil samples were collected to examine density of sclerotia based on weight and count of grains, soil pH(H2O, KCl), content of exchangeable aluminum, total carbon and nitrogen, and humification degree based on melanic index and Pg index. Elemental composition of sclerotia was examined by SEM-EDS analysis. 14C age of sclerotia was determined by AMS measurement. The averages of sclerotia density by weight and counts throughout all points were 0.54 mgg-1 and 1.3 count g-1, respectively. The distributional correspondence of sclerotia to microtopography was not clear and demonstrated the formation of sclerotia as a nearly constant phenomenon in the investigated forest soil. However, a large amount of sclerotia tended to distribute in soils with scarce floor vegetation. Content of exchangeable aluminum in soil was an effective factor on accelerating formation of large sclerotia and Al and Fe content in sclerotia were likely to increase in lower pH soils. The existence of sclerotia in forest soil may stand as an indicator of soil chemical properties such as strong acidity and high Al3- content. ?2010 The Association of Japanese Geographers.</t>
  </si>
  <si>
    <t>? The role of litter tannins in controlling soil nitrogen (N) cycling may explain the competitive ability of Kalmia relative to black spruce (Picea mariana), although this has not been demonstrated experimentally. ? Here, the protein-precipitation capacities of purified tannins and leaf extracts from Kalmia and black spruce were compared. The resistance to degradation of tannin-protein precipitates from both species were compared by monitoring carbon (C) and N dynamics in humus amended with protein, purified tannins or protein-tannin precipitates. The purity of the precipitates was verified using solid-state 13C nuclear magnetic resonance (NMR) spectra. The ability of mycorrhizal fungi associated with both species to grow on media amended with tannin-protein complexes as the principal N source was also compared. ? The protein precipitation capacity of Kalmia tannins was superior to those of black spruce. Humus amended with protein increased both mineral and microbial N, whereas humus amended with tannin-protein precipitates increased dissolved organic N. Mycorrhizal fungi associated with Kalmia showed better growth than those associated with black spruce when N was provided as tannin-protein precipitates. ? These data suggest that Kalmia litter increases the amount of soil N sequestered as tannin-protein complexes, which may improve the competitive ability of Kalmia relative to black spruce by favouring N uptake by mycorrhizas associated with the former. ? The Authors (2008).</t>
  </si>
  <si>
    <t>Rhizodeposit-carbon provides a major energy source for microbial growth in the rhizosphere of grassland soils. However, little is known about the microbial communities that mediate the rhizosphere carbon dynamics, especially how their activity is influenced by changes in soil management. We combined a 13CO2 pulse-labeling experiment with phospholipid fatty acid (PLFA) analysis in differently managed Belgian grasslands to identify the active rhizodeposit-C assimilating microbial communities in these grasslands and to evaluate their response to management practices. Experimental treatments consisted of three mineral N fertilization levels (0, 225 and 450 kg N ha-1 y-1) and two mowing frequencies (3 and 5 times y-1). Phospholipid fatty acids were extracted from surface (0-5 cm) bulk (BU) and root-adhering (RA) soil samples prior to and 24 h after pulse-labeling and were analyzed by gas chromatography-combustion-isotope ratio mass spectrometry (GC-c-IRMS). Soil habitats significantly differed in microbial community structure (as revealed by multivariate analysis of mol% biomarker PLFAs) as well as in gram-positive bacterial rhizodeposit-C uptake (as revealed by greater 13C-PLFA enrichment following pulse-labeling in RA compared to BU soil in the 450N/5M treatment). Mowing frequency did not significantly alter the relative abundance (mol%) or activity (13C enrichment) of microbial communities. In the non-fertilized treatment, the greatest 13C enrichment was seen in all fungal biomarker PLFAs (C16:1?5, C18:1?9, C18:2?6,9 and C18:3?3,6,9), which demonstrates a prominent contribution of fungi in the processing of new photosynthate-C in non-fertilized grassland soils. In all treatments, the lowest 13C enrichment was found in gram-positive bacterial and actinomycetes biomarker PLFAs. Fungal biomarker PLFAs had significantly lower 13C enrichment in the fertilized compared to non-fertilized treatments in BU soil (C16:1?5, C18:1?9) as well as RA soil (all fungal biomarkers). While these observations clearly indicated a negative effect of N fertilization on fungal assimilation of plant-derived C, the effect of N fertilization on fungal abundance could only be detected for the arbuscular mycorrhizal fungal (AMF) PLFA (C16:1?5). On the other hand, increases in the relative abundance of gram-positive bacterial PLFAs with N fertilization were found without concomitant increases in 13C enrichment following pulse-labeling. We conclude that in situ13C pulse-labeling of PLFAs is an effective tool to detect functional changes of those microbial communities that are dominantly involved in the immediate processing of new rhizosphere-C. ? 2008 Elsevier Ltd. All rights reserved.</t>
  </si>
  <si>
    <t>The stable isotopes 15N and 13C can be used to investigate the nutritional mode of terrestrial orchids and pyroloids (Monotropoideae, Ericaceae). Some of these plants are putatively autotrophic but meet their nitrogen and carbon demands by gaining organic compounds (e.g. amino acids) from mycorrhizal fungi. This so-called partially myco-heterotrophic nutrition is reflected by their isotope signature. The application of a two-source linear mixing model on ë values of such plants allows calculating the percentage of N and C derived from their associated mycorrhizal fungi. Here we present an approach to improve estimates of the plants' degree of myco-heterotrophy. Due to the presented conversion of ë values into enrichment factors (î), results obtain a better resolution and data from various studies become normalised which facilitates combined representations and meta-analyses.</t>
  </si>
  <si>
    <t>Vodnik D., MaŠek I., P‚li E., Videm?ek U., Tuba Z.</t>
  </si>
  <si>
    <t>Monoliths of temperate loess grassland and temperate semi-desert sand grassland have been exposed to elevated CO 2 (700 ?mol mol-1) and present ambient CO 2 concentration in a 6-year open top chamber (OTC) experiment. In loess grassland elevated CO 2 increased both biomass and vegetation cover, whereas there was no similar effect found in semi-desert grassland. The content of glomalin related soil protein (GRSP) increased in both loess and sand grasslands under CO 2 enrichment (early summer aspect). The increase was higher in the case of easily extractable fraction (EEG), representing 14.7 and 22.2% of the chambered control's EEG, for loess and sand grassland respectively. In the case of total glomalin the increase was much lower 7.9% (loess) and 2.6% (sand). On the basis of differences between elevated and ambient CO 2 treatment we could conclude that elevated CO 2 promoted C-deposition in xeric temperate grassland in early summer. Increases of EEG indicate an efficient partitioning of the recently fixed carbon to the soil. ? Akad‚miai Kiad¢ Budapest.</t>
  </si>
  <si>
    <t>Elfstrand S., Lagerl”f J., Hedlund K., M†rtensson A.</t>
  </si>
  <si>
    <t>This field experiment investigated how C from fresh organic amendments and from a growing leek crop was allocated into different soil microbial and faunal groups in an arable field. A 13C-enriched red clover green manure was incorporated in one treatment, while the growing leek crop was pulse labelled with 13CO2 in another. Incorporation of 13C into microbial fatty acids, micro- and macroarthropods, enchytraeids and earthworms was determined on several occasions during the growing season in order to determine whether different groups or species of microorganisms and fauna were specialised on either the decomposing green manure material or root-derived C. Compound-specific stable isotope ratio analysis showed fatty acid markers of actinomycetes and Gram-positive bacteria to be more strongly linked to C originating from the decomposing green manure material, whereas the marker for arbuscular mycorrhizal fungi was more linked to C from the growing leek crop. In contrast, several markers for Gram-negative bacteria were the most 13C-enriched and had incorporated more 13C than the other phospholipid fatty acids in both treatments, indicating a general dominance irrespective of C source. Most soil fauna seemed to derive their C directly or indirectly from the decomposing plant material, while C from the growing crop appeared to be of secondary importance in this agroecosystem. ? 2008 Elsevier Ltd. All rights reserved.</t>
  </si>
  <si>
    <t>? Direct measurement of the carbon (C) 'cost' of mycorrhizas is problematic. Although estimates have been made for arbuscular and ectomycorrhizal symbioses, these are based on incomplete budgets or indirect measurements. Furthermore, the conventional model of unidirectional plant-to-fungus C flux is too simplistic. Net fungus-to-plant C transfer supports seedling establishment in c. 10% of plant species, including most orchids, and bidirectional C flows occur in ectomycorrhiza utilizing soil amino acids. ? Here, the C cost of mycorrhizas to the green orchid Goodyera repens was determined by measurement of simultaneous bidirectional fluxes of 14C labelled sources using a monoxenic system with the fungus Ceratobasidium cornigerum. ? Transfer of C from fungus to plant ('up-flow') occurs in the photosynthesizing orchid G. repens (max. 0.06 ?g) whereas over five times more current assimilate (min. 0.355 ?g) is simultaneously allocated in the reverse direction to the mycorrhizal fungus ('down-flow') after 8 d. Carbon is transferred rapidly, being detected in plant-fungal respiration within 31 h of labelling. ? This study provides the most complete C budget for an orchid-mycorrhizal symbiosis, and clearly shows net plant-to-fungus C flux. The rapidity of bidirectional C flux is indicative of dynamic transfer at an interfacial apoplast as opposed to reliance on digestion of fungal pelotons. ? The Authors (2008).</t>
  </si>
  <si>
    <t>Levels of glomalin and their relation with soil chemical and biological soil (andisol) characteristics in a relic of native forest of southern Chile [Niveles de glomalina y su relaci¢n con caracter¡sticas qu¡micas y biol¢gicas del suelo (andisol) en un relicto de bosque nativo del sur de Chile]</t>
  </si>
  <si>
    <t>In forest ecosystems the arbuscular mycorrhizal fungi (AMF) play an important role in the carbon accumulation by a glicoprotein production named glomalin that participate in the soil aggregate stability. Therefore, the aim of this study was to quantify the glomalin content of an andisol of southern Chile under adult and mixed forest and to determine the relationships with fungal and soil chemical characteristics. The study was at two slopes and exposition (NE and SW). The forest vegetation was principally dominated by species that develop ectomycorrhiza, but the underforest species, shrubs and climbers, developed arbuscular mycorrhiza with high glomalin production capacity and with amounts higher than those determined in agroecosystems for the same area. Glomalin concentration in the upper horizon ranged between 44.2 and 46.1 mg g?1 representing between 8.9 and 10.4% of the total soil carbon, decreasing their content as depth increased. The slope and exposition type influenced glomalin content both, total and easily extractable. Therefore, NE with smooth slope presented the major content of total glomalin, while SW with sharp slope showed high levels of easily extractable glomalin. Total glomalin showed close relationships with the spores AMF (r = 0.84, P &amp;lt; 0.001) and with soil organic matter (r = 0.83, P &amp;lt; 0.001). Data obtained in this study suggest that it is necessary to preserve the forest ecosystems for keeping up the mycorrhizal potential and reinforce the statement that glomalin can be an important carbon sink contributing to soil carbon retention. ? 2008 Universidad Austral de Chile.</t>
  </si>
  <si>
    <t>1. Arid ecosystems are a patch mosaic of plants and biological soil crusts that have been described as islands and mantles of fertility, respectively. To determine whether these patches are metabolically linked by a fungal network of dark septate and arbuscular mycorrhizal fungi (AMF), we measured translocation of nitrogen (N) and carbon (C) in a desert grassland using 15N- NO3 and 13C5, 15N-glutamic acid as substrates. 2. Substrates were applied as point sources to either small patches of biotic crust or to a subset of leaves within a bunch grass tussock. 3. Both substrates were translocated over approximately 1 m2 areas (approximately 20 patches) at rates up to 100 cm day-1 during a 4-day period following a natural rainfall event. Foliar uptake of 15N from glutamate was initially more rapid than 15N uptake from nitrate, and translocation from foliage was initially more rapid than translocation from soil crust. Rates of 15N translocation between patches were similar to rates of atmospheric N deposition and denitrification. 4. 13C from 13C5, 15N-glutamic acid applied to leaves was translocated to crust suggesting that plant C may provide metabolic support to biological soil crusts during periods of active growth. 13C from 13C5, 15N-glutamic acid applied to soil crusts did not enter plants, in contrast to the 15N from this substrate, indicating that glutamate was not translocated intact. 5. The dominant fungi of roots, rhizosphere soil and biological soil crusts are dark septate ascomycetes, most classified as Pleosporales, and AMF are rare. Phylogenetic analyses indicate substantial overlap in fungal community composition between roots and crusts, which may facilitate nutrient transfers. 6. Synthesis. This study supports the hypothesis that the spatial structure of semi-arid ecosystems, a patch mosaic of grasses and biological soil crust described, respectively, by the island of fertility and mantle of fertility paradigms, is functionally integrated by exchanges of C and N through a symbiotic fungal network dominated by dark-septate fungi. ? 2008 The Authors.</t>
  </si>
  <si>
    <t>Carbon transfer between plants via a common extraradical network of arbuscular mycorrhizal (AM) fungal hyphae has been investigated abundantly, but the results remain equivocal. We studied the transfer of carbon through this fungal network, from a Medicago truncatula donor plant to a receiver (1) M. truncatula plant growing under decreased light conditions and (2) M. truncatula seedling. Autotrophic plants were grown in bicompartmented Petri plates, with their root systems physically separated, but linked by the extraradical network of Glomus intraradices. A control Myc-/Nod- M. truncatula plant was inserted in the same compartment as the receiver plant. Following labeling of the donor plant with 13CO2, 13C was recovered in the donor plant shoots and roots, in the extraradical mycelium and in the receiver plant roots. Fatty acid analysis of the receiver's roots further demonstrated 13C enrichment in the fungal-specific lipids, while almost no label was detected in the plant-specific compounds. We conclude that carbon was transferred from the donor to the receiver plant via the AM fungal network, but that the transferred carbon remained within the intraradical AM fungal structures of the receiver's root and was not transferred to the receiver's plant tissues. ? 2008 Federation of European Microbiological Societies. Published by Blackwell Publishing Ltd. All rights reserved.</t>
  </si>
  <si>
    <t>We assessed the degree to which ectomycorrhizal fungi exploit organic nitrogen in situ. In an Alaskan boreal forest, we identified pairs of sporocarps from five taxa of ectomycorrhizal fungi. We added 13C-labeled alanine to the soil surrounding one sporocarp within each pair; the second served as an unlabeled control. Peak rates of 13C-respiration from alanine were higher in the labeled sporocarp plots than the controls, indicating that the 13C-alanine was detectably respired from the soil. "Reference" plots adjacent to the sporocarps served as an indication of background 13C-respiration rates released by the soil community as a whole. Ectomycorrhizal sporocarps displayed higher 13C-respiration rates than their reference plots. Thus, the sporocarps and associated mycorrhizal mycelium appeared to contribute significantly to the release of alanine-derived 13CO2, confirming the hypothesis that ectomycorrhizal fungi may access soil amino acid pools under natural conditions. ? 2008 Elsevier Ltd. All rights reserved.</t>
  </si>
  <si>
    <t>Soil fungi couple plant and ecosystem resource demands to pools of soil resources. Research on these organisms is needed to predict how rising atmospheric CO2 will influence forest ecosystem processes and soil carbon (C) sequestration potential. We examined the influence of free-air-CO2-enrichment (FACE) on mycorrhizal and extraradical rhizomorph dynamics over a 5-year period in a loblolly pine forest using minirhizotrons. Standing crop of mycorrhizal root tips varied greatly spatially and through time. Summed across all years, CO2 enrichment increased mycorrhizal root tip production by 194% in deep soil (15-30cm) but did not influence mycorrhizal production in shallow soil (0-15cm). Production and mortality of soil rhizomorph length was 27% and 25% greater in CO2-enriched plots compared with controls over a 5-year period beginning in January of 2000 and running through autumn 2004. Effects of atmospheric CO2 enrichment on longevity of mycorrhizal root tips and rhizomorphs varied with soil depth (mycorrhizae and rhizomorphs) and with diameter (rhizomorphs). For instance, survival of mycorrhizal tips was reduced in CO2-enriched plots in deep soil (15-30cm depth) but was increased in shallower soil (0-15cm). Rhizomorph turnover was accelerated in shallow soil but effects on survivorship in deep soil varied according to diameter. A drought in 2002 coupled with loss of leaf area to an ice storm late in 2002 were followed by reductions in rhizomorph and mycorrhizal production, increases in mortality, and decreases in standing crop during 2003 and 2004. These effects tended to be more severe in CO2-enriched plots. Positive effects of atmospheric CO2 enrichment on mycorrhizal fungi, primarily observed in deeper soil, are probably contributing to the prolonged stimulation of NPP by CO2 enrichment at the Duke FACE study site. ? 2008 The Authors Journal compilation ? 2008 Blackwell Publishing Ltd.</t>
  </si>
  <si>
    <t>How soil carbon balance will be affected by plant-mycorrhizal interactions under future climate scenarios remains a significant unknown in our ability to forecast ecosystem carbon storage and fluxes. We examined the effects of soil temperature (14, 20, 26 øC) on the structure and extent of a multispecies community of arbuscular mycorrhizal (AM) fungi associated with Plantago lanceolata. To isolate fungi from roots, we used a mesh-divided pot system with separate hyphal compartments near and away from the plant. A 13C pulse label was then used to trace the flow of recently fixed photosynthate from plants into belowground pools and respiration. Temperature significantly altered the structure and allocation of the AM hyphal network, with a switch from more vesicles (storage) in cooled soils to more extensive extraradical hyphal networks (growth) in warmed soils. As soil temperature increased, we also observed an increase in the speed at which plant photosynthate was transferred to and respired by roots and AM fungi coupled with an increase in the amount of carbon respired per unit hyphal length. These differences were largely independent of plant size and rates of photosynthesis. In a warmer world, we would therefore expect more carbon losses to the atmosphere from AM fungal respiration, which are unlikely to be balanced by increased growth of AM fungal hyphae. ? 2008 The Authors Journal compilation ? 2008 Blackwell Publishing Ltd.</t>
  </si>
  <si>
    <t>Plant inputs of organic material to soil are thought to be key determinants of microbial activity, community composition and processes. However, the identity of organisms utilising these chemically diverse inputs is not well understood. In this study, we applied tracer amounts of highly enriched, 13C-labelled plant tissue fractions (whole, insoluble and soluble) to soil cores that either allowed or prevented access to roots and mycorrhizal fungi. For all tissue fractions, C derived from the additions was detected rapidly (&amp;lt;2 h after additions) in soil respiration. The additions did not alter microbial community structure, but their fate was strongly dependent on the addition type. The mineralisation of the soluble fraction was the most rapid and was recovered predominantly in bacterial PLFA biomarkers. In contrast, the insoluble addition was mineralised more slowly and recovered in fungal biomarkers to a greater extent. The presence of roots and/or mycorrhizas did not significantly affect rates of mineralisation or the biological fate of additions. A second harvest indicated that the distribution of substrate-derived C within the microbial community was still distinct (i.e. dependent on the form of addition) after 49 d, but with accumulation of 13C within the enchytraeid biomass. The results indicate that under the conditions of this experiment, transfer of C between microbial groups is relatively slow, suggesting that the range of chemical forms of plant inputs are likely important in maintaining microbial community structure in soils. ? 2007 Elsevier Ltd. All rights reserved.</t>
  </si>
  <si>
    <t>? The leafless, circumboreal orchid Corallorhiza trifida is often assumed to be fully myco-heterotrophic despite contrary evidence concerning its ability to photosynthesize. Here, its level of myco-heterotrophy is assessed by analysing the natural abundance of the stable nitrogen and carbon isotopes 15N and 13C, respectively. ? The mycorrhizal associates and chlorophyll contents of C. trifida were investigated and the C and N isotope signatures of nine C. trifida individuals from Central Europe were compared with those of neighbouring obligate autotrophic and myco-heterotrophic reference plants. ? The results show that C. trifida only gains c. 52 ñ 5% of its total nitrogen and 77 ñ 10% of the carbon derived from fungi even though it has been shown to specialize on one specific complex of ectomycorrhizal fungi similar to fully myco-heterotrophic orchids. Concurrently, compared with other Corallorhiza species, C. trifida contains a remarkable amount of chlorophyll. ? Since C. trifida is able to supply significant proportions of its nitrogen and carbon demands through the same processes as autotrophic plants, this species should be referred to as partially myco-heterotrophic. ? The Authors (2008).</t>
  </si>
  <si>
    <t>Clemmensen K.E., Sorensen P.L., Michelsen A., Jonasson S., Str”m L.</t>
  </si>
  <si>
    <t>Soil microbes constitute an important control on nitrogen (N) turnover and retention in arctic ecosystems where N availability is the main constraint on primary production. Ectomycorrhizal (ECM) symbioses may facilitate plant competition for the specific N pools available in various arctic ecosystems. We report here our study on the N uptake patterns of coexisting plants and microbes at two tundra sites with contrasting dominance of the circumpolar ECM shrub Betula nana. We added equimolar mixtures of glycine-N, NH4 +-N and NO3--N, with one N form labelled with 15N at a time, and in the case of glycine, also labelled with 13C, either directly to the soil or to ECM fungal ingrowth bags. After 2 days, the vegetation contained 5.6, 7.7 and 9.1% (heath tundra) and 7.1, 14.3 and 12.5% (shrub tundra) of the glycine-, NH4+ - and NO3- -15N, respectively, recovered in the plant-soil system, and the major part of 15N in the soil was immobilized by microbes (chloroform fumigation-extraction). In the subsequent 24 days, microbial N turnover transferred about half of the immobilized 15N to the non-extractable soil organic N pool, demonstrating that soil microbes played a major role in N turnover and retention in both tundra types. The ECM mycelial communities at the two tundras differed in N-form preferences, with a higher contribution of glycine to total N uptake at the heath tundra; however, the ECM mycelial communities at both sites strongly discriminated against NO3- . Betula nana did not directly reflect ECM mycelial N uptake, and we conclude that N uptake by ECM plants is modulated by the N uptake patterns of both fungal and plant components of the symbiosis and by competitive interactions in the soil. Our field study furthermore showed that intact free amino acids are potentially important N sources for arctic ECM fungi and plants as well as for soil microorganisms. ? 2008 Springer-Verlag.</t>
  </si>
  <si>
    <t>Vesterg†rd M., Henry F., Rangel-Castro J.I., Michelsen A., Prosser J.I., Christensen S.</t>
  </si>
  <si>
    <t>Differences in bacterial community composition (BCC) between bulk and rhizosphere soil and between rhizospheres of different plant species are assumed to be strongly governed by quantitative and qualitative rhizodeposit differences. However, data on the relationship between rhizodeposit amounts and BCC are lacking. Other soil microorganisms, e.g. arbuscular mycorrhizal fungi (AMF), may also influence BCC. We simulated foliar herbivory (cutting) to reduce belowground carbon allocation and rhizodeposition of pea plants grown either with or without AMF. This reduced soil respiration, rhizosphere microbial biomass and bacteriovorous protozoan abundance, whereas none of these were affected by AMF. After labelling plants with 13CO2, root and rhizosphere soil 13C enrichment of cut plants were reduced to a higher extent (24-46%) than shoot 13C enrichment (10-24%). AMF did not affect 13C enrichment. Despite these clear indications of reduced rhizosphere carbon-input, denaturing gradient gel electrophoresis (DGGE) of 16S rRNA genes PCR-amplified targeting DNA and RNA from rhizosphere soil did not reveal any effects of cutting on banding patterns. In contrast, AMF induced consistent differences in both DNA- and RNA-based DGGE profiles. These results show that a reduction in rhizosphere microbial activity is not necessarily accompanied by changes in BCC, whereas AMF presence inhibits proliferation of some bacterial taxa while stimulating others. ? 2008 Federation of European Microbiological Societies Published by Blackwell Publishing Ltd.</t>
  </si>
  <si>
    <t>Bolliger A., Nalla A., Magid J., de Neergaard A., Dole Nalla A., B?g-Hansen T.C.</t>
  </si>
  <si>
    <t>Due to analytical similarities with the mycorrhizal glycoprotein glomalin, ubiquitous citrate and heat-extractable soil protein fractions have been assumed to be predominantly glomalin-stabilised within soil. Often termed glomalin-related soil protein (GRSP), little however is actually known of the "glomalin-purity" of these soil fractions. We undertook western and lectin blots and crossed immuno/lectin affinity electrophoresis (CIE/CLAE) analysis of "easily extractible" GRSP fractions, as well as liquid chromatography-tandem mass spectrometry (LC-MS/MS) of "total" GRSP fractions. To further test whether soil saprobes contribute to GRSP production, we amended soil with 14C-sucrose and examined whether 14C could be traced in the GRSP pool over a 500-day incubation period. While only four of six bands on SDS-PAGE profiles of easily extracted GRSP reacted with anti-glomalin MAb32B11 and the lectin Con A under our blotting conditions, CIE/CLAE indicated the presence of a single protein moiety in the easily extractible GRSP pool. LC-MS/MS analysis of total GRSP pooled from various soils also showed that although traces of protein tentatively assignable to soil bacteria were present in GRSP, their concentrations were low. Additionally, specific activity of total GRSP in 14C-labelled soil was relatively depleted compared to the bulk soil and soil microbial biomass. This suggests that little GRSP of heterotrophic origin was laid down over the incubation period, although the potential presence of a pre-existing 14C-free GRSP background, as well as of low microbial dynamics in the absence of any further substrate inputs to the soil warrant caution with this inference. ? 2007 Elsevier Ltd. All rights reserved.</t>
  </si>
  <si>
    <t>We examined the response of mycorrhizal fungi to free-air CO2 enrichment (FACE) and nitrogen (N) fertilization in a warm temperate forest to better understand potential influences over plant nutrient uptake and soil carbon (C) storage. In particular, we hypothesized that mycorrhizal fungi and glomalin would become more prevalent under elevated CO2 but decrease under N fertilization. In addition, we predicted that N fertilization would mitigate any positive effects of elevated CO2 on mycorrhizal abundance. Overall, we observed a 14% increase in ectomycorrhizal (ECM) root colonization under CO2 enrichment, which implies that elevated CO2 results in greater C investments in these fungi. Arbuscular mycorrhizal (AM) hyphal length and glomalin stocks did not respond substantially to CO2 enrichment, and effects of CO2 on AM root colonization varied by date. Nitrogen effects on AM fungi were not consistent with our hypothesis, as we found an increase in AM colonization under N fertilization. Lastly, neither glomalin concentrations nor ECM colonization responded significantly to N fertilization or to an N-by-CO2 interaction. A longer duration of N fertilization may be required to detect effects on these parameters. ? 2007 Springer Science+Business Media B.V.</t>
  </si>
  <si>
    <t>14C-labeled photosynthates translocation and partitioning in mycorrhizal kinnow plants (Citrus nobilis ? C. deliciosa)</t>
  </si>
  <si>
    <t>Zeller B., Br‚chet C., Maurice J.-P., Tacon F.L.</t>
  </si>
  <si>
    <t>? The development of truffles in the soil is not well understood. It is not known if a direct transfer of carbohydrates takes place between the host tree and the developing ascocarps through ectomycorrhizal structures or whether sporophores become independent from their hosts after several weeks or months and are able to use dead host tissues or soil organic matter as carbon (C) and nitrogen (N) sources. ? To study saprophytic or symbiotic capacities of truffle ascocarps the natural abundance of 15N and 13C in foliage, wood, fine roots, mycorrhizae, fungal sporophores and soil were determined in a truffle orchard. ? The processes of carbon and nitrogen allocation remained unchanged during the entire period of ascocarp development of Tuber melanosporum. From 13C and 15N natural abundance measurements, T. melanosporum, T. brumale and T. rufum did not exhibit saprotophic strategy during ascocarp development, which is contradictory to common statements found in handbooks regarding truffle cultivation. ? 2008 INRA EDP Sciences.</t>
  </si>
  <si>
    <t>Medina-Rold n E., Arredondo J.T., Huber-Sannwald E., Chapa-Vargas L., Olalde-Portugal V.</t>
  </si>
  <si>
    <t>Livestock grazing is the principal driver of land use change in semiarid grasslands of Mexico. Despite the vast expansion of grasslands and the alarming extent of land degradation associated with overgrazing, our understanding of the effects of heavy grazing on root fungal symbiosis and the sizes of soil carbon (C) and nitrogen (N) stocks is still limited. This research was conducted in the shortgrass steppe in Los Llanos de Ojuelos, Jalisco, Mexico, where Bouteloua gracilis is a keystone species. We examined soil C and N storage and root colonization of B. gracilis by fungal symbionts (arbuscular mycorrhizal fungi (AMF) and dark septate endophytes (DSE)) along a grazing gradient. Roots of B. gracilis were examined for root colonization of AMF and DSE. Soil samples were analyzed for total C and N content. Under moderate grazing, soil C and N were 20% higher than under no-grazing and extremely heavy grazing. Grazing intensity did not differently affect root fungal colonization. However, while the two fungal symbionts coexisted on Bouteloua plant roots, a four times higher root colonization by DSE than by AMF suggests that competition for resources may control symbiont abundance. Considering total root fungal colonization by both symbionts (for DSE 37% and for AMF 10%), and a slightly higher colonization in the less fertile sites, we suggest this fungal symbiosis may play an important role linking the aboveground and belowground C cycle in these semiarid grasslands in Central Mexico. ? 2007 Elsevier Ltd. All rights reserved.</t>
  </si>
  <si>
    <t>Experiments suggest that biomass-derived black carbon (biochar) affects microbial populations and soil biogeochemistry. Both biochar and mycorrhizal associations, ubiquitous symbioses in terrestrial ecosystems, are potentially important in various ecosystem services provided by soils, contributing to sustainable plant production, ecosystem restoration, and soil carbon sequestration and hence mitigation of global climate change. As both biochar and mycorrhizal associations are subject to management, understanding and exploiting interactions between them could be advantageous. Here we focus on biochar effects on mycorrhizal associations. After reviewing the experimental evidence for such effects, we critically examine hypotheses pertaining to four mechanisms by which biochar could influence mycorrhizal abundance and/or functioning. These mechanisms are (in decreasing order of currently available evidence supporting them): (a) alteration of soil physico-chemical properties; (b) indirect effects on mycorrhizae through effects on other soil microbes; (c) plant-fungus signaling interference and detoxification of allelochemicals on biochar; and (d) provision of refugia from fungal grazers. We provide a roadmap for research aimed at testing these mechanistic hypotheses. ? 2007 Springer Science+Business Media B.V.</t>
  </si>
  <si>
    <t>? Fertilizer-induced reductions in CO2 flux from soil () in forests have previously been attributed to decreased carbon allocation to roots, and decreased decomposition as a result of nitrogen suppression of fungal activity. Here, we present evidence that decreased microbial respiration in the rhizosphere may also contribute to reductions in fertilized forest soils. ? Fertilization reduced by 16-19% in 65-yr-old plantations of northern red oak (Quercus rubra) and sugar maple (Acer saccharum), and in a natural 85-yr-old yellow birch (Betula allegheniensis) stand. ? In oak plots, fertilization had no effects on fine root biomass but reduced mycorrhizal colonization by 18% and microbial respiration by 43%. In maple plots, fertilization reduced root biomass, mycorrhizal colonization and microbial respiration by 22, 16 and 46%, respectively. In birch plots, fertilization reduced microbial respiration by 36%, but had variable effects on root biomass and mycorrhizal colonization. ? In plots of all three species, fertilization effects on microbial respiration were greater in rhizosphere than in bulk soil, possibly as a result of decreased rhizosphere carbon flux from these species in fertile soils. Because rhizosphere processes may influence nutrient availability and carbon storage in forest ecosystems, future research is needed to better quantify rhizo-microbial contributions to FCO2. ? The Authors (2007).</t>
  </si>
  <si>
    <t>Vandenkoornhuyse P., Mah‚ S., Ineson P., Staddon P., Ostle N., Cliquet J.-B., Francez A.-J., Fitter A.H., Young J.P.W.</t>
  </si>
  <si>
    <t>Plant roots harbor a large diversity of microorganisms that have an essential role in ecosystem functioning. To better understand the level of intimacy of root-inhabiting microbes such as arbuscular mycorrhizal fungi and bacteria, we provided 13CO2 to plants at atmospheric concentration during a 5-h pulse. We expected microbes dependent on a carbon flux from their host plant to become rapidly labeled. We showed that a wide variety of microbes occurred in roots, mostly previously unknown. Strikingly, the greatest part of this unsuspected diversity corresponded to active primary consumers. We found 17 bacterial phylotypes co-occurring within roots of a single plant, including five potentially new phylotypes. Fourteen phylotypes were heavily labeled with the 13C. Eight were phylogenetically close to Burkholderiales, which encompass known symbionts; the others were potentially new bacterial root symbionts. By analyzing unlabeled and 13C- enriched RNAs, we demonstrated differential activity in C consumption among these root-inhabiting microbes. Arbuscular mycorrhizal fungal RNAs were heavily labeled, confirming the high carbon flux from the plant to the fungal compartment, but some of the fungi present appeared to be much more active than others. The results presented here reveal the possibility of uncharacterized root symbioses. ? 2007 by The National Academy of Sciences of the USA.</t>
  </si>
  <si>
    <t>Despite the importance of peatlands as a major store of sequestered carbon and the role of fungi in releasing sequestered C, we know little about the community structure of fungi in peatlands. We investigated these across a gradient of naturally regenerating peatland vegetation using denaturing gradient gel electrophoresis (DGGE) and clone libraries of fragments of the fungal rRNA internal transcribed spacer (ITS) region. Significant changes in the fungal community structure of peat samples at different stages of regeneration were observed, which relate to the composition of the vegetation recolonizing these sites. Cloning and sequence analysis also demonstrated a potential shift in the relative abundance of the main fungal phyla. Some of the clones identified to genus level were highly related to fungi known to play a role in the degradation of plant litter or wood in similar ecosystems and/or form mycorrhizal associations. In addition, several fungal isolates highly related to peat clones were obtained, and their enzymic capacity to degrade structural plant tissues was assessed. Together, these results suggest that the fungal community composition of peat may be an important indicator of the status of regeneration and potential carbon sequestration of cutover peatlands. ? 2007 Springer Science+Business Media, LLC.</t>
  </si>
  <si>
    <t>Forest ecosystems are important sinks for rising concentrations of atmospheric CO2. In previous research, we showed that net primary production (NPP) increased by 23 ñ 2% when four experimental forests were grown under atmospheric concentrations of CO2 predicted for the latter half of this century. Because nitrogen (N) availability commonly limits forest productivity, some combination of increased N uptake from the soil and more efficient use of the N already assimilated by trees is necessary to sustain the high rates of forest NPP under free-air CO2 enrichment (FACE). In this study, experimental evidence demonstrates that the uptake of N increased under elevated CO2 at the Rhinelander, Duke, and Oak Ridge National Laboratory FACE sites, yet fertilization studies at the Duke and Oak Ridge National Laboratory FACE sites showed that tree growth and forest NPP were strongly limited by N availability. By contrast, nitrogen-use efficiency increased under elevated CO2 at the POP-EUROFACE site, where fertilization studies showed that N was not limiting to tree growth. Some combination of increasing fine root production, increased rates of soil organic matter decomposition, and increased allocation of carbon (C) to mycorrhizal fungi is likely to account for greater N uptake under elevated CO2. Regardless of the specific mechanism, this analysis shows that the larger quantities of C entering the below-ground system under elevated CO2 result in greater N uptake, even in N-limited ecosystems. Biogeochemical models must be reformulated to allow C transfers below ground that result in additional N uptake under elevated CO2. ? 2007 by The National Academy of Sciences of the USA.</t>
  </si>
  <si>
    <t>Forests play a critical role in the global carbon cycle, being considered an important and continuing carbon sink. However, the response of carbon sequestration in forests to global climate change remains a major uncertainty, with a particularly poor understanding of the origins and environmental responses of soil CO2 efflux. For example, despite their large biomass, the contribution of ectomycorrhizal (EM) fungi to forest soil CO2 efflux and responses to changes in environmental drivers has, to date, not been quantified in the field. Their activity is often simplistically included in the 'autotrophic' root respiration term. We set up a multiplexed continuous soil respiration measurement system in a young Lodgepole pine forest, using a mycorrhizal mesh collar design, to monitor the three main soil CO2 efflux components: root, extraradical mycorrhizal hyphal, and soil heterotrophic respiration. Mycorrhizal hyphal respiration increased during the first month after collar insertion and thereafter remained remarkably stable. During autumn the soil CO2 flux components could be divided into ?60% soil heterotrophic, ?25% EM hyphal, and ?15% root fluxes. Thus the extraradical EM mycelium can contribute substantially more to soil CO2 flux than do roots. While EM hyphal respiration responded strongly to reductions in soil moisture and appeared to be highly dependent on assimilate supply, it did not responded directly to changes in soil temperature. It was mainly the soil heterotrophic flux component that caused the commonly observed exponential relationship with temperature. Our results strongly suggest that accurate modelling of soil respiration, particularly in forest ecosystems, needs to explicitly consider the mycorrhizal mycelium and its dynamic response to specific environmental factors. Moreover, we propose that in forest ecosystems the mycorrhizal CO2 flux component represents an overflow 'CO2 tap' through which surplus plant carbon may be returned directly to the atmosphere, thus limiting expected carbon sequestration from trees under elevated CO2. ? 2007 Blackwell Publishing Ltd.</t>
  </si>
  <si>
    <t>Pollierer M.M., Langel R., K”rner C., Maraun M., Scheu S.</t>
  </si>
  <si>
    <t>The present study investigated the relative importance of leaf and root carbon input for soil invertebrates. Experimental plots were established at the Swiss Canopy Crane (SCC) site where the forest canopy was enriched with 13C depleted CO2 at a target CO2 concentration of c. 540 p.p.m. We exchanged litter between labelled and unlabelled areas resulting in four treatments: (i) leaf litter and roots labelled, (ii) only leaf litter labelled, (iii) only roots labelled and (iv) unlabelled controls. In plots with only 13C-labelled roots most of the soil invertebrates studied were significantly depleted in 13C, e.g. earthworms, chilopods, gastropods, diplurans, collembolans, mites and isopods, indicating that these taxa predominantly obtain their carbon from belowground input. In plots with only 13C-labelled leaf litter only three taxa, including, e.g. juvenile Glomeris spp. (Diplopoda), were significantly depleted in 13C suggesting that the majority of soil invertebrates obtain its carbon from roots. This is in stark contrast to the view that decomposer food webs are based on litter input from aboveground. ? 2007 Blackwell Publishing Ltd/CNRS.</t>
  </si>
  <si>
    <t>Understanding ecosystem carbon (C) and nitrogen (N) cycling under global change requires experiments maintaining natural interactions among soil structure, soil communities, nutrient availability, and plant growth. In model Douglas-fir ecosystems maintained for five growing seasons, elevated temperature and carbon dioxide (CO2) increased photosynthesis and increased C storage belowground but not aboveground. We hypothesized that interactions between N cycling and C fluxes through two main groups of microbes, mycorrhizal fungi (symbiotic with plants) and saprotrophic fungi (free-living), mediated ecosystem C storage. To quantify proportions of mycorrhizal and saprotrophic fungi, we measured stable isotopes in fungivorous microarthropods that efficiently censused the fungal community. Fungivorous microarthropods consumed o0n average 35% mycorrhizal fungi and 65% saprotrophic fungi. Elevated temperature decreased C flux through mycorrhizal fungi by 7%, whereas elevated CO2 increased it by 4%. The dietary proportion of mycorrhizal fungi correlated across treatments with total plant biomass (n = 4, r2 = 0.96, P = 0.021), but not with root biomass. This suggests that belowground allocation increased with increasing plant biomass, but that mycorrhizal fungi were stronger sinks for recent photosynthate than roots. Low N content of needles (0.8-1.1%) and A horizon soil (0.11%) coupled with high C : N ratios of A horizon soil (25-26) and litter (36-48) indicated severe N limitation. Elevated temperature treatments increased the saprotrophic decomposition of litter and lowered litter C : N ratios. Because of low N availability of this litter, its decomposition presumably increased N immobilization belowground, thereby restricting soil N availability for both mycorrhizal fungi and plant growth. Although increased photosynthesis with elevated CO2 increased allocation of C to ectomycorrhizal fungi, it did not benefit plant N status. Most N for plants and soil storage was derived from litter decomposition. N sequestration by mycorrhizal fungi and limited N release during litter decomposition by saprotrophic fungi restricted N supply to plants, thereby constraining plant growth response to the different treatments. ? 2007 Blackwell Publishing Ltd.</t>
  </si>
  <si>
    <t>Glomalin is an abundant soil glycoprotein that could sequester substantial amounts of C and N on a global scale. Nevertheless, major controls over the distribution of this compound in ecosystems are little understood. We reviewed shifts in the production, decomposition, and standing stocks of soil glomalin in response to arbuscular mycorrhizal (AM) communities, plant dynamics, inorganic resources (e.g., N, P, and atmospheric CO2), and land use regimes. We also conducted a literature survey of glomalin concentrations from 22 ecosystems to test for relationships between standing stocks of glomalin and net primary productivity (NPP) and AM abundance. Globally, glomalin stocks were positively correlated with NPP but not with AM abundance. Rates of NPP may impose an upper bound for C available to AM fungi for glomalin construction. Availability of C to AM fungi appears to consistently influence glomalin dynamics in individual studies as well. Glomalin stocks are often greater where AM host plants are more abundant or are more effective hosts for the fungi (implying that more C is allocated to the fungi). In addition, elevated CO 2 frequently increases glomalin concentrations in soil. Other inorganic resources and land use change produce inconsistent effects on glomalin stocks. Overall, glomalin dynamics appear to be linked to C dynamics, and this relationship may allow us to better predict the contribution of glomalin to ecosystem feedbacks on global change. ? Soil Science Society of America.</t>
  </si>
  <si>
    <t>We investigated fungal species-specific responses of ectomycorrhizal (ECM) Scots pine (Pinus sylvestris) seedlings on growth and nutrient acquisition together with mycelial development under ambient and elevated CO2. Each seedling was associated with one of the following ECM species: Hebeloma cylindrosporum, Laccaria bicolor, Suillus bovinus, S. luteus, Piloderma croceum, Paxillus involutus, Boletus badius, or non-mycorrhizal, under ambient, and elevated CO2 (350 or 700 ?l l-1 CO2); each treatment contained six replicates. The trial lasted 156 days. During the final 28 days, the seedlings were labeled with 14CO2. We measured hyphal length, plant biomass, 14C allocation, and plant nitrogen and phosphorus concentration. Almost all parameters were significantly affected by fungal species and/or CO2. There were very few significant interactions. Elevated CO2 decreased shoot-to-root ratio, most strongly so in species with the largest extraradical mycelium. Under elevated CO2, ECM root growth increased significantly more than hyphal growth. Extraradical hyphal length was significantly negatively correlated with shoot biomass, shoot N content, and total plant N uptake. Root dry weight was significantly negatively correlated with root N and P concentration. Fungal sink strength for N strongly affected plant growth through N immobilization. Mycorrhizal fungal-induced progressive nitrogen limitation (PNL) has the potential to generate negative feedback with plant growth under elevated CO2. ? 2007 Springer Science+Business Media B.V.</t>
  </si>
  <si>
    <t>As C3 photosynthesis is not yet CO2-saturated, forests offer the possibility of enhanced growth and carbon (C) sequestration with rising atmospheric CO2. However, at an ecosystem scale, increased photosynthetic rates are not always translated into faster tree growth, and in free air carbon enrichment (FACE) experiments with trees, the stimulation in above-ground growth often declines with time. So is tree growth C-limited? The evidence is reviewed here at three different scales. First, at the biochemical scale, the role of Rubisco is discussed by considering its evolution and role as a nitrogen (N) storage protein. Second, at the ecophysiological scale, C allocation to gain nutrients from the soil is considered and it is argued that any C limitation is only through a limitation to soil nutrient cycling. Finally, the response of forest ecosystems to rising atmospheric CO2 concentrations is considered and evidence from FACE experiments is discussed. From the three lines of evidence we conclude that the growth of trees is not C-limited, with the key to understanding future responses to climate change being turnover of soil organic matter and nutrient cycling. ? The Authors (2007).</t>
  </si>
  <si>
    <t>? Stable isotope abundance analyses recently revealed that some European green orchids and pyroloids (Ericaceae) are partially myco-heterotrophic, exploiting mycorrhizal fungi for organic carbon and nitrogen. Here we investigate related species to assess their nutritional mode across various forest and climate types in Germany and California. ? C- and N-isotope signatures of five green pyroloids, three green orchids and several obligate myco-heterotrophic species (including the putatively fully myco-heterotrophic Pyrola aphylla) were analysed to quantify the green plants' nutrient gain from their fungal partners and to investigate the constancy of enrichment in 13C and 15N of fully myco-heterotrophic plants from diverse taxa and locations relative to neighbouring autotrophic plants. ? All green pyroloid and one orchid species showed significant 15N enrichment, confirming incorporation of fungi-derived N compounds while heterotrophic C gain was detected only under low irradiance in Orthilia secunda. Pyrola aphylla had an isotope signature equivalent to those of fully myco-heterotrophic plants. ? It is demonstrated that primarily N gain from mycorrhizal fungi occurred in all taxonomic groups investigated across a wide range of geographical and ecological contexts. The 13C and 15N enrichment of obligate myco-heterotrophic plants relative to accompanying autotrophic plants turned out as a fairly constant parameter. ? The Authors (2007).</t>
  </si>
  <si>
    <t>The direction of carbon (C) allocation in mycorrhizal mycelia is of fundamental importance to coexistence of individual plants. We therefore investigated the transfer of C from established plants to plant seedlings through fungal mycelia. C allocation by the arbuscular mycorrhizal (AM) fungus Glomus intraradices, from 'donor' plants to mycelia in soil and two different species of introduced 'receiver' seedlings, was investigated in a pot experiment using 13C labelling and fatty acid analysis. After 13CO2 application to the shoots of Trifolium subterraneum or Plantago lanceolata, used as donor plants, T. subterraneum and P. lanceolata receiver seedlings were introduced. Samples were collected 4-20 days after 13CO2 application and analysed regarding 13C and the fatty acid 16:1?5, the signature of AM fungi. 13C transfer from T. subterraneum donor plants was demonstrated by 13C enrichment of the roots of the receiver seedlings, but not from the P. lanceolata donor plants. 13C allocation to the neutral lipid fatty acid 16:1?5 was only 1 ng in each receiver seedling, but 2 ?g of the fatty acid in whole soil. The results indicate that C allocation through mycelial networks is influenced by the donor plant species, but is not directed towards receiver seedlings to any higher degree than towards other directions. The importance of the extraradical AM fungal mycelium as a C sink was demonstrated. ? 2007 Elsevier Ltd. All rights reserved.</t>
  </si>
  <si>
    <t>15N and 13C natural abundances of foliage, branches, trunks, litter, soil, fungal sporophores, mycorrhizas and mycelium were determined in two forest stands, a natural forest and a Norway spruce plantation, to obtain some insights into the role of the functional diversity of saprotrophic and ectomycorrhizal fungi in carbon and nitrogen cycles. Almost all saprotrophic fungi sporophores were enriched in 13C relative to their substrate. In contrast, they exhibited no or very little shift of ë15N. Judging from the amount of C discrimination, ectomycorrhizal fungi seem to acquire carbon from their host or from dead organic matter. Some ectomycorrhizal species seem able to acquire nitrogen from dead organic matter and could be able to transfer it to their host without nitrogen fractionation, while others supply their host with 15N- depleted nitrogen. Moreover ectomycorrhizal species displayed a significant N fractionation during sporophore differentiation, while saprotrophic fungi did not. ? INRA, EDP Sciences, 2007.</t>
  </si>
  <si>
    <t>While it is well established that plants are able to acquire nitrogen in inorganic form, there is less information on their ability to 'short circuit' the N cycle, compete with microbes, and acquire nitrogen in organic form. Mycorrhizal fungi, known to enhance nutrient uptake by plants, may play a role in organic N uptake, particularly ericoid mycorrhizas. We asked the question-Can mycorrhizal fungi increase the ability of plants to take up organic N, compared to inorganic N? Here, we report on the abilities of three plant species, ericoid mycorrhizal Rhododendron macrophyllum and Vaccinium ovatum and arbuscular mycorrhizal Cupressus goveniana ssp. pigmaea, to acquire C and/or N from an organic and an inorganic N source. All three species are native to a California coastal pygmy forest growing in acidic, low-fertility, highly organic soils. In a pot study, glycine-à13C, 15N and 15N-ammonium were applied to pygmy forest soil for 17 or 44 h. Ericoid mycorrhizal species did not demonstrate a preference for either inorganic or organic sources of N while Cupressus acquired more NH4-N than glycine-N. For all species, glycine-N uptake did not increase after 17 h suggesting glycine uptake and glycine immobilization occurred rapidly. Both glycine-N and glycine-C were recovered in shoots and in roots suggesting that all species acquired some N in organic form. Regression analyses of glycine-N and glycine-C recovery in root tissue indicate that much of the glycine was taken up intact and that the minimum proportion of glycine-N recovered in organic form was 85% (Cupressus) and 70% (Rhododendron). Regressions were non-significant for Vaccinium. For all species, glycine-N remained predominantly in roots while glycine-C was transferred to shoots. In contrast, NH4-N remained in roots of ericoid plants but was transferred to shoots of arbuscular mycorrhizal Cupressus. Since net N mineralization rates in pygmy forest soils are low, our results suggest that organic N may be an important N source for plants in this temperate coniferous ecosystem regardless of mycorrhizal type. Acquisition of amino acid C by these species also may partially offset the carbon cost to plants of hosting mycorrhizal fungi. ? 2007 Elsevier Ltd. All rights reserved.</t>
  </si>
  <si>
    <t>Rold n A., Salinas-Garc¡a J.R., Alguacil M.M., Caravaca F.</t>
  </si>
  <si>
    <t>Conservation management systems such as no tillage may enhance sequestration of soil C. The soil properties that contribute to soil C storage under such systems are still largely unknown, especially in subtropical agroecosystems. We investigated the influence of tillage [mouldboard plough (MP) and no tillage (NT)] on soil organic C, microbial biomass and activity, structural stability and mycorrhizal status of a field cultivated with maize (Zea mays L.) or bean (Phaseolus vulgaris L.) on a Vertisol in Northern Tamaulipas, Mexico. Crop type, tillage system and soil depth had a significant effect on soil organic C, aggregate stability and bulk density. Soil organic C, microbial biomass C and N and dehydrogenase and phosphatase activities were greater with NT than with MP, particularly under bean cultivation. In the 0-5 cm layer, microbial biomass C and N were, on average, about 87 and 51% greater in the soils cultivated with bean and maize, respectively, under NT than under MP. Higher levels of mycorrhizal propagules, glomalin related soil protein (GRSP) and stable aggregates were produced under NT than under MP in both crops. The no-tillage system can be considered an effective management practice for carrying out sustainable agriculture under subtropical conditions, due to its improvement of soil physical and biochemical quality and soil C sequestration. ? 2006 Elsevier B.V. All rights reserved.</t>
  </si>
  <si>
    <t>Symbiotic microorganisms, such as mycorrhizal fungi, are known to associate with most plants; however members of the Cruciferae are an exception. We investigated nutrient exchange between a dark septate endophytic fungus, Heteroconium chaetospira, and Chinese cabbage plants (Cruciferae) in vitro. Chinese cabbage could not use some amino acids, while the fungus-treated plants were able to use all of the nitrogen forms provided. To demonstrate that nitrogen transfer occurs between the fungus and the host plant, we used a hydrophobic polytetrafluoroethylene (PTFE) membrane compartment system, which restricts diffusion and mass flow of ions and allows only fungal penetration. Our results strongly suggest that H. chaetospira provided nitrogen to the plant, rather than the plant mineralizing available organic nitrogen. In addition carbon transfer from the host plant to the fungus was demonstrated with HPLC and 13CO2-labeling experiments. When H. chaetospira colonized host plant roots under low glucose condition, ergosterol content in culture pot (as an index of fungal biomass) increased significantly compared to the fungal treatment without a host plant. Sucrose concentration in the host root significantly decreased as a result of fungal colonization, and mannitol (a specific carbon source to fungal cells) increased in the roots. Sucrose and mannitol in the host root treated with the fungus were labeled clearly by 13C after 13C-labeled CO2 was provided to the plant. These results suggest that the fungus obtained carbon, mainly as sucrose, from the host plant. We show for the first time the existence of a fungus establishing a mutualistic association with a nonmycorrhizal Cruciferae plant. ? 2007 by The Mycological Society of America.</t>
  </si>
  <si>
    <t>Enhanced soil respiration in response to elevated atmospheric CO 2 has been demonstrated, and ectomycorrhizal (ECM) fungi are of particular interest since they partition host-derived photoassimilates belowground. Although a strong response of ECM fungi to elevated CO2 has been shown, little is still known about the functional diversity among species. We studied carbon (C) partitioning in mycorrhizal Scots pine seedlings in response to short-term CO2 enrichment, using seven ECM species with different ecological strategies. Mycorrhizal associations were synthesised and seedlings grown in large Petri dishes containing peat:vermiculite and nutrient solution for 10-15 weeks, after which half of the microcosms were exposed to elevated CO2 treatment (710 ppm) for 15 days and the other half were kept in ambient CO2 treatment. Partitioning of C was quantified by pulse labelling the seedlings with 14CO2 and examining the distribution of labelled assimilates in shoot, root and extraradical mycelial compartments by destructive harvest and liquid scintillation counting. Fungal biomass was determined with PLFA analysis. The respiratory loss of 14CO2 was on average greater in the elevated CO2 treatment for most species compared to the ambient CO2 treatment. More label was retrieved in the shoots in the ambient CO2 treatment compared to elevated CO2 (significant for P. involutus and P. fallax). Greater amounts of label were found in the extraradical mycelial compartment in all species (except P. involutus) in elevated CO2 compared to ambient CO2 (significant for L. bicolor, P. byssinum, P. fallax and R. roseolus). Fungal biomass production increased significantly with elevated CO2 for two species (H. velutipes and A. muscaria); three species (P. fallax, P. involutus and R. roseolus) showed a similar but non-significant trend, whereas L. bicolor and P. byssinum produced less biomass in elevated CO2 compared to ambient CO2. When 14C in the mycelial compartment and respiration was expressed per unit fungal PLFA the difference between CO2 treatments disappeared. We demonstrated that different ECM fungal isolates respond differently in C partitioning in response to CO2 enrichment. These results suggest that under certain growth conditions, when nutrients are not limiting, ECM fungi respond rapidly to increasing C-availability through changed biomass production and respiration. ? 2007 Springer Science+Business Media B.V.</t>
  </si>
  <si>
    <t>The mycorrhizal symbiosis is characterized by a reciprocal exchange of photosynthetically-fixed plant carbon in return for the main plant-growth-limiting nutrients, nitrogen or phosphorus. Studies of mycorrhizal functioning have focused on their roles in providing nutrients to plants, but their importance as a significant component of the terrestrial carbon (C) cycle has generally been overlooked. However, over 80% of plant species invest substantial amounts of their below-ground C flow into these fungal symbionts (Smith &amp; Read, 1997; Leake italic., 2004). At the global scale, the annual C flux through soil respiration is ten times greater than fossil fuel combustion and recycles c. 10% of atmospheric CO2(Raich italic., 2002). Roots and associated mycorrhizas are the single most important component of this flux. Knowledge of the mycorrhizal contribution to the C cycle is of increasingly paramount importance, as this component is likely to be among the most sensitive to ongoing anthropogenic disturbance of both C (Staddon italic., 2002) and nitrogen (N) biogeochemical cycles (Nilsson &amp; Wallander, 2003). The major biomes are dominated by plants with one of three kinds of mycorrhiza (Fig. 8.1), each of which is adapted to the particular vegetation and soil characteristics of the bioclimatic regions in which it is most important (Read italic., 2004). Central to understanding the contributions of mycorrhizas to the plant?soil?atmosphere continuum of the C cycle is appreciation of the properties and functions of these three major types of mycorrhiza and the ecosystems in which they are of greatest importance. ? Cambridge University Press 2007 and Cambridge University Press, 2009.</t>
  </si>
  <si>
    <t>Denef K., Bubenheim H., Lenhart K., Vermeulen J., Van Cleemput O., Boeckx P., Mller C.</t>
  </si>
  <si>
    <t>The aim of this study was to identify the microbial communities that are actively involved in the assimilation of rhizosphere-C and are most sensitive in their activity to elevated atmospheric CO2 in a temperate semi-natural low-input grassland ecosystem. For this, we analyzed 13C signatures in microbial biomarker phospholipid fatty acids (PLFA) from an in-situ 13CO2 pulse-labeling experiment in the Giessen Free Air Carbon dioxide Enrichment grasslands (GiFACE, Germany) exposed to ambient and elevated (i.e. 50% above ambient) CO2 concentrations. Short-term 13C PLFA measurements at 3 h and 1Oh after the pulselabeling revealed very little to no 13C enrichment after 3 h in biomarker PLFAs and a much greater incorporation of new plant-C into fungal compared to bacterial PLFAs after 10h. After a period of 11 months following the pulselabeling experiment, the 13C enrichment of fungal PLFAs was still largely present but had decreased, while bacterial PLFAs were much more enriched in 13C compared to a few hours after the pulse-labeling. These results imply that new rhizodeposit-C is rapidly processed by fungal communities and only much later by the bacterial communities, which we attributed to either a fungal-mediated translocation of rhizosphere-C from the fungal to bacterial biomass or a preferential bacterial use of dead root or fungal necromass materials as C source over the direct utilization of fresh rootexudate C in these N-limited grassland ecosystems. Elevated CO2 caused an increase in the proportional 13C enrichment (relative to the universal biomarker 16:0) of the arbuscular mycorrhizal fungal biomarker PLFA 16:1?5 and one grampositive bacterial biomarker PLFA i 16:0, but a decrease in the proportional 13C enrichment of 18:1?9c, a commonly used though questionable fungal biomarker PLFA. This suggests enhanced fungal rhizodeposit-C assimilation only by arbuscular mycorrhizal fungal species under elevated CO2.</t>
  </si>
  <si>
    <t>Plants can acquire carbon from sources other than atmospheric carbon dioxide (CO2), including soil-dissolved inorganic carbon (DIC). Although the net flux of CO2 is out of the root, soil DIC can be taken up by the root, transported within the plant, and fixed either photosynthetically or anaplerotically by plant tissues. We tested the ability of Pinus taeda L. seedlings exposed to 13C-labeled soil DIC and two NH4+ availability regimes to take up and fix soil DIC. We also measured the concentration and distribution of the fixed soil DIC within the plant and mycorrhizal tissues, and quantified the contribution of soil DIC to whole-plant carbon (C) gain. Seedlings exposed to labeled DIC were significantly enriched in 13C compared with seedlings exposed to unlabeled DIC (6.7 versus -31.7%o). Fixed soil DIC was almost evenly distributed between above- and belowground biomass (55 and 45%, respectively), but was unevenly distributed among tissues. Aboveground, stem tissue contained 65% of the fixed soil DIC but represented only 27% of the aboveground biomass, suggesting either corticular photosynthesis or preferential stem allocation. Belowground, soil DIC had the greatest effect (measured as 13C enrichment) on the C pool of rapidly growing nonmycorrhizal roots. Soil DIC contributed -0.8% to whole-plant C gain, and ?1.6% to belowground C gain. We observed a slight but nonsignificant increase in both relative C gain and the contribution of soil DIC to C gain in NH4+ -fertilized seedlings. Increased NH4+ availability significantly altered the distribution of fixed soil DIC among tissue types and increased the amount of fixed soil DIC in ectomycorrhizal roots by 130% compared with unfertilized seedlings. Increased NH4+ availability did not increase fixation of soil DIC in nonmycorrhizal roots, suggesting that NH4+ assimilation may be concentrated in ectomycorrhizal fungal tissues, reflecting greater anaplerotic demands. Soil DIC is likely to contribute only a small amount of C to forest trees, but it may be important in C fixation processes of specific tissues, such as newly formed stems and fine roots, and ectomycorrhizal roots assimilating NH4+. ? 2007 Heron Publishing.</t>
  </si>
  <si>
    <t>Mycorrhizal fungi can contribute to soil carbon sequestration by immobilizing carbon in living fungal tissues and by producing recalcitrant compounds that remain in the soil following fungal senescence. We hypothesized that nitrogen (N) fertilization would decrease these carbon stocks, because plants should reduce investment of carbon in mycorrhizal fungi when N availability is high. We measured the abundance of two major groups of mycorrhizal fungi, arbuscular mycorrhizal (AM) and ectomycorrhizal (ECM) fungi, in the top 10cm of soil in control and N-fertilized plots within three Alaskan boreal ecosystems that represented different recovery stages following severe fire. Pools of mycorrhizal carbon included root-associated AM and ECM structures; soil-associated AM hyphae; and glomalin, a glycoprotein produced by AM fungi. Total mycorrhizal carbon pools decreased by approximately 50gCm-2 in the youngest site under N fertilization, and this reduction was driven mostly by glomalin. Total mycorrhizal carbon did not change significantly in the other sites. Root-associated AM structures were more abundant under N fertilization across all sites, and root-associated ECM structures increased marginally significantly. We found no significant N effects on AM hyphae. Carbon sequestered within living mycorrhizal structures (0.051-0.21gm-2) was modest compared with that of glomalin (33-203gm-2). We conclude that our hypothesis was only supported in relation to glomalin stocks within one of the three study sites. As N effects on glomalin were inconsistent among sites, an understanding of the mechanisms underlying this variation would improve our ability to predict ecosystem feedbacks to global change. ? 2006 Blackwell Publishing Ltd.</t>
  </si>
  <si>
    <t>Lindahl B.D., Ihrmark K., Boberg J., Trumbore S.E., H”gberg P., Stenlid J., Finlay R.D.</t>
  </si>
  <si>
    <t>? Our understanding of how saprotrophic and mycorrhizal fungi interact to re-circulate carbon and nutrients from plant litter and soil organic matter is limited by poor understanding of their spatiotemporal dynamics. ? In order to investigate how different functional groups of fungi contribute to carbon and nitrogen cycling at different stages of decomposition, we studied changes in fungal community composition along vertical profiles through a Pinus sylvestris forest soil. We combined molecular identification methods with 14C dating of the organic matter, analyses of carbon:nitrogen (C:N) ratios and 15N natural abundance measurements. ? Saprotrophic fungi were primarily confined to relatively recently (&amp;lt; 4 yr) shed litter components on the surface of the forest floor, where organic carbon was mineralized while nitrogen was retained. Mycorrhizal fungi dominated in the underlying, more decomposed litter and humus, where they apparently mobilized N and made it available to their host plants. ? Our observations show that the degrading and nutrient-mobilizing components of the fungal community are spatially separated. This has important implications for biogeochemical studies of boreal forest ecosystems. ? The Authors (2006).</t>
  </si>
  <si>
    <t>Glomalin is described in the literature as a N-linked glycoprotein and the putative gene product of arbuscular mycorrhizal fungi (AMF). Since the link between glomalin and various protein fractions in soil is not yet clearly defined, glomalin-related soil protein (GRSP) more appropriately describes glomalin's existence in natural organic matter (NOM). The objective of this study was to examine the chemical characteristics of GRSP present in several mineral and organic soils of varying organic carbon content. GRSP was isolated using high temperature sodium citrate extraction followed by either trichloroacetic acid (TCA) or hydrochloric acid (HCl) precipitation. GRSP was characterized by quantitative solid-state 13C DPMAS NMR, infrared (IR) spectroscopy, elemental analysis, and the Bradford assay for protein content. GRSP accounted for 25% and 52% of total C in the mineral soils and organic soil, respectively. Molar C/N and H/C ratios reveal that GRSP has less nitrogen than bovine serum albumin (BSA), and that GRSP extracted from the Pahokee peat soil possessed a more unsaturated, and thus aromatic character relative to the mineral soil GRSP, respectively. GRSP's high aromatic (42-49%) and carboxyl (24-30%) carbon contents and low aliphatic (4-11%) and carbohydrate-type carbon contents (4-16%) suggests that GRSP does not resemble a typical glycoprotein. In fact, the NMR spectra of GRSP closely resemble that of humic acid. GRSP extracted from mineral and organic soils possessed the same NMR fingerprint regardless of the precipitation method used (i.e., either TCA or HCl). It is likely that the current GRSP extraction methods, because of their similarity to the method used to extract humic acid, are coextracting both materials. ? 2006 Elsevier Ltd. All rights reserved.</t>
  </si>
  <si>
    <t>Keel S.G., Siegwolf R.T.W., K”rner C.</t>
  </si>
  <si>
    <t>How rapidly newly assimilated carbon (C) is invested into recalcitrant structures of forests, and how closely C pools and fluxes are tied to photosynthesis, is largely unknown. ? A crane and a purpose-built free-air CO2 enrichment (FACE) system permitted us to label the canopy of a mature deciduous forest with 13C-depleted CO2 for 4 yr and continuously trace the flow of recent C through the forest without disturbance. Potted C4 grasses in the canopy ('isometers') served as a reference for the C-isotope input signal. ? After four growing seasons, leaves were completely labelled, while newly formed wood (tree rings) still contained 9% old C. Distinct labels were found in fine roots (38%) and sporocarps of mycorrhizal fungi (62%). Soil particles attached to fine roots contained 9% new C, whereas no measurable signal was detected in bulk soil. Soil-air CO2 consisted of 35% new C, indicating that considerable amounts of assimilates were rapidly returned back to the atmosphere. ? These data illustrate a relatively slow dilution of old mobile C pools in trees, but a pronounced allocation of very recent assimilates to C pools of short residence times. ? The Authors (2006).</t>
  </si>
  <si>
    <t>Elevated nitrogen (N) inputs into terrestrial ecosystems are causing major changes to the composition and functioning of ecosystems. Understanding these changes is challenging because there are complex interactions between 'direct' effects of N on plant physiology and soil biogeochemistry, and 'indirect' effects caused by changes in plant species composition. By planting high N and low N plant community compositions into high and low N deposition model terrestrial ecosystems we experimentally decoupled direct and indirect effects and quantified their contribution to changes in carbon, N and water cycling. Our results show that direct effects on plant growth dominate ecosystem response to N deposition, although long-term carbon storage is reduced under high N plant-species composition. These findings suggest that direct effects of N deposition on ecosystem function could be relatively strong in comparison with the indirect effects of plant community change. ? 2006 Blackwell Publishing Ltd/CNRS.</t>
  </si>
  <si>
    <t>The main findings of research into carbon (C) fluxes from plants to soil micro-organisms using in situ 13CO2 pulse-labelling on upland grassland at the NERC Soil Biodiversity Thematic Programme field site in Southern Scotland are reviewed. From 1999 to 2003 the site was the focus of a unique and intensive programme of stable isotope tracing of C flux through rhizodeposition to soil microbiota and stable isotope probing of microbial biomarker compounds. We review the findings published to date, and highlight the novel ways in which the pulse-labelling approach has been applied to further understand C fluxes in the rhizosphere and mycorrhizophere in this grassland. The most important achievements from these studies, many of which are the first field measurements of their kind, include: (1) quantification of C flux from recent photosynthate into roots, soil microbial populations and soil respiration over time periods of hours to months; (2) analysis of diurnal control of root exudation and respiration linked to photoperiod and photosynthetic activity; (3) measurements of C flux from plants directed through mycorrhizal fungal networks; (4) establishing the importance C flow from recent photosynthate into soil fungi, revealed by 13C enrichment of phospholipid fatty acid biomarker molecules (PLFA); (5) detection of the disruptive effects of fungal-feeding microarthropods on 13CO2 respiration in the mycorrhizosphere; (6) measurement of 13C enrichment into soil microbial DNA and RNA and the rates of turnover of RNA; (7) identification of soil micro-organisms most enriched with 13C by sequence analysis of 'heavy' RNA separated by density-gradient centrifugation; and (8) estimates of the effects of liming on C flux into and through upland grassland, and its effects on C cycling by soil micro-organisms. In reviewing all these findings we highlight the strengths and limitations of the in situ 13C technique. We also explain how the new insights gained from these studies emphasise the complex temporal dynamics of recent photosynthate entering the soil through different pathways and the role of multi-trophic interactions between soil biota in determining the fate of recently fixed carbon in grasslands. ? 2006 Elsevier B.V. All rights reserved.</t>
  </si>
  <si>
    <t>? Shrub abundance is expected to increase with enhanced temperature and nutrient availability in the Arctic, and associated changes in abundance of ectomycorrhizal (EM) fungi could be a key link between plant responses and longer-term changes in soil organic matter storage. This study quantifies the response in EM fungal abundance to long-term warming and fertilization in two arctic ecosystems with contrasting responses of the EM shrub Betula nana. ? Ergosterol was used as a biomarker for living fungal biomass in roots and organic soil and ingrowth bags were used to estimate EM mycelial production. We measured 15N and 13C natural abundance to identify the EM-saprotrophic divide in fungal sporocarps and to validate the EM origin of mycelia in the ingrowth bags. ? Fungal biomass in soil and EM mycelial production increased with fertilization at both tundra sites, and with warming at one site. This was caused partly by increased dominance of EM plants and partly by stimulation of EM mycelial growth. ? We conclude that cycling of carbon and nitrogen through EM fungi will increase when strongly nutrient-limited arctic ecosystems are exposed to a warmer and more nutrient-rich environment. This has potential consequences for below-ground litter quality and quantity, and for accumulation of organic matter in arctic soils. ? New Phytologist (2006).</t>
  </si>
  <si>
    <t>? The roles of mycorrhiza in facilitating the acquisition and transfer of carbon (C) and nitrogen (N) to adult orchids are poorly understood. Here, we employed isotopically labelled sources of C and N to investigate these processes in the green forest orchid, Goodyera repens. ? Fungus-to-orchid transfers of C and N were measured using mass spectrometry after supplying extraradical mycelial systems with double-labelled [13C- 15N]glycine. Orchid-to-fungus C transfer was revealed and quantified by radioisotope imaging and liquid scintillation counting of extraradical mycelium following 14CO2 fixation by shoots. ? Both 13C and 15N were assimilated by the fungus and transferred to the roots and shoots of the orchid. Contrary to previous reports, considerable quantities (2.6%over 72 h) of fixed C were shown to be allocated to the extraradical mycelium of the fungus. ? This study demonstrates, for the first time, mutualism in orchid mycorrhiza, bidirectional transfer of C between a green orchid and its fungal symbiont, and a fungus-dependent pathway for organic N acquisition by an orchid. ? New Phytologist (2006).</t>
  </si>
  <si>
    <t>? Although arbuscular mycorrhizal (AM) fungi are a major pathway in the global carbon cycle, their basic biology and, in particular, their respiratory response to temperature remain obscure. ? A pulse label of the stable isotope 13C was applied to Plantago lanceolata, either uninoculated or inoculated with the AM fungus Glomus mosseae. The extra-radical mycelium (ERM) of the fungus was allowed to grow into a separate hyphal compartment excluding roots. We determined the carbon costs of the ERM and tested for a direct temperature effect on its respiration by measuring total carbon and the 13C:12C ratio of respired CO2. With a second pulse we tested for acclimation of ERM respiration after 2 wk of soil warming. ? Root colonization remained unchanged between the two pulses but warming the hyphal compartment increased ERM length. ë13C signals peaked within the first 10 h and were higher in mycorrhizal treatments. The concentration of CO2 in the gas samples fluctuated diurnally and was highest in the mycorrhizal treatments but was unaffected by temperature. Heating increased ERM respiration only after the first pulse and reduced specific ERM respiration rates after the second pulse; however, both pulses strongly depended on radiation flux. ? The results indicate a fast ERM acclimation to temperature, and that light is the key factor controlling carbon allocation to the fungus. ? The Authors (2006).</t>
  </si>
  <si>
    <t>Mycorrhizas are ubiquitous plant-fungus mutualists in terrestrial ecosystems and play important roles in plant resource capture and nutrient cycling. Sporadic evidence suggests that anthropogenic nitrogen (N) input may impact the development and the functioning of arbuscular mycorrhizal (AM) fungi, potentially altering host plant growth and soil carbon (C) dynamics. In this study, we examined how mineral N inputs affected mycorrhizal mediation of plant N acquisition and residue decomposition in a microcosm system. Each microcosm unit was separated into HOST and TEST compartments by a replaceable mesh screen that either prevented or allowed AM fungal hyphae but not plant roots to grow into the TEST compartments. Wild oat ( Avena fatua L.) was planted in the HOST compartments that had been inoculated with either a single species of AM fungus, Glomus etunicatum, or a mixture of AM fungi including G. etunicatum. Mycorrhizal contributions to plant N acquisition and residue decomposition were directly assessed by introducing a mineral 15N tracer and 13C-rich residues of a C4 plant to the TEST compartments. Results from 15N tracer measurements showed that AM fungal hyphae directly transported N from the TEST soil to the host plant. Compared with the control with no penetration of AM fungal hyphae, AM hyphal penetration led to a 125% increase in biomass 15N of host plants and a 20% reduction in extractable inorganic N in the TEST soil. Mineral N inputs to the HOST compartments (equivalent to 5.0 g N m-2 yr-1) increased oat biomass and total root length colonized by mycorrhizal fungi by 189% and 285%, respectively, as compared with the no-N control. Mineral N inputs to the HOST plants also reduced extractable inorganic N and particulate residue C proportion by 58% and 12%, respectively, in the corresponding TEST soils as compared to the no-N control, by stimulating AM fungal growth and activities. The species mixture of mycorrhizal fungi was more effective in facilitating N transport and residue decomposition than the single AM species. These findings indicate that low-level mineral N inputs may significantly enhance nutrient cycling and plant resource capture in terrestrial ecosystems via stimulation of root growth, mycorrhizal functioning, and residue decomposition. The long-term effects of these observed alterations on soil C dynamics remain to be investigated. ? 2006 Blackwell Publishing Ltd.</t>
  </si>
  <si>
    <t>Ectomycorrhizal fungi form symbioses with most temperate and boreal tree species, but difficulties in measuring carbon allocation to these symbionts have prevented the assessment of their importance in forest ecosystems. Here, I surveyed allocation patterns in 14 culture studies and five field studies of ectomycorrhizal plants. In culture studies, allocation to ectomycorrhizal fungi (NPPf) was linearly related to total belowground net primary production (NPPb) by the equation NPPf = 41.5% x NPPb - 11.3% (r2 = 0.55, P &amp;lt; 0.001) and ranged from 1% to 21% of total net primary production. As a percentage of NPP, allocation to ectomycorrhizal fungi was highest at lowest plant growth rates and lowest nutrient availabilities. Because total belowground allocation can be estimated using carbon balance techniques, these relationships should allow ecologists to incorporate mycorrhizal fungi into existing ecosystem models. In field studies, allocation to ectomycorrhizal fungi ranged from 0% to 22% of total allocation, but wide differences in measurement techniques made intercomparisons difficult. Techniques such as fungal in-growth cores, root branching-order studies, and isotopic analyses could refine our estimates of turnover rates of fine roots, mycorrhizae, and extraradical hyphae. Together with ecosystem modeling, such techniques could soon provide good estimates of the relative importance of root vs. fungal allocation in belowground carbon budgets. ? 2006 by the Ecological Society of America.</t>
  </si>
  <si>
    <t>L¢pez-Pedrosa A., Gonz lez-Guerrero M., Valderas A., Azc¢n-Aguilar C., Ferrol N.</t>
  </si>
  <si>
    <t>We report the cloning and characterization of the first NH4 + transporter gene (GintAMT1) in an arbuscular mycorrhizal fungus. GintAMT1 encodes a polypeptide of 479 amino acids sharing high sequence similarity with previously characterized NH4+ transporters from other fungi. Heterologous expression of GintAMT1 in the yeast triple mep mutant complemented the defect of this strain to grow in the presence of less than 1 mM NH4+. As revealed by [14C] methylammonium uptake experiments carried out in yeast, GintAMT1 encodes a high-affinity NH4+ transporter. In mycelia developed in the presence of 0.9 mM NO3-, GintAMT1 transcription was increased after the addition of 30 ?M NH4+ but decreased after the addition of 3 mM NH4+. However, in mycelia grown in the presence of higher N concentrations, GintAMT1 transcripts decreased after the addition of NH4+, irrespective of the concentration used. These data suggest that GintAMT1 is involved in NH 4+ uptake by the extraradical mycelia from the surrounding media when it is present at micromolar concentrations. ? 2005 Elsevier Inc. All rights reserved.</t>
  </si>
  <si>
    <t>Microcosm data were used to develop a deterministic model to describe how rhizodeposition affects the fate of phenanthrene in aged contaminated soil. Microbial mineralization and soil sequestration of 14C-phenanthrene were compared in microcosms amended weekly with phenolic-rich mulberry root extracts versus unamended controls. Mineralization was higher in the amended soils simulating the rhizosphere (57.7 ñ 0.9%) than in controls simulating bulk (unplanted) soils (53.2 ñ 0.7%) after 201 days (p &amp;lt; 0.05). Humin was the main soil sink for the residual 14C-label. Whereas the total 14C-label associated with humin remained Constantin biologically active soils (at about 30%), it increased up to 80% after 201 days in sterile controls. The initial phenanthrene extraction with n-butanol (commonly used to assess bioavailability) slightly underestimated the fraction that was mineralized (assessed by 14CO2 recovery). Changes in the unextractable fraction (determined by combustion in a biological oxidizer) suggested the presence of two soil sequestration domains: (1) irreversibly bound residue, and (2) an intermediate transition phase that is unextractable by solvents at a given point in time but could become bioavailable due to physicochemical or biological transformations of the binding matrix. The fate of phenanthrene was accurately modeled by considering the transfer of the 14C label between different soil compartments as first-order kinetic processes. Model simulations suggested that the system was approaching a stable end-point after 201 days of simulated rhizoremediation, and corroborated that microorganisms have a significant impact on the fate of phenanthrene in soil. ? 2005 American Chemical Society.</t>
  </si>
  <si>
    <t>The aim of our work was to assess the growth and mineral nutrition of salt stressed Acacia auriculiformis A. Cunn. ex Benth. and Acacia mangium Willd. seedlings inoculated with a combination of selected microsymbionts (bradyrhizobia and mycorrhizal fungi). Plants were grown in greenhouse conditions in non-sterile soil, irrigated with a saline nutrient solution (0, 50 and 100 mM NaCl). The inoculation combinations consisted of the Bradyrhizobium strain Aust 13c for A. mangium and Aust 11c for A. auriculiformis, an arbuscular mycorrhizal fungus (Glomus intraradices, DAOM 181602) and an ectomycorrhizal fungus (Pisolithus albus, strain COI 007). The inoculation treatments were designed to identify the symbionts that might improve the salt tolerance of both Acacia species. The main effect of salinity was reduced tree growth in both acacias. However, it appeared that, compared with controls, both rhizobial and mycorrhizal inoculation improved the growth of the salt-stressed plants, while inoculation with the ectomycorrhizal fungus strain appeared to have a small effect on their growth and mineral nutrition levels. Endomycorrhizal inoculation combined with rhizobial inoculation usually gave good results. Analysis of foliar proline accumulation confirmed that dual inoculation gave the trees better tolerance to salt stress and suggested that the use of this dual inoculum might be beneficial for inoculation of both Acacia species in soils with moderate salt constraints. ? CSIRO 2005.</t>
  </si>
  <si>
    <t>? The influence of external nitrogen (N) on carbon (C) allocation and processes related to phosphorus (P) metabolism were studied in monoxenic arbuscular mycorrhiza (AM) cultures of Daucus carota. ? Fungal hyphae of Glomus intraradices proliferated from colonized roots growing on solid medium into C-free liquid minimal medium with two different N and P levels. Furthermore, we exposed the colonized roots to high or low N availability and then studied the mycelial development. Roots were provided with 13C-glucose in order to follow the C allocation. The mycelium was analysed for phosphatase activity and transcription levels of two nutrient regulated genes. ? High N availability to the monoxenic AM root reduced the C allocation to the AM fungus while N availability to the mycelium was important for the upregulation of the fungal inorganic phosphorus (Pi)-transporter GiPT. ? We found that N availability can regulate nutritional processes in arbuscular mycorrhiza. We conclude that negative impacts of N on AM abundance are caused by reduced C allocation from the plant. Upregulation of the fungal Pi-transporter GiPT indicated that increased N availability might induce P limitation in the mycelium. ? New Phytologist (2005).</t>
  </si>
  <si>
    <t>? Nitrogen (N) is known to be transferred from fungus to plant in the arbuscular mycorrhizal (AM) symbiosis, yet its metabolism, storage and transport are poorly understood. ? In vitro mycorrhizas of Glomus intraradices and Ri T-DNA-transformed carrot roots were grown in two-compartment Petri dishes. 15N- and/or 13C-labeled substrates were supplied to either the fungal compartment or to separate dishes containing uncolonized roots. The levels and labeling of free amino acids (AAs) in the extraradical mycelium (ERM) in mycorrhizal roots and in uncolonized roots were measured by gas chromatography/mass spectrometry (GC-MS) and high-performance liquid chromatography (HPLC). ? Arginine (Arg) was the predominant free AA in the ERM, and almost all Arg molecules became labeled within 3 wk of supplying 15NH4+ to the fungal compartment. Labeling in Arg represented &amp;gt; 90% of the total 15N in the free AAs of the ERM. [Guanido-2-15N]Arg taken up by the ERM and transported to the intraradical mycelium (IRM) gave rise to 15N-labeled AAs. [U- 13C]Arg added to the fungal compartment did not produce any 13C labeling of other AAs in the mycorrhizal root. ? Arg is the major form of N synthesized and stored in the ERM and transported to the IRM. However, NH4+ is the most likely form of N transferred to host cells following its generation from Arg breakdown. ? New Phytologist (2005).</t>
  </si>
  <si>
    <t>Turnover rates of arbuscular mycorrhizal (AM) fungi may influence storage of soil organic carbon (SOC). We examined the longevity of AM hyphae in monoxenic cultures; and we also used 13C incorporation into signature fatty acids to study C dynamics in a mycorrhizal symbiosis involving Glomus intraradices and Plantago lanceolata. 13C enrichment of signature fatty acids showed rapid transfer of plant assimilates to AM fungi and a gradual release of C from roots to rhizosphere bacteria, but at a much slower rate. Furthermore, most C assimilated by AM fungi remained 32 days after labelling. These findings indicate that 13C labelled fatty acids can be used to track C flux from the atmosphere to the rhizosphere and that retention of C in AM fungal mycelium may contribute significantly to SOC. ?2005 Blackwell Publishing Ltd/CNRS.</t>
  </si>
  <si>
    <t>Rising atmospheric [CO2] has the potential to alter soil carbon (C) cycling by increasing the content of recalcitrant constituents in plant litter, thereby decreasing rates of decomposition. Because fine root turnover constitutes a large fraction of annual NPP, changes in fine root decomposition are especially important. These responses will likely be affected by soil resource availability and the life history characteristics of the dominant tree species. We evaluated the effects of elevated atmospheric [CO2] and soil resource availability on the production and chemistry, mycorrhizal colonization, and decomposition of fine roots in an early- and late-successional tree species that are economically and ecologically important in north temperate forests. Open-top chambers were used to expose young trembling aspen (Populus tremuloides) and sugar maple (Acer saccharum) trees to ambient (36 Pa) and elevated (56 Pa) atmospheric CO2. Soil resource availability was composed of two treatments that bracketed the range found in the Upper Lake States, USA. After 2.5 years of growth, sugar maple had greater fine root standing crop due to relatively greater allocation to fine roots (30% of total root biomass) relative to aspen (7% total root biomass). Relative to the low soil resources treatment, aspen fine root biomass increased 76% with increased soil resource availability, but only under elevated [CO2]. Sugar maple fine root biomass increased 26% with increased soil resource availability (relative to the low soil resources treatment), and showed little response to elevated [CO2]. Concentrations of N and soluble phenolics, and C/N ratio in roots were similar for the two species, but aspen had slightly higher lignin and lower condensed tannins contents compared to sugar maple. As predicted by source-sink models of carbon allocation, pooled constituents (C/N ratio, soluble phenolics) increased in response to increased relative carbon availability (elevated [CO2]/low soil resource availability), however, biosynthetically distinct compounds (lignin, starch, condensed tannins) did not always respond as predicted. We found that mycorrhizal colonization of fine roots was not strongly affected by atmospheric [CO2] or soil resource availability, as indicated by root ergosterol contents. Overall, absolute changes in root chemical composition in response to increases in C and soil resource availability were small and had no effect on soil fungal biomass or specific rates of fine root decomposition. We conclude that root contributions to soil carbon cycling will mainly be influenced by fine root production and turnover responses to rising atmospheric [CO2], rather than changes in substrate chemistry. ? Springer-Verlag 2005.</t>
  </si>
  <si>
    <t>Total belowground carbon allocation (TBCA) is defined as that carbon allocated belowground by plants to produce coarse and fine roots, root respiration, and root exudates and mycorrhizae. TBCA can be a large fraction of gross primary production, sometimes exceeding aboveground net primary production. Quantifying the individual components of TBCA is challenging because belowground C processes are intimately associated with the soil matrix. Thus, our understanding of the factors that control TBCA is poor, though increases in the numbers of experiments will help clarify the major role of TBCA in the C balance of terrestrial ecosystems. TBCA and its components were determined between two 36-year-old plantations of Castanopsis kawakamii (CK) and Cunninghamia lanceolata (Chinese fir, CF) in sanming, Fujian. We established root-free trenched plots to determined root respiration (RR), utilized sequential coring method to estimate fine-root production (NPP fr), and developed allometric equation to determine coarse root production (NPPcr). TBCA was calculated by three methods, viz., the component-integrated method (TBCACI), the carbon balance method (TBCACB), and the global trend equation (TBCAGTE). TBCACI was estimated 8.426 t Cúhm-2úa -1 and 4.040 t Cúhm-2úa-1 for the CK and the CF, respectively. TBCACI was allocated evenly between root production and respiration, and NPPfr and NPPcr contributed to 75% and 25% of root production for the two plantations. About one third of TBCACI was converted into root detritus. TBCACB was calculated as 6.039 t Cúhm-2úa-1 and 2.987 t Cú hm-2úa-1, and TBCAGTE was estimated as 9.771 t Cúhm-2úa-1 and 5.344 t Cúhm-2úa-1 for the CK and the CF, respectively. Difference between TBCACI and TBCACB might be resulted from the non-steady state in the belowground C pool of the two plantations. The discrepancy between TBCACI and TBCAGTE implicated that the global trend equation proposed by Raich and Nadelhoffer might fail in predicting the TBCA of a certain forest.</t>
  </si>
  <si>
    <t>1. It is hypothesized that defoliation-induced changes in plant carbon allocation and root soluble C concentration modify rhizosphere C availability and, further, the abundance and activity of soil microbes and their grazers. To test this hypothesis, field-grown Lolium perenne swards were defoliated twice during their second growing season at two nitrogen availabilities (added N or no added N). Plant, soil and microbial attributes were measured 2 and 4 days after the last defoliation, and nematode abundance was measured 6 days after the last defoliation. 2. Defoliation decreased shoot production in plots where N was added, but had no significant effect in plots where N was not added. Root biomass and the ratio of root mass to shoot production were not affected. 3. Defoliation increased root soluble C concentration by 26% at the first harvest (2 days after defoliation) and by 18% at the second harvest (4 days after defoliation). Leaf N concentration was 27% lower in defoliated than in non-defoliated swards at the first harvest, while that of stems was 14% higher in defoliated swards at both harvests, and that of roots was not affected. Defoliation increased root C:N ratio, decreased stem C:N ratio, and did not have a statistically significant effect on leaf C:N ratio. 4. Soil attributes (soil soluble C concentration and soil C and N concentrations) were not affected by defoliation. Similarly, microbial attributes such as microbial C and N content, bacterial abundance in rhizosphere soil, and diversity of C sources utilized by the rhizosphere microbial community, did not differ between defoliated and non-defoliated swards. 5. Among nematode trophic groups, defoliation reduced the abundance of fungivorous and herbivorous nematodes by 70 and 47%, respectively, but did not affect the abundance of bacterivorous, omnivorous and predatory nematodes. 6. Although defoliation altered plant C allocation and root soluble C concentration, these changes did not influence C availability, soil microbial growth or the abundance of bacteria-feeding nematodes in the plant rhizosphere. Instead, the effects on root- and fungus-feeding nematodes suggest that the effects of defoliation on soil communities were propagated not through the effects of root-released C on bacteria and bacterial grazers, but through effects of root quality on root-feeders and possibly through effects of mycorrhizal fungi on fungus-feeders. ? 2005 British Ecological Society.</t>
  </si>
  <si>
    <t>Gavito M.E., Olsson P.A., Rouhier H., Medina-Pe¤afiel A., Jakobsen I., Bago A., Azc¢n-Aguilar C.</t>
  </si>
  <si>
    <t>? In this study we investigated the effects of temperature on fungal growth and tested whether the differences in fungal growth were related to the effects of temperature on carbon movement to, or within, the fungus. ? Growth curves and C uptake-transfer-translocation measurements were obtained for three arbuscular mycorrhizal fungi (AMF) isolates cultured within a 6-30øC temperature range. A series of experiments with a model fungal isolate, Glomus intraradices, was used to examine the effects of temperature on lipid body and 33P movement, and to investigate the role of acclimation and incubation time. ? Temperature effects on AMF growth were both direct and indirect because, despite clear independent root and AMF growth responses in some cases, the uptake and translocation of 13C was also affected within the temperature range tested. Root C uptake and, to a lesser extent, C translocation in the fungus, were reduced by low temperatures (&amp;lt; 18øC). Uptake and translocation of 33P by fungal hyphae were, by contrast, similar between 10 and 25øC. ? We conclude that temperature, between 6 and 18øC, reduces AMF growth, and that C movement to the fungus is involved in this response. ? New Phytologist (2005).</t>
  </si>
  <si>
    <t>Tr‚panier M., B‚card G., Moutoglis P., Willemot C., Gagn‚ S., Avis T.J., Rioux J.-A.</t>
  </si>
  <si>
    <t>Lipids are the major form of carbon storage in arbuscular-mycorrhizal fungi. We studied fatty acid synthesis by Glomus intraradices and Gigaspora rosea. [14C] Acetate and [14C] sucrose were incorporated into a synthetic culture medium to test fatty acid synthetic ability in germinating spores (G. intraradices and G. rosea), mycorrhized carrot roots, and extraradical fungal mycelium (G. intraradices). Germinating spores and extraradical hyphae could not synthesize 16-carbon fatty acids but could elongate and desaturate fatty acids already present. The growth stimulation of germinating spores by root exudates did not stimulate fatty acid synthesis. 16-Carbon fatty acids (16:0 and 16:1) were synthesized only by the fungi in the mycorrhized roots. Our data strongly suggest that the fatty acid synthase activity of arbuscular-mycorrhizal fungi is expressed exclusively in the intraradical mycelium and indicate that fatty acid metabolism may play a major role in the obligate biotrophism of arbuscular-mycorrhizal fungi. Copyright ? 2005, American Society for Microbiology. All Rights Reserved.</t>
  </si>
  <si>
    <t>The present study was initiated to (i) determine the ability of an ectomycorrhizal and an arbuscular mycorrhizal symbiont to colonize three provenances of Acacia crassicarpa root systems, (ii) to examine plant growth response to the mycorrhizal inoculation and (iii) to measure their influence on the rhizobial symbiosis with a Bradyrhizobium isolate. This study has been performed with 2 fungal symbionts: Glomus intraradices, an Arbuscular Mycorrhizal fungus, and an ectomycorrhizal fungus Pisolithus tinctorius strain GEMAS. Two experiments have been performed during two different climatic periods, hot season (30øC day, 20øC night, June to October) for ectomycorrhizal inoculation and cold season (25øC day, 15øC night, November to March) for endomycorrhizal inoculation. Moreover, Bradyrhizobium sp. strain Aus 13C has been co-inoculated with each of these fungal symbionts. The results showed that ectomycorrhizal and AM fungal symbiosis clearly benefit to the growth of A. crassicarpa provenances and these fungal symbioses greatly improve the rhizobial nodulation process. However, some differences of growth were observed between the provenances tested and our results showed that both Papua New Guinea provenances produced more important total biomass than the provenance from Madagascar in both experiments However, no significant differences were observed in terms of nodulation and mycorrhization. Further research must be undertaken to identify the convenient ecological characteristics in which each kind of mycorrhizal symbiosis exerts the best effect on plant growth and nodulation formation and to identify in such environmental conditions the better rhizobial/mycorrhizal symbiosis combination. ? INRA, EDP Sciences, 2005.</t>
  </si>
  <si>
    <t>Andr‚ S., Galiana A., Le Roux C., Prin Y., Neyra M., Duponnois R.</t>
  </si>
  <si>
    <t>Two strains of Bradyrhizobium sp., Aust 13C and Aust 11C, were dually or singly inoculated with an ectomycorrhizal fungus, Pisolithus albus to assess the interactions between ectomycorrhizal symbiosis and the nodulation process in glasshouse conditions. Sequencing of strains Aust 13C and Aust 11C confirmed their previous placement in the genus Bradyrhizobium. After 4 months' culture, the ectomycorrhizal symbiosis promoted plant growth and the nodulation process of both Bradyrhizobium strains, singly or dually inoculated. PCR/RFLP analysis of the nodules randomly collected in each treatment with Aust 13C and/or Aust 11C: (1) showed that all the nodules exhibited the same patterns as those of the Bradyrhizobium strains, and (2) did not detect contaminant rhizobia. When both Bradyrhizobium isolates were inoculated together, but without P. albus IR100, Aust 11C was recorded in 13% of the treated nodules compared to 87% for Aust 13C, whereas Aust 11C and Aust 13C were represented in 20 and 80% of the treated nodules, respectively, in the ectomycorrhizal treatment. Therefore Aust 13C had a high competitive ability and a great persistence in soil. The presence of the fungus did not significantly influence the frequencies of each Bradyrhizobium sp. root nodules. Although the mechanisms remain unknown, these results showed that the ectomycorrhizal and biological nitrogen-fixing symbioses were very dependent on each other. From a practical point of view, the role of ectomycorrhizal symbiosis is of great importance to N2 fixation and, consequently, these kinds of symbiosis must be associated in any controlled inoculation. ? Springer-Verlag 2004.</t>
  </si>
  <si>
    <t>We studied the relationships among plant and arbuscular mycorrhizal (AM) fungal diversity, and their effects on ecosystem function, in a series of replicate tropical forestry plots in the La Selva Biological Station, Costa Rica. Forestry plots were 12 yr old and were either monocultures of three tree species, or polycultures of the tree species with two additional understory species. Relationships among the AM fungal spore community, host species, plant community diversity and ecosystem phosphorus-use efficiency (PUE) and net primary productivity (NPP) were assessed. Analysis of the relative abundance of AM fungal spores found that host tree species had a significant effect on the AM fungal community, as did host plant community diversity (monocultures vs polycultures). The Shannon diversity index of the AM fungal spore community differed significantly among the three host tree species, but was not significantly different between monoculture and polyculture plots. Over all the plots, significant positive relationships were found between AM fungal diversity and ecosystem NPP, and between AM fungal community evenness and PUE. Relative abundance of two of the dominant AM fungal species also showed significant correlations with NPP and PUE. We conclude that the AM fungal community composition in tropical forests is sensitive to host species, and provide evidence supporting the hypothesis that the diversity of AM fungi in tropical forests and ecosystem NPP covaries. ? New Phytologist (2005).</t>
  </si>
  <si>
    <t>Despite its importance in the terrestrial C cycle rhizosphere carbon flux (RCF) has rarely been measured for intact root-soil systems. We measured RCF for 8-year-old saplings of sugar maple (Acer saccharum) and yellow birch (Betula allegheniensis) collected from the Hubbard Brook Experimental Forest (HBEF), NH and transplanted into pots with native soil horizons intact. Five saplings of each species were pulse labeled with 13CO2 at ambient CO2 concentrations for 4-6 h, and the 13C label was chased through rhizosphere and bulk soil pools in organic and mineral horizons for 7 days. We hypothesized yellow birch roots would supply more labile C to the rhizosphere than sugar maple roots based on the presumed greater C requirements of ectomycorrhizal roots. We observed appearance of the label in rhizosphere soil of both species within the first 24 h, and a striking difference between species in the timing of 13C release to soil. In sugar maple, peak concentration of the label appeared 1 day after labeling and declined over time whereas in birch the label increased in concentration over the 7-day chase period. The sum of root and rhizornicrobial respiration in the pots was 19% and 26% of total soil respiration in sugar maple and yellow birch, respectively. Our estimate of the total amount of RCF released by roots was 6.9-7.1% of assimilated C in sugar maple and 11.2-13.0% of assimilated C in yellow birch. These fluxes extrapolate to 55-57 and 90-104 g C m-2 yr-1 from sugar maple and yellow birch roots, respectively. These results suggest RCF from both arbuscular mycorrhizal and ectomycorrhizal roots represents a substantial flux of C to soil in northern hardwood forests with important implications for soil microbial activity, nutrient availability and C storage. ? 2005 Blackwell Publishing Ltd.</t>
  </si>
  <si>
    <t>The ubiquitous arbuscular mycorrhizal fungi consume significant amounts of plant assimilated C, but this C flow has been difficult to quantify. The neutral lipid fatty acid 16:1?5 is a quantitative signature for most arbuscular mycorrhizal fungi in roots and soil. We measured carbon transfer from four plant species to the arbuscular mycorrhizal fungus Glomus intraradices by estimating 13C enrichment of 16:1?5 and compared it with 13C enrichment of total root and mycelial C. Carbon allocation to mycelia was detected within 1 day in monoxenic arbuscular mycorrhizal root cultures labeled with [13C]glucose. The 13C enrichment of neutral lipid fatty acid 16:1?5 extracted from roots increased from 0.14% 1 day after labeling to 2.2% 7 days after labeling. The colonized roots usually were more enriched for 13C in the arbuscular mycorrhizal fungal neutral lipid fatty acid 16:1?5 than for the root specific neutral lipid fatty acid 18:2?6,9. We labeled plant assimilates by using 13CO 2 in whole-plant experiments. The extraradical mycelium often was more enriched for 13C than was the intraradical mycelium, suggesting rapid translocation of carbon to and more active growth by the extraradical mycelium. Since there was a good correlation between 13C enrichment in neutral lipid fatty acid 16:1?5 and total 13C in extraradical mycelia in different systems (r2 = 0.94), we propose that the total amount of labeled C in intraradical and extraradical mycelium can be calculated from the 13C enrichment of 16:1?5. The method described enables evaluation of C flow from plants to arbuscular mycorrhizal fungi to be made without extraction, purification and identification of fungal mycelia. Copyright ? 2005, American Society for Microbiology. All Rights Reserved.</t>
  </si>
  <si>
    <t>? Some green orchids obtain carbon (C) from their mycorrhizal fungi and photosynthesis. This mixotrophy may represent an evolutionary step towards mycoheterotrophic plants fully feeding on fungal C. Here, we report on nonphotosynthetic individuals (albinos) of the green Cephalanthera damasonium that likely represent another evolutionary step. ? Albino and green individuals from a French population were compared for morphology and fertility, photosynthetic abilities, fungal partners (using microscopy and molecular tools), and nutrient sources (as characterized by 15N and 13C abundances). ? Albinos did not differ significantly from green individuals in morphology and fertility, but tended to be smaller. They harboured similar fungi, with Thelephoraceae and Cortinariaceae as mycorrhizal partners and few rhizoctonias. Albinos were nonphotosynthetic, fully mycoheterotrophic. Green individuals carried out photosynthesis at compensation point and received almost 50% of their C from fungi. Orchid fungi also colonized surrounding tree roots, likely to be the ultimate C source. ? Transition to mycoheterotrophy may require several simultaneous adaptations; albinos, by lacking some of them, may have reduced ecological success. This may limit the appearance of cheaters in mycorrhizal networks. ? New Phytologist (2005).</t>
  </si>
  <si>
    <t>Acacia mangium grown in aeroponic culture was co-inoculated with selected strains of Bradyrhizobium sp. and Glomus intraradices. A single-step technique using alginate as an embedding and sticking agent for an inoculum composed of arbuscular mycorrhiza (AM)-infected sheared roots was used to infect plants. This method resulted in the successful establishment of AM in 100% of the inoculated plants after 7 weeks. The results indicated that dual microbial inoculation with Glomus intraradices strain S-043 and Bradyrhizobium strain AUST 13C stimulated the growth of A. mangium in aeroponic culture. The effects of single and dual microbial inoculations were also evaluated at two levels of P in the nutrient medium. A concentration of 5 mg P kg-1 stimulated the development of AM without affecting plant development or establishment of Bradyrhizobium symbiosis. In contrast, saplings supplemented with a higher concentration of P (25 mg kg-1) alone or co-inoculated with Bradyrhizobium had lower AM frequencies. ? Springer-Verlag 2005.</t>
  </si>
  <si>
    <t>This paper reviews the role of soil respiration in determining ecosystem carbon balance, and the conceptual basis for measuring and modeling soil respiration. We developed it to provide background and context for this special issue on soil respiration and to synthesize the presentations and discussions at the workshop. Soil respiration is the largest component of ecosystem respiration. Because autotrophic and heterotrophic activity belowground is controlled by substrate availability, soil respiration is strongly linked to plant metabolism, photosynthesis and litterfall. This link dominates both base rates and short-term fluctuations in soil respiration and suggests many roles for soil respiration as an indicator of ecosystem metabolism. However, the strong links between above and belowground processes complicate using soil respiration to understand changes in ecosystem carbon storage. Root and associated mycorrhizal respiration produce roughly half of soil respiration, with much of the remainder derived from decomposition of recently produced root and leaf litter. Changes in the carbon stored in the soil generally contribute little to soil respiration, but these changes, together with shifts in plant carbon allocation, determine ecosystem carbon storage belowground and its exchange with the atmosphere. Identifying the small signal from changes in large, slow carbon pools in flux dominated by decomposition of recent material and autotrophic and mycorrhizal respiration is a significant challenge. A mechanistic understanding of the belowground carbon cycle and of the response of different components to the environment will aid in identifying this signal. Our workshop identified information needs to help build that understanding: (1) the mechanisms that control the coupling of canopy and belowground processes; (2) the responses of root and heterotrophic respiration to environment; (3) plant carbon allocation patterns, particularly in different forest developmental stages, and in response to treatments (warming, CO2, nitrogen additions); and (4) coupling measurements of soil respiration with aboveground processes and changes in soil carbon. Multi-factor experiments need to be sufficiently long to allow the systems to adjust to the treatments. New technologies will be necessary to reduce uncertainty in estimates of carbon allocation, soil carbon pool sizes, and different responses of roots and microbes to environmental conditions. ? Springer 2005.</t>
  </si>
  <si>
    <t>Soil structure exerts important influences on the edaphic conditions and the environment. It is often expressed as the degree of stability of aggregates. Aggregation results from the rearrangement, flocculation and cementation of particles. It is mediated by soil organic carbon (SOC), biota, ionic bridging, clay and carbonates. The complex interactions of these aggregants can be synergistic or disruptive to aggregation. Clay-sized particles are commonly associated with aggregation by rearrangement and flocculation, although swelling clay can disrupt aggregates. Organo-metallic compounds and cations form bridges between particles. The SOC originates from plants, animals and microorganisms, and their exudates. It enhances aggregation through the bonding of primary soil particles. The effectiveness of SOC in forming stable aggregates is related to its decomposition rate, which in turn is influenced by its physical and chemical protection from microbial action. Soil inorganic carbon (SIC) increases aggregation in arid and semi-arid environments, and the formation of secondary carbonates is influenced by the presence of SOC and Ca2+ and Mg 2+. Soil biota release CO2 and form SOC which increase dissolution of primary carbonates while cations increase precipitation of secondary carbonates. The precipitation of (hydr)oxides, phosphates and carbonates enhances aggregation. Cations such as Si4+, Fe 3+, Al3+ and Ca2+ stimulate the precipitation of compounds that act as bonding agents for primary particles. Roots and hyphae can enmesh particles together while realigning them and releasing organic compounds that hold particles together, a process with a positive impact on soil C sequestration. Soil structure can be significantly modified through management practices and environmental changes. Practices that increase productivity and decrease soil disruption enhance aggregation and structural development. ? 2004 Elsevier B.V. All rights reserved.</t>
  </si>
  <si>
    <t>Set„l„ H.</t>
  </si>
  <si>
    <t>This chapter reviews the physical characteristics that can influence community structure and system processes in soils, and explores the effects of community complexity on N-mineralization and NPP. It also points out the strong context dependency of biodiversity-ecosystem functioning studies in soils arising from the conditional mutualistic-antagonistic effects of mycorrhizae. The heterogeneous resource supply and the three-dimensional structure of soils are likely to contribute to the high degree of omnivory within soil biota. This, in turn, has an impact on how predictably soil food web structure relates to functional attributes, including stability, of the food web. Interactions between well-defined trophic levels existing close to the base of detrital food webs, such as those between microbial consumers and microbes, commonly manifest themselves as unambiguous alterations in system-level processes. However, removal or addition of trophic groups at the intermediate or high trophic positions is less likely to translate to substantial alterations in decomposition processes and NPP. It is suggested that the omnivorous feeding habits and resource use of soil biota creates functional redundancy and enhances stability of detrital food webs. However, the context-dependent nature of the outcomes of some important trophic relationships should not be ignored when evaluating the strength of the relationship between biological complexity and ecosystem functioning in soil food webs. ? 2006 Elsevier Inc. All rights reserved.</t>
  </si>
  <si>
    <t>H”gberg P., Nordgren A., H”gberg M.N., Ottosson-L”fvenius M., Bhupinderpal-Singh, Olsson P., Linder S.</t>
  </si>
  <si>
    <t>Atmospheric CO2is rapidly increasing without an integrative understanding of the responses of soil organisms. We sampled soils in a chaparral ecosystem at 18 intervals over a 3-yr period in replicated field chambers ranging from 250 to 750 ppm CO2 at 100 ppm increments. We assessed three distinct soil energy channels: mycorrhizal fungi, saprotrophic fungi-mite/collembola, and bacteria-protozoa/nematode. C allocation below-ground increased with elevated CO2. Standing crops of fungi and bacteria rarely changed with CO2. Mass of bacteria-feeding nematodes increased during wet periods, but the effects on soil bacteria were not detectable. However, grazing of fungi by mites increased with increasing CO2 up to 550 ppm CO2. Above this threshold, allocation of C to the fungal channel declined. Direct measures of mycorrhizal fungi (percentage infection, arbuscular mycorrhizal [AM] fungal hyphal length) showed no changes with CO 2 enrichment, but indirect measures (macroaggregates with newly fixed C) increased suggesting increasing allocation of C through this channel. We postulate that the lack of change in standing crop in microbes to elevated CO2 is due to increasing turnover and to increasing N deficiency. Assessing C sequestration and other impacts of elevated CO2 on ecosystems requires a comprehensive, interactive, and dynamic evaluation of soil organismal responses. ? 2005 by the Ecological Society of America.</t>
  </si>
  <si>
    <t>1. Soils are one of the last great frontiers for biodiversity research and are home to an extraordinary range of microbial and animal groups. Biological activities in soils drive many of the key ecosystem processes that govern the global system, especially in the cycling of elements such as carbon, nitrogen and phosphorus. 2. We cannot currently make firm statements about the scale of biodiversity in soils, or about the roles played by soil organisms in the transformations of organic materials that underlie those cycles. The recent UK Soil Biodiversity Programme (SBP) has brought a unique concentration of researchers to bear on a single soil in Scotland, and has generated a large amount of data concerning biodiversity, carbon flux and resilience in the soil ecosystem. 3. One of the key discoveries of the SBP was the extreme diversity of small organisms: researchers in the programme identified over 100 species of bacteria, 350 protozoa, 140 nematodes and 24 distinct types of arbuscular mycorrhizal fungi. Statistical analysis of these results suggests a much greater 'hidden diversity'. In contrast, there was no unusual richness in other organisms, such as higher fungi, mites, collembola and annelids. 4. Stable-isotope (13C) technology was used to measure carbon fluxes and map the path of carbon through the food web. A novel finding was the rapidity with which carbon moves through the soil biota, revealing an extraordinarily dynamic soil ecosystem. 5. The combination of taxonomic diversity and rapid carbon flux makes the soil ecosystem highly resistant to perturbation through either changing soil structure or removing selected groups of organisms. ? 2005 British Ecological Society.</t>
  </si>
  <si>
    <t>? The influence of carbohydrate availability to mycorrhizal roots on uptake, metabolism and translocation of phosphate (P) by the fungus was examined in axenic cultures of transformed carrot (Daucus carota) roots in symbiosis with Glomus intraradices. ? 14C-labelled carbohydrates, 33P-phosphate and energy dispersive X-ray microanalysis were used to follow the uptake and transfer of C and P in the arbuscular mycorrhizal (AM) symbiosis. ? The uptake of P by the extraradical mycelium (ERM) and its translocation to the mycorrhizal roots was stimulated and the metabolic and spatial distribution of P within the fungus were altered in response to increased carbohydrate availability. Sucrose supply resulted in a decrease of polyphosphates and an increased incorporation into phospholipids and other growth-related P pools and also caused elevated cytoplasmic P levels in the intraradical mycelium (IRM) within the root and higher cytoplasmic P levels in the root cortex. ? These findings indicate that the uptake of P by the fungus and its transfer to the host is also stimulated by the transfer of carbon from plant to fungus across the mycorrhizal interface. ? New Phytologist (2005).</t>
  </si>
  <si>
    <t>Kyt”viita M.-M.</t>
  </si>
  <si>
    <t>High nutrient availability and defoliation generally reduce ectomycorrhizal colonization levels in trees, but it is not known how this affects the functional aspects of mycorrhizal symbiosis. It was therefore investigated whether (1) defoliation or increasing substrate N availability reduce C allocation from the plant to the fungus and N allocation from the fungus to the plant (symbiotic resource exchange), (2) symbiotic resource exchange depends on relative N and P availability, and (3) fungal N translocation to plant and plant C allocation to fungus are interdependent. Birch (Betula pendula) seedlings were grown in symbiosis with the ectomycorrhizal fungus Paxillus involutus at five times excess N, or at five times excess N and P for 6 weeks. One-half of the plants were defoliated and the plant shoots were allowed to photosynthesize 14CO2 while the fungal compartment was exposed to 14NH4. After 3 days, the 14C of plant origin in fungal tissues and 15N of fungal origin in plant tissues were quantified. Nutrient availability had no observable effect on symbiotic resource exchange in non-defoliated systems. Defoliation reduced symbiotic N acquisition by plants at all levels of nutrient availability, with the reduction being most marked at higher N availability, indicating an increased tendency in the symbiotic system to discontinue resource exchange after defoliation at higher fertility levels. The concentration of 14C in extramatrical mycelium correlated significantly with the concentration of 15N in birch shoots. The results support the assumption that N delivery to the host by the mycorrhizal fungus is dependent on C flow from the plant to the fungus, and that exchanges between the partners are reciprocal. No significant reductions in root 14C content as a response to defoliation were observed, indicating that defoliation specifically reduced allocation to fungus, but not markedly to roots. ? Springer-Verlag 2004.</t>
  </si>
  <si>
    <t>asterisk inside a circle sign Nitrogen availability and colonization by mycorrhizal fungi may influence plant budgets of water, carbon, and carbon isotopes (ë13C), but estimates of water use efficiency (WUE) derived from isotopic vs budgetary measurements are rarely compared. asterisk inside a circle sign We assessed patterns of WUE, C allocation, and ë13C in cultures of nonmycorrhizal and ectomycorrhizal Pinus sylvestris at two N supply rates, 3% d-1 and 5% d-1. asterisk inside a circle sign Mycorrhizal colonization increased ë13C at low N but not at high N. Relative to foliage, roots and mycorrhizal fungi were enriched in 13C 1.5? and 3?, respectively. 13C fractionation during synthesis of transfer compounds of -1.5? could account for this progressive enrichment. Increasing N availability increased instantaneous WUE by 7% but decreased budget-based WUE by 20%. WUE calculated isotopically was 10 times higher than budget-based WUE. Plants in our system therefore transpired most water without concurrent photosynthesis. asterisk inside a circle sign We conclude that WUE depends on N concentration and not on the rate of N supply. The proportion of transpiration uncoupled from photosynthesis may largely control WUE in well-watered ecosystems, and this proportion depends on N concentration in the soil solution. Carbon isotopes only correlate with WUE above a critical concentration of available N. Thus, quantitatively interpreting ë13C patterns requires knowledge about coupling among C, N, and water in the plant-mycorrhizal-soil system. ? New Phytologist (2004).</t>
  </si>
  <si>
    <t>Increasing the amount of carbon (C) in soils is one method to reduce the concentration of carbon dixoide (CO2) in the atmosphere. We measured organic C stored in southern Idaho soils having long-term cropping histories that supported native sagebrush vegetation (NSB), irrigated mold-board plowed crops (IMP), irrigated conservation-chisel-tilled crops (ICT), and irrigated pasture systems (IP). The CO2 emitted as a result of fertilizer production, farm operations, and CO2 lost via dissolved carbonate in irrigation water, over a 30-year period, was estimated and used to calculate net C fixation. Organic C in ecosystems decreased in the order IP&amp;gt;ICT&amp;gt;IMP&amp;gt; NSB. In February 2001, active fungal, bacterial, and microbial biomass was greater in IP soils than all other soils. Active fungal, bacterial, and microbial biomass was least in ICT soils at the 15-30-cm depth than all other soils. In August 2001, active bacterial biomass was greater in IMP soils than IP, ICT, and NSB soils. Active fungal biomass was greater in IP soils than all other soils. Whole-soil fatty acid profiles differed among management regimes and sampling dates and, to a lesser extent, with soil depth. FAME profiles from the NSB soils were distinct from the agricultural treatments and contained greater amounts of total fatty acids than the other treatments. The IMP and ICT soils yielded fatty acid profiles that were similar to each other, although those at the 15-30-cm depth were distinct from all other treatment-depth combinations. The IP FAME profiles suggest that arbuscular mycorrhizal fungi are more common in these soils than soils from the other treatments. Differences in carbon substrate utilization patterns (BIOLOG) among treatments were more variable and less pronounced that FAME results. In general, irrigated arid soils can both increase C storage while increasing microbial biomass and changing microbial diversity. ? 2003 Springer-Verlag New York, LLC.</t>
  </si>
  <si>
    <t>Western red cedar (Thuja plicata Donn.), western hemlock (Tsuga heterophylla Raf. Sarge) and salal (Gaultheria shallon Pursh) are the main species growing in cedar-hemlock forests on Vancouver Island, Canada. Based on the dominance of organic N in these systems, we tested the hypotheses that: (1) organic N can be utilized by the three plant species; and (2) salal, which is ericoid mycorrhizal and has high tannin concentration in its tissues, would absorb more N from the complex organic N compounds than the other two species. The abilities of cedar, hemlock and salal to take up 15N, 13C-labelled glutamic acid were measured and the capacities of the three species to use nitrate (NO3-), ammonium (NH 4+), glutamic acid, protein and protein-tannin N were compared over a 20-day period. Based on 13C enrichment, all three species absorbed at least a portion of glutamic acid intact. Cedar, hemlock and salal also showed similar patterns of N uptake from the NO3 -, NH4+, glutamic acid, protein and protein-tannin treatments. The largest proportions of applied N were taken up from the NO3- and NH4+ treatments while smaller amounts of N were absorbed from the organic N compounds. Thus organic N was accessed to a modest degree by all three species, and salal did not have a greater capacity to utilize protein and protein-tannin-N. ? Springer-Verlag 2004.</t>
  </si>
  <si>
    <t>While it is accepted that many ectomycorrhizal fungi can assimilate organic substrates and facilitate transfer of their elemental components to plants, the fate of the carbon contained in these materials remains uncertain. Here we investigate the compartmentation of carbon and nitrogen in ectomycorrhizal seedlings of Pinus sylvestris fed with double-labelled (15N and 13C) glycine as their sole N source. Using isotope ratio mass spectrometry, the quantities of N and C derived from this glycine were determined in sequentially harvested samples of mycorrhizas, roots and shoots. Whereas considerable quantities of 15N were observed in the mycorrhizal tips, roots and shoots, comparable amounts of 13C were observed only in mycorrhizal tips and roots. It is clearly important to resolve the role of compound specificity as a factor determining the extent of amino-acid C transfer from roots to shoots. However, from the standpoint of the C budget of the whole plant, wherever heterotrophically acquired C is available as an energy source it will reduce demands on photosynthetically fixed sources of the element. ? New Phytologist (2004).</t>
  </si>
  <si>
    <t>Pitayos (Stenocereus spp.) are columnar cacti native to subtropical regions of Mexico that produce edible fruits. Vegetative and reproductive growth for S. qureretaroensis occurs in the dry season but not simultaneously. Most daily net CO2 uptake by S. queretaroensis occurs at night, with the highest values during the late autumn and early winter dry season. Its fine roots are colonized by arbuscular mycorrhizal fungi that enhance stem and fruit growth, apparently due to better P nutrition. The seeds are small, and germinate in response to light. The fruits of S. queretaroensis are valuable resources to wild animals, and can help sequester atmospheric carbon during the dry season. ? 2004 Elsevier Ltd. All rights reserved.</t>
  </si>
  <si>
    <t>The aim of this study was to analyze plant diversity, biomass productivity, carbon storage, composition of soil aggregates, diversity of arbuscular mycorrhizal (AM) fungi, soil microbial and faunal activity in mixed - grass, Desmostachya bipinnata and Vetiveria zizanioides grassland systems (located at Kurukshetra, 29ø56?N and 76ø51?E).The species diversity, species evenness and diversity of AM fungi in the soil were found to be influenced by vegetation composition and seasonality. Vegetation carbon in the three grassland systems was 334 to 1063 g C m-2 and carbon input in net primary productivity varied from 379 to 911 g C m-2. Soil aggregate organic matter concentration and C/N ratio varied greatly due to plant species effects. About 23 species of arbuscular mycorrhizal (AM) fungi belonging to six genera, i.e., Acaulospora, Endogone, Glomus, Entrophospora, Gigaspora and Sclerocystis were recorded in soils of the three grassland sites. The CO2 evolution rates were influenced by soil organic matter, vegetation composition and seasons. Total annual CO2-C production from the soil varied from 304 to 531 g C m-2yr-1 which was lower than the input of carbon indicating the accumulation of organic matter (20 to 50 %) in the soil-litter compartment. In the three grassland systems, the soil microbial biomass carbon varied from 105 to 262 ?g C g-1 soil across the seasons. The soil microbial biomass increased in the termite modified soil. The cumulative nitrogen mineralization/ immobilization rates were positively correlated to litter N concentration (r = 0.91 to 0.93, P&amp;lt;0.01). ? International Scientific Publications, New Delhi.</t>
  </si>
  <si>
    <t>Polycyclic aromatic hydrocarbons (PAHs) are an important class of persistent organic pollutants (POPs) in the environment and accumulate in forest soils. These soils are often dominated by ectomycorrhizal (EcM) roots, but little is known about how EcM fungi degrade PAHs, or the overall effect of field colonized EcM roots on the fate of PAHs. The ability of eight EcM fungi to degrade PAHs in liquid culture spiked with 14C labelled PAHs was investigated. Microcosms were used to determine the impact of naturally colonized mycorrhizal pine seedlings on PAH mineralization and volatilization. Only two EcM fungi (Thelephora terrestris and Laccaria laccata) degraded at least one PAH and none were able to mineralize the PAHs in pure culture. Where degradation occurred, the compounds were only mono-oxygenated. EcM pine seedlings did not alter naphthalene mineralization or volatilization but retarded fluorene mineralization by 35% compared with unplanted, ectomycorrhizosphere soil inoculated, microcosms. The EcM fungi possessed limited PAH degrading abilities, which may explain why EcM dominated microcosms retarded fluorene mineralization. This observation is considered in relation to the 'Gadgil-effect', where retarded litter decomposition has been observed in the presence of EcM roots. ? New Phytologist (2004).</t>
  </si>
  <si>
    <t>Pfeffer P.E., Douds Jr. D.D., Bcking H., Schwartz D.P., Shachar-Hill Y.</t>
  </si>
  <si>
    <t>Carbon transfer from fungus to plant in the arbuscular mycorrhizal (AM) symbiosis has been reported, but its significance and even its existence have been called into question and the issue remains controversial. We investigated carbon movement from fungus to plant and from one mycorrhizal root system to another via a common AM fungal network in monoxenic cultures to avoid limitations of some previous studies. 13C and 14C labeled substrates were supplied to functioning in vitro AM mycorrhizas between Ri T-DNA transformed carrot (Daucus carota) roots and Glomus intraradices to follow carbon movement into and between host and fungal metabolite pools. Fungal triacylglycerol and trehalose were labeled when permeant substrates were supplied to the extraradical mycelium (ERM), but host-specific compounds in the roots did not become labeled. When labeled glucose was provided to a donor root system, label moved to recipient roots via a common AM fungal network but remained in fungal compounds. We conclude that carbon flow in the AM symbiosis is normally unidirectional from plant to fungus and that while carbon is translocated by the fungus from one metabolically active root system to another, it remains within the intraradical mycelium (IRM). ? New Phytologist (2004).</t>
  </si>
  <si>
    <t>Only a small fraction of the carbon (C) allocated belowground by trees is retained by soils in long-lived, decay-resistant forms, yet because of the large magnitude of terrestrial primary productivity, even small changes in C allocation or retention can alter terrestrial C storage. The humid tropics exert a disproportionately large influence over terrestrial C storage, but C allocation and belowground retention in these ecosystems remain poorly quantified. Using mass balance and 13C isotope methods, we examined the effects of afforestation and fertilization, two land-use changes of large-scale importance, on belowground C cycling at a humid tropical site in Hawaii. Here we report that in unfertilized plots, 80% of the C allocated belowground by trees to roots and mycorrhizae was returned to the atmosphere within 1 year; 9% of the belowground C flux was retained in coarse roots and 11% was retained as new soil C. The gains in new soil C were offset entirely by losses of old soil C. Further, while fertilization early in stand development increased C storage in the litter layer and in coarse roots, it reduced by 22% the flux of C moving through roots and mycorrhizae into mineral soils. Because soil C formation rates related strongly to rhizosphere C flux, fertilization may reduce an already limited capacity of these forests to sequester decay-resistant soil C. ? Springer-Verlag 2004.</t>
  </si>
  <si>
    <t>Rising atmospheric CO2 and temperatures are probably altering ecosystem carbon cycling, causing both positive and negative feedbacks to climate. Below-ground processes play a key role in the global carbon (C) cycle because they regulate storage of large quantities of C, and are potentially very sensitive to direct and indirect effects of elevated CO2 and temperature. Soil organic matter pools, roots and associated rhizosphere organisms all have distinct responses to environmental change drivers, although availability of C substrates will regulate all the responses. Elevated CO 2 increases C supply below-ground, whereas warming is likely to increase respiration and decomposition rates, leading to speculation that these effects will moderate one another. However, indirect effects on soil moisture availability and nutrient supply may alter processes in unexpected directions. Detailed, mechanistic understanding and modelling of below-ground flux components, pool sizes and turnover rates is needed to adequately predict long-term, net C storage in ecosystems. In this synthesis, we discuss the current status of below-ground responses to elevated CO2 and temperature and potential feedback effects, methodological challenges, and approaches to integrating models and measurements. ? New Phytologist (2004).</t>
  </si>
  <si>
    <t>Carbon and nitrogen stable isotope ratios of bone and tooth dentine collagen from 142 horses were analysed to consider the potential of isotopic analysis of faunal remains as a palaeoenvironmental and palaeoclimatic proxy. A general trend through time towards lighter ë13C values was observed, but with an obvious depletion at the Late Glacial/Holocene transition. Horse ë13C values appear to track plant ë13C. Although phenomenon such as the canopy effect may influence faunal ë 13C values, we believe that the influence on plants of increasing atmospheric CO2 is the primary factor in the change in faunal ë13C values at the Late Glacial/Holocene transition. A post-glacial depletion in horse ë15N values is observed in areas proximal to glacial retreat although no data is available in these areas during the Last Glacial Maximum. Horse ë15N values are presumed to reflect plant ë15N values. Depleted plant nitrogen may be attributed to a number of factors e.g. water availability, temperature, cycling of nitrogen in the soil, soil nutrient availability (especially phosphorus in the post-glacial period), and the type of mycorrhizal associations formed with plant. These effects may be interrelated, and be linked such that a positive feedback can give a non-linear response to a single parameter. ? 2004 Elsevier Ltd. All rights reserved.</t>
  </si>
  <si>
    <t>Wallander H., G”ransson H., Rosengren U.</t>
  </si>
  <si>
    <t>Nutrient uptake by forest trees is dependent on ectomycorrhizal (EM) mycelia that grow out into the soil from the mycorrhizal root tips. We estimated the production of EM mycelia in root free samples of pure spruce and mixed spruce-oak stands in southern Sweden as mycelia grown into sand-filled mesh bags placed at three different soil depths (0-10, 10-20 and 20-30 cm). The mesh bags were collected after 12 months and we found that 590ñ70 kg ha -1 year-1 of pure mycelia was produced in spruce stands and 420ñ160 kg ha-1 year-1 in mixed stands. The production of EM mycelia in the mesh bags decreased with soil depth in both stand types but tended to be more concentrated in the top soil in the mixed stands compared to the spruce stands. The fungal biomass was also determined in soil samples taken from different depths by using phospholipid fatty acids as markers for fungal biomass. Subsamples were incubated at 20øC for 5 months and the amount of fungal biomass that degraded during the incubation period was used as an estimate of EM fungal biomass. The EM biomass in the soil profile decreased with soil depth and did not differ significantly between the two stand types. The total EM biomass in the pure spruce stands was estimated to be 4.8 ñ0.9?103 kg ha-1 and in the mixed stands 5.8 ñ1.1?103 kg ha-1 down to 70 cm depth. The biomass and production estimates of EM mycelia suggest a very long turnover time or that necromass has been included in the biomass estimates. The amount of N present in EM mycelia was estimated to be 121 kg N ha-1 in spruce stands and 187 kg N ha-1 in mixed stands. The ë13C value for mycelia in mesh bags was not influenced by soil depth, indicating that the fungi obtained all their carbon from the tree roots. The ë13C values in mycelia collected from mixed stands were intermediate to values from pure spruce and pure oak stands suggesting that the EM mycelia received carbon from both spruce and oak trees in the mixed stands. The ë15N value for the EM mycelia and the surrounding soil increased with soil depth suggesting that they obtained their entire N from the surrounding soil. ? Springer-Verlag 2004.</t>
  </si>
  <si>
    <t>Because soil is a major reservoir of terrestrial carbon and a potential sink for atmospheric CO2, determining plant inputs to soil carbon is critical for understanding ecosystem carbon dynamics. We present a modified method to quantify the effects of global climate change on plant inputs of carbon to soil based on 13C:12C ratio (ë 13C) analyses that accounts for isotopic fractionation between inputs and newly created soil carbon. In a four-year study, the effects of elevated CO2 and temperature were determined for reconstructed Douglas-fir (Pseudotsuga mensiezii (Mirb.) Franco) ecosystems in which native soil of low nitrogen content was used. The ë13C patterns in litter and mineral soil horizons were measured and compared to ë13C patterns in live needles, fine roots, and coarse roots. From regression analyses, we calculated the isotopic enrichment in 13C of newly incorporated soil carbon relative to needle and root carbon at 4? and 2?, respectively. These enrichments must be considered when using shifts in soil ë13C to calculate inputs of plant carbon into the soil, and are probably a major factor in the progressive enrichment in 13C with increasing depth in soil profiles. Relative to the total carbon in each layer, the proportion of new carbon from recent photosynthate in each soil layer was 13-15% in the A horizon, 7-9% in litter layers, and 4% in the B2 and C horizons. New carbon in the A horizon was estimated at 370 g C m-2. Carbon concentrations and new carbon in A horizons were correlated (r 2 = 0.78, n = 12), but with a slope of 0.356, indicating that about 36% of net carbon accumulation in the A horizon was from inputs via roots, root exudates or mycorrhizal fungi and 64% of carbon was derived from surface litter decomposition. Under the nitrogen-limited growth conditions used in this study, neither elevated CO2 nor temperature affected soil carbon sequestration patterns.</t>
  </si>
  <si>
    <t>Hobbie E.A., S nchez F.S., Rygiewicz P.T.</t>
  </si>
  <si>
    <t>Stable isotopes in fruit bodies from field studies have been used to infer ectomycorrhizal or saprotrophic status and to understand carbon and nitrogen use, but few controlled culture studies have correlated source and fungal isotopic patterns. Here, we measured natural abundances of 15N and 13C in ten strains of ectomycorrhizal fungi and seven strains of saprotrophic fungi grown on agar with three different primary carbon sources: glucose, glucose plus malt extract, and potato dextrose agar. Eight fungal strains were also grown using position-specific, 13C-labelled glucose (C-1 through C-6 labelled). Most fungi resembled nitrogen sources in ë15N, suggesting that growth on agar media minimizes isotopic fractionation on uptake compared to growth on liquid media, and that in general saprotrophic and mycorrhizal fungi process nitrogen similarly. Saprotrophic fungi were more depleted in 13C than ectomycorrhizal fungi on all media, presumably because of assimilation of 13C-depleted, agar-derived carbon. Results on 13C-enriched glucose indicated that saprotrophic fungi obtained up to 45 % of their carbon from the agar substrate. Fungi generally incorporated the individual carbon atoms of glucose in the order, C-4 &amp;lt; C-1 &amp;lt; C-2, C-3, C-5 &amp;lt; C-6, ranging from a mean of 9 % for the C-4 atom to 21 % for the C-6 atom. Based on these incorporation patterns and intramolecular 13C patterns within glucose, differential incorporation of carbon atoms within glucose among fungal taxa contributed less than 1? isotopic differences among taxa, whereas isotopic fractionation among taxa during metabolism varied up to 4?. Parallel studies of 13C-enriched and natural abundance substrates were crucial to interpreting our results.</t>
  </si>
  <si>
    <t>Root-deposited photosynthate (rhizodeposition) is an important source of readily available carbon (C) for microbes in the vicinity of growing roots. Plant nutrient availability is controlled, to a large extent, by the cycling of this and other organic materials through the soil microbial community. Currently, our understanding of microbial community dynamics associated with rhizodeposition is limited. We used a 13C pulse-chase labeling procedure to examine the incorporation of rhizodeposition into individual phospholipid fatty acids (PLFAs) in the bulk and rhizosphere soils of greenhouse-grown annual ryegrass (Lolium multiflorum Lam. var. Gulf). Labeling took place during a growth stage in transition between active root growth and rapid shoot growth on one set of plants (labeling period 1) and 9 days later during the rapid shoot growth stage on another set of plants (labeling period 2). Temporal differences in microbial community composition were more apparent than spatial differences, with a greater relative abundance of PLFAs from gram-positive organisms (i15:0 and a15:0) in the second labeling period. Although more abundant, gram-positive organisms appeared to be less actively utilizing rhizodeposited C in labeling period 2 than in labeling period 1. Gram-negative bacteria associated with the 16:1?5 PLFA were more active in utilizing 13C-labeled rhizodeposits in the second labeling period than in the first labeling period. In both labeling periods, however, the fungal PLFA 18:2?6,9 was the most highly labeled. These results demonstrate the effectiveness of using 13C labeling and PLFA analysis to examine the microbial dynamics associated with rhizosphere C cycling by focusing on the members actively involved.</t>
  </si>
  <si>
    <t>Persson J., H”gberg P., Ekblad A., H”gberg M.N., Nordgren A., N„sholm T.</t>
  </si>
  <si>
    <t>? Whereas mycorrhizal fungi are acknowledged to be the sources of nitrogen (N) and carbon (C) in achlorophyllous (myco-heterotrophic) orchids, the sources of these elements in autotrophic orchids are unknown. We have determined the stable isotope abundance of N and C to quantify their gain from different sources in these two functional groups and in non-orchids of distinctive mycorrhizal types. ? Leaves of each plant were collected from four forest and four grassland sites in Europe. The N and C isotope abundance, and total N concentrations of their tissues and of associated soils were determined. ? Myco-heterotrophic orchids were significantly more enriched in 15N (îMHO-R = 11.5?) and 13C (îMHO-R = 8.4?) than co-occurring non-orchids. ë15N and ë13C signatures of autotrophic orchids ranged from values typical of non-orchids to those more representative of myco-heterotrophic orchids. ? Utilization of fungi-derived N and C probably explains the relative 15N and 13C enrichment in the myco-heterotrophs. A linear two-source isotopic mixing model was used to estimate N and C gain of autotrophic orchids from their fungal associates. Of the putatively autotrophic species, Cephalanthera damasonium obtained the most N and C by the fungal route, but several other species also fell into the partially myco-heterotrophic category. ? New Phytologist (2003).</t>
  </si>
  <si>
    <t>ë13C; ë15N; Forest; Grassland; Myco-heterotrophy; Mycorrhiza; Orchids; Stable isotopes</t>
  </si>
  <si>
    <t>Lerat S., Lapointe L., Pich‚ Y., Vierheilig H.</t>
  </si>
  <si>
    <t>Bhupinderpal-Singh, Nordgren A., L”fvenius M.O., H”gberg M.N., Mellander P.-E., H”gberg P.</t>
  </si>
  <si>
    <t>Limitations in available techniques to separate autotrophic (root) and soil heterotrophic respiration have hampered the understanding of forest C cycling. The former is here defined as respiration by roots, their associated mycorrhizal fungi and other micro-organisms in the rhizosphere directly dependent on labile C compounds leaked from roots. In order to separate the autotrophic and heterotrophic components of soil respiration, all Scots pine trees in 900 m2 plots were girdled to instantaneously terminate the supply of current photosynthates from the tree canopy to roots. H”gberg et al. (Nature 411, 789-792, 2001) reported that autotrophic activity contributed up to 56% of total soil respiration during the first summer of this experiment. They also found that mobilization of stored starch (and likely also sugars) in roots after girdling caused an increased apparent heterotrophic respiration on girdled plots. Herein a transient increase in the ë13C of soil CO2 efflux after girdling, thought to be due to decomposition of 13C-enriched ectomycorrhizal mycelium and root starch and sugar reserves, is reported. In the second year after girdling, when starch reserves of girdled tree roots were exhausted, calculated root respiration increased up to 65% of total soil CO2 efflux. It is suggested that this estimate of its contribution to soil respiration is more precise than the previous based on one year of observation. Heterotrophic respiration declined in response to a 20-day-long 6øC decline in soil temperature during the second summer, whereas root respiration did not decline. This did not support the idea that root respiration should be more sensitive to variations in soil temperature. It is suggested that above-ground photosynthetic activity and allocation patterns of recent photosynthates to roots should be considered in models of responses of forest C balances to global climate change.</t>
  </si>
  <si>
    <t>Foraging strategies, the cost-benefit associated with the search for new resources, have only begun to be explored in arbuscular mycorrhizal fungi (AMF). We show the use of 13C-labelling, via shoot photosynthesis, of the 16:1?5 fatty acid biomarker (the dominant and rather specific fatty acid in AMF storage lipids) to study the immediate patterns of carbon allocation to fungal lipids in response to inorganic and organic nutrient amendments. Signature fatty acid measurements, the incorporation of the label and complementary hyphal length density measurements showed that the extraradical mycelium of AMF proliferated in response to all the amendments provided whereas its development into unamended sand was minor in all treatments. We demonstrate the foraging capacity of AMF, linked to plant carbon, through their hyphal proliferation and accumulation of energy reserves. ? 2003 Federation of European Microbiological Societies. Published by Elsevier Science B.V. All rights reserved.</t>
  </si>
  <si>
    <t>Catford J.-G., Staehelin C., Lerat S., Pich‚ Y., Vierheilig H.</t>
  </si>
  <si>
    <t>Lerat S., Lapointe L., Gutjahr S., Pich‚ Y., Vierheilig H.</t>
  </si>
  <si>
    <t>Root carbon (C) partitioning in two host plant species colonized by one of three arbuscular mycorrhizal (AM) fungal species was investigated. Split-root systems of barley (Hordeum vulgare) and sugar maple (Acer saccharum) were inoculated on one side with one of three AM fungi. Leaves were labelled with 14CO2 3 wk after inoculation. Plants were harvested 24 h later and the root systems from the mycorrhizal (M) and nonmycorrhizal (NM) sides were analysed separately for 14C. Partitioning of 14C between M and NM sides varied depending on the fungal and host plant species used. Gigaspora rosea showed a strong C-sink capacity with both plant species, Glomus intraradices showed a strong C-sink capacity with barley, and Glomus mosseae did not affect 14C partitioning. The C-sink strength of the M barley roots inoculated with G. rosea or G. intraradices was linearly correlated with the degree of colonization. The use of three AM fungal and two plant species allowed us to conclude that C-sink strength of AM fungi depends on both partners involved in the symbiosis. ? New Phytologist (2003).</t>
  </si>
  <si>
    <t>Plant growth, nutrient uptake, microbial biomass and activity were studied in pot systems containing spruce seedlings colonised with different ectomycorrhizal fungi from an ash-fertilised forest. The seedling root systems were enclosed in mesh bags inside an outer compartment containing crushed, hardened wood ash. Three different species of mycorrhizal fungi and a non-mycorrhizal control were exposed to factorial combinations of ash and N addition. Ash treatment had a highly significant, positive effect on plant growth and on shoot and root concentrations of K, Ca and P, irrespective of mycorrhizal status. Mycorrhizal inoculation had a significant effect on plant growth, which was proportionally greater in the absence of ash. N addition had a significant positive effect on plant biomass in mycorrhizal treatments with ash, but no effect in non-mycorrhizal treatments or most of the mycorrhizal treatments without ash. Piloderma sp. 1, which was earlier found to colonise wood ash granules in field studies, appeared to accumulate Ca from ash in the mycorrhizal roots. 5-6.7% of the total P in the ash was solubilised, with 0.9-1.5% in solution, 3.6-4.6% in the plants and 0.5-1.5% in microbial biomass. Bacterial activity as determined by [3H]-thymidine and [14C]-leucine incorporation was significantly greater in ash treatments than in controls with no ash addition. Principal component analysis (PCA) of phospholipid fatty acids (PLFAs) showed a clear difference in bacterial community structure between samples collected from ash-treated pots and controls without ash. ? 2002 Federation of European Microbiological Societies. Published by Elsevier Science B.V. All rights reserved.</t>
  </si>
  <si>
    <t>The capture of nitrogen (N) by plants from N-rich complex organic material differing in spatial (uniform dispersion or discrete patches) heterogeneity was measured, as well as the subsequent impact on N capture of the addition of a mycorrhizal inoculum (Glomus hoi). ? The organic material was dual-labelled with 15N and 13C to follow plant uptake of N (as 15N) and to determine the amounts of original 13C and 15N which remained in the soil at harvest. The organic material was added to microcosm units containing Lolium perenne or Plantago lanceolata in intra or interspecific competition. ? Plant N capture from the dispersed organic material was more than twice that from the discrete patch (dispersed: 17%; discrete: 8%). There was no effect of species composition or the mycorrhizal inoculum on total plant N capture except when in interspecific plant competition. Here, N capture was dependent on the root length produced and was always higher when the mycorrhizal inoculum was present. ? Mycorrhizal colonization increased N capture from the organic material when in interspecific plant competition but not in monoculture.</t>
  </si>
  <si>
    <t>Soil organic matter (SOM) is a key component of soil that greatly influences its structure and productivity, as well as aggregate stability. High soil aggregate stability translates to less soil erosion and hence lessens the likelihood of non-point-source water pollution. Repeated evidences of arbuscular mycorrhizal fungi increasing soil aggregate stability led to the rather accidental discovery of a soil protein called glomalin produced in abundance by the hyphae of these fungi. In the course of time, glomalin detaches from the hyphae, moves into the soil, and becomes a distinct componet of the SOM. Although the structure of glomalin remains unknown to date, research has revealed that it may comprise as much as 2% of soil by weight and 30% of soil carbon. Compared to glomalin, the traditional components of SOM, humic and fulvic acids, typically average 0.1% by soil weight and 5-10% of soil carbon. Glomalin is uncommonly tough and acts as a glue to hold the soil particles together. Studies on soils from differing locations and management practices have demonstrated the overall abundance and uncommonly high stability of glomalin, as well as an overwhelming positive correlation between glomalin content and soil agregation. Research has also identified the potential for glomalin in the role of carbon sequestration. Despite the significant amount of research that has been performed on glomalin in soils since its discovery in 1996, there is still a world of unknowns about this unique soil protein. Determining the structure of glomalin, as well as those environmental conditions that drive its presence in soils, will govern the future direction of glomalin research. ? 2003. The American Association of Petroleum Geologists/Division of Environmental Geosciences. All rights reserved.</t>
  </si>
  <si>
    <t>Ruess R.W., Hendrick R.L., Burton A.J., Pregitzer K.S., Sveinbjornss”n B., Allen M.F., Maurer G.E.</t>
  </si>
  <si>
    <t>Fine root processes play a prominent role in the carbon and nutrient cycling of boreal ecosystems due to the high proportion of biomass allocated belowground and the rapid decomposition of fine roots relative to aboveground tissues. To examine these issues in detail, major components of ecosystem carbon flux were studied in three mature black spruce forests in interior Alaska, where fine root production, respiration, mortality and decomposition, and aboveground production of trees, shrubs, and mosses were measured relative to soil CO2 fluxes. Fine root production, measured over a two-year period using minirhizotrons, varied from 0.004 ñ 0.001 mmúcm -2úd-1 over winter, to 0.051 ñ 0.015 mmúcm-2úd-1 during July, with peak growing season values comparable to those reported for many temperate forests using similar methods. On average, 84% of this production occurred within 20 cm of the moss surface, although the proportion occurring in deeper profiles increased as soils gradually warmed throughout the summer. Monthly rates of production and mortality were somewhat asynchronous because mortality tended to peak during fall and be minimal during periods of peak production. Production and mortality were, however, positively correlated across all tubes and time periods. Annual fine root production averaged 2.45 ñ 0.31, 8.01 ñ 1.39, and 2.53 ñ 0.27 mmúcm-2úyr-1 (means ñ 1 SE) among the three sites, when averaged across years. Fine root survival and decomposition were measured by tracking and analyzing the fate of individual fine roots using mark-recapture techniques. Fine root survival was greatest during periods of peak root growth, and least over winter (ètime). Roots first appearing in the middle of the growing season had higher survival rates than those first appearing early or late in the growing season, or over winter (ècohort), and risk of mortality decreased with root age (èage). Survival estimates translate to mean life spans of 108 ñ 4 d during the growing season. While these values are in striking contrast to needle longevity and rates of aboveground litter decomposition, they are similar to many values found for temperate systems, supporting the notion that there are basic morphological and physiological traits of first-order roots that are common to most woody plant root systems. During the growing season, monthly fine root decomposition rates averaged 0.46 ñ 0.01 per month, while decomposition rates over winter averaged 0.73 ñ 0.01 per winter. These growing season estimates translate to 49 ñ 2 d from the time a root was first observed as dead, to the time it disappeared. For roots that decomposed during the growing season, those with longer life spans decomposed more slowly after death. Comparing these results with other minirhizotron studies suggests that life-history traits of black spruce first-order roots are similar to those from temperate (and perhaps most) forest ecosystems. Annual production of fine roots averaged 228 ñ 75 g biomassúm-2úyr-1, constituting ?56% of total stand production. Aboveground production of trees (50 ñ 14 g biomassúm-2úyr-1, 13%) and shrubs (40 ñ 2 g biomassúm-2úyr -1, 11%) contributed similarly to total production, while mosses (73 ñ 14 g biomassúm-2úyr-1, 20%) accounted for the largest component of aboveground production. Soil temperature had a strong control over both soil respiration (Q10 = 2.21 ñ 0.31) and root respiration (Q10 = 2.30 ñ 0.37). During the growing season (15 May to 15 September), ?56% of soil CO2 efflux (580 ñ 40 g C/m2) was derived from fine root respiration (329 ñ 54 g C/m2). Although apparent rates of heterotrophic respiration (May through September) and total production did not differ, definitive estimates of net ecosystem production are impossible given the potentially large, unmeasured components of NPP (net primary production), such as root exudation and mycorrhizal production. Nevertheless, rates of fine root production, mortality, and decomposition indicate that in these black spruce ecosystems, fine roots are much more dynamic than would be predicted from patterns of aboveground processes, and that carbon, and presumably nutrients, are cycling through fine roots at rates several orders of magnitude faster than through aboveground tissues.</t>
  </si>
  <si>
    <t>In the N-limited alpine tundra, plants may utilize a diversity of N sources (organic and inorganic N) in order to meet their nutritional requirements. To characterize species-level differences in traits related to N acquisition, we analyzed foliar ë15N, nitrate reductase activity (NRA) and mycorrhizal infection in co-occurring alpine species during the first half of the growing season and compared these traits to patterns of N uptake using a 15N (15N-NH4+, 15N-NO3-) or 13C, 15N ([1]- 13C-15N-glycine) tracer addition in the greenhouse. 13C enrichment in belowground tissue indicated that all species were capable of taking up labeled glycine, although only one species showed uptake of glycine potentially exceeding that of inorganic N. Species showing the most depleted foliar ë15N and elevated NRA in the field also tended to show relatively high rates of NO3- uptake in the greenhouse. Likewise, species showing the most enriched foliar ë15N also showed high rates of NH4+ uptake. The ratio of NO3-:NH4+ uptake rates and growth rate explained 64% and 72% of the variance in foliar ë15N, respectively, suggesting that species differ in the ability to take up NO3- and NH4+ in the field and that such differences may enable species to partition soil N on the basis of N form.</t>
  </si>
  <si>
    <t>Lerat S., Gauci R., Catford J.G., Vierheilig H., Pich‚ Y., Lapointe L.</t>
  </si>
  <si>
    <t>The ectomycorrhizal hymenomycete Thelephora terrestris was grown in synthetic pure culture and the production of extracellular polysaccharide was monitored. The exopolysaccharides were prepared by ethanol precipitation and then fractionated into two components using a DEAE-Sepharose column. A neutral fraction (NeP) was fractionated on Sepharose CL-6B, which resulted in three peaks: NeP1, NeP2 and NeP3. NeP1 was filtered through an exclusion membrane and two polysaccharides were obtained (fractions: NeA, NeB). Fraction NeB was submitted to methylated derivatives and 1H-, 13C- and 2D NMR spectroscopic analyses. These analyses showed a main chain of a (1?6)-linked à-D-Manp units substituted at O-2 by a variety of side chains containing à-Fucp, ?-Xylp and ?-Galp residues. The main fraction corresponds to mannan as shown by methylation analysis. Size exclusion chromatography (HPSEC-MALLS) of fraction NeB showed a main component of 15.0 kDa. It contained mannose, galactose, fucose and xylose in a molar ratio of 50:29:11:10. The fractions NeP2 and NeP3 were characterised as a (1?6)-linked ?-glucan (pustulan) and (1?3)-linked ?-glucan, respectively. ? 2002 Federation of European Microbiological Societies. Published by Elsevier Science B.V. All rights reserved.</t>
  </si>
  <si>
    <t>The influence of external phosphorus (P) on carbon (C) allocation and metabolism as well as processes related to P metabolism was studied in monoxenic arbuscular mycorrhiza cultures of carrot (Daucus carota). Fungal hyphae of Glomus intraradices proliferated from the solid minimal medium containing the colonized roots into C-free liquid minimal medium with different P treatments. The fungus formed around three times higher biomass in P-free liquid medium than in medium with 2.5 mM inorganic P (high-P). Mycelium in the second experiment was harvested at an earlier growth stage to study metabolic processes when the mycelium was actively growing. P treatment influenced the root P content and [13C]glucose administered to the roots 7 d before harvest gave a negative correlation between root P content and 13C enrichment in arbuscular mycorrhiza fungal storage lipids in the extraradical hyphae. Eighteen percent of the enriched 13C in extraradical hyphae was recovered in the fatty acid 16:1?5 from neutral lipids. Polyphosphate accumulated in hyphae even in P-free medium. No influence of P treatment on fungal acid phosphatase activity was observed, whereas the proportion of alkaline-phosphatase-active hyphae was highest in high-P medium. We demonstrated the presence of a motile tubular vacuolar system in G. intraradices. This system was rarely seen in hyphae subjected to the highest P treatment. We concluded that the direct responses of the extraradical hyphae to the P concentration in the medium are limited. The effects found in hyphae seemed instead to be related to increased availability of P to the host root.</t>
  </si>
  <si>
    <t>The movement of carbon from plants into their natural communities of arbuscular-mycorrhizal (AM) fungi was investigated, Mesh-bound cores, which allowed in-growth of AM mycelium to be controlled but excluded roots, were inserted into turf monoliths removed from an upland grassland and were exposed to 14CO2. Flux of 14C-labelled carbon from plants to hyphae of AM fungi for 70 h post-labelling was measured by (a) trapping CO2 released from soil cores containing AM hyphae linked to the plants compared to cores from which AM hyphal connections to the plant roots had been severed, and (b) quantification of the total amount of 14C in the cores. Release of 14CO2 from the cores colonised by active AM mycelium was highest for 0-28 h from the onset of labelling and declined rapidly thereafter. The amount of 14C allocated into mycorrhizal mycelium 0-70 h after labelling accounted for 3.4% of the 14C initially fixed by the plants. The results confirm the rapidity of photosynthate allocation to AM mycelium and demonstrate the importance of the short-term dynamics of C fluxes in undisturbed grasslands. ? 2002 Elsevier Science Ltd. All rights reserved.</t>
  </si>
  <si>
    <t>Measurements of 13C in fungal sporocarps are useful in assessing mycorrhizal or saprotrophic status. Because 14C measurements can indicate the age of fungal carbon (C) and mycorrhizal fungi depend closely on recent photosynthate, 14C may provide additional insight into possible mycorrhizal status. Sporocarps, needles, and litter from Woods Creek, OR, USA together with archived sporocarps were measured for 14C content by accelerator mass spectrometry. Known mycorrhizal fungi resembled current-year needles (Amanita, Cantharellus and Gomphidius) or atmospheric CO2 (Tuber) in 14C and indicated an average age of 0-2 yr for incorporated C, whereas saprotrophic genera (Pleurocybella, Lepiota and Hypholoma) were composed of C at least 10 yr old. Of genera tentatively considered mycorrhizal from previous work with 13C, only Otidia and Sowerbyella appeared mycorrhizal from 14C measurements, whereas Aleuria, Clavulina, Paurocotylis and Ramaria (sensu lato) consisted of older carbon and were presumably saprotrophic. 14C clearly separated known mycorrhizal or saprotrophic fungi and indicated 13C measurements should be interpreted cautiously on species of unknown status. 14C results for needles and mycorrhizal fungi suggested that C sources other than atmospheric CO2 may contribute small amounts of C. Possible sources include storage of carbohydrates and amino acids, organic nitrogen uptake, and incorporation of soil-respired CO2 by anaplerotic or photosynthetic pathways. ? New Phytologist (2002).</t>
  </si>
  <si>
    <t>A research study has been performed in a natural soil of Senegal to follow the development of four provenances of Acacia mangium inoculated with an ectomycorrhizal fungus Pisolithus sp. (strain COI024) and/or a Bradyrhizobium sp. isolate (Aus 13c), to evaluate the impact of these symbioses on the microbial biomass and on the indigenous rhizobial and fungal symbiotic microflora and to determine the impact of these controlled inoculations on the structure of nematode communities. The results showed that the dual inoculation significantly improved plant growth for all provenances. When the plants were transferred into 20 1 pots filled with a non-sterilized soil, the positive effect on the plant growth of the dual inoculation disappeared and no significant difference was recorded between the plants inoculated with the fungus alone and those inoculated with both Bradyrhizobium and the ectomycorrhizal fungus. However, the microbial biomass, the nitrogen contents, the number of nodules per plant and the structure of the nematode communities were significantly influenced by the A. mangium provenances and the microbial treatments. The impact of controlled mycorrhization of different A. mangium provenances on soil biofunctioning is discussed in terms of plant growth, microbial and nematode biodiversity. ? 2002 Elsevier Science B.V. All rights reserved.</t>
  </si>
  <si>
    <t>The flux of pulse-derived 13C from upland pasture plants to the external mycelium of their arbuscular mycorrhizal (AM) symbionts was traced and quantified over a 7-d post-labelling period. Mesh cores, which allowed in-growth of native AM mycelium but were impenetrable to roots, were inserted into unlimed and limed plots and the surrounding vegetation was exposed to 13CO2 at ambient CO2 concentrations. Release of 13CO2 from cores colonized by AM mycelium peaked 9-14 h after labelling and declined within 24 h after severance of mycelial connections to roots. Between 5 and 8% of carbon lost by plants was respired by AM mycelium over the first 21 h after labelling. Liming increased the amount of carbon fixed by plants and subsequently allocated to fine roots and AM mycelium. The results demonstrate for the first time under field conditions that AM mycelia provide a rapid and important pathway of carbon flux from plants to the soil and atmosphere. ? New Phytologist (2002).</t>
  </si>
  <si>
    <t>Bidartondo, M.I., Ek, H., Wallander, H., S”derstr”m, B.</t>
  </si>
  <si>
    <t>Critical consideration of varied Phanerozoic climatic models, and comparison of them against Phanerozoic global climatic gradients revealed by a compilation of Cambrian through Miocene climatically sensitive sediments (evaporites, coals, tillites, lateritic soils, bauxites, calcretes, etc.) suggests that the previously postulated climatic models do not satisfactorily account for the geological information. Nor do many climatic conclusions based on botanical data stand up very well when examined critically. Although this account does not deal directly with global biogeographic information, another powerful source of climatic information, we have tried to incorporate such data into our thinking wherever possible, particularly in the earlier Paleozoic. In view of the excellent correlation between CO2 present in Antarctic ice cores, going back some hundreds of thousands of years, and global climatic gradient, one wonders whether or not the commonly postulated Phanerozoic connection between atmospheric CO2 and global climatic gradient is more coincidence than cause and effect. Many models have been proposed that attempt to determine atmospheric composition and global temperature through geological time, particularly for the Phanerozoic or significant portions of it. Many models assume a positive correlation between atmospheric CO2 and surface temperature, thus viewing changes in atmospheric CO2 as playing the critical role in regulating climate/temperature, but none agree on the levels of atmospheric CO2 through time. Prior to the relatively recent interval of time in which atmospheric CO2 is directly measurable, a variety of biological and geological proxies have been proposed to correlate with atmospheric CO2 level or with pCO2/temperature. Atmospheric models may be constructed for the Pre-Cenozoic but the difficulties of assessing variables in their construction are many and complex. None of the modelers have gathered enough biological and geological data to impart reliability to the model constructs. Most modelers focus almost exclusively on one or a few variables as proxy to measure atmospheric CO2, nor consider the many other variables involved, nor agree on what these variables are or how to measure them. In this paper, it is the reliability of the present data bases used in these atmospheric models that we wish to consider. We focus most attention on the Berner models, such as GEOCARB I, II and BLAG, because of the basic role they attribute to tracheophytes in regulating atmospheric CO2 and our own interest in pre-tracheophytic land plants and the atmospheric composition of the pre-tracheophytic Paleozoic. We survey the presence of symbiotic mycorrhizae and question the assumption that all tracheophytes are obligately associated with them. Although pre-tracheophytic embryophytes, cyanobacteria, and possibly other organisms preceded tracheophytes on land by millions of years, Berner's models do not consider a significant role for them in affecting pre-Devonian climate/temperature and atmospheric composition. In effect, Berner assumes that pre-tracheophytic life inhabited a world governed largely by abiotic physical and chemical reactions. We consider uncertainties raised by minimizing possible roles for pretracheophytic oxygenic and heterotrophic microorganisms analogous to those speculated to be unique to tracheophytes both with regard to an active role in biodeterioration of rock and soil mineral substrates and in the sequestration of organic carbon. Additionally, Berner does not consider marine productivity, which might have been high in the Precambrian and Early Paleozoic and possibly consequent organic carbon sequestration, even in the possible absence of terrestrial organisms, or even in the absence of a significant preserved biomass of terrestrial and marine organisms. The important roles played by cyanobacteria, for example, are briefly reviewed by Giller and Malmqvist in lakes and rivers as regards both planktonic and benthic taxa, and it is not safe to assume that these organisms were absent or of no potential significance in the pre-embryophytic, i.e. earlier Ordovician and well back into the Precambrian. Berner's models have met with a large measure of consensus about CO2 balance during the Phanerozoic, about the role played by tracheophytes, and have been used to test or evaluate other data. After reviewing the biological and geological assumptions and estimates on which these Models are based, we conclude that they do not provide reliable information about atmospheric CO2 composition through Phanerozoic time, particularly in the Early Phanerozoic. We compare many atmospheric CO2 models, while considering the numerous proxies on which they are based and conclude that the competing models are inadequate for atmospheric CO2 estimation. Many possibilities not considered in present models must either be included or eliminated based on reliable evidence. We suggest that assessing Phanerozoic climate/temperature based on the available geological/climatic proxies would appear to provide a more reliable method of estimating variations in CO2, and hence atmospheric CO2:O2 balance, than most proxy constructs on which atmospheric models are presently based, because of the critical role postulated for atmospheric CO2 in regulating Earth's surface temperature. We present our own Phanerozoic climate estimate, based on readily available geological/climatic data, for comparison with postulated coeval atmospheric CO2 levels as a test of the postulated correlation. ? 2001 Elsevier Science B.V. All rights reserved.</t>
  </si>
  <si>
    <t>Persson J., N„sholm T.</t>
  </si>
  <si>
    <t>In this study, we present a rapid, robust and sensitive method for quantification of plant amino acid uptake using universally (U) (13C, 15N)-labelled amino acids and gas chromatography-mass spectrometry (GC-MS). Amino acids were analysed as their tert-butyldimethylsilyl (tBDMS) derivatives and displayed detection limits in the range 10-100 fmol on column, depending on the amino acid. The technique allows for simultaneous detection and quantification of both unlabelled and isotopically labelled species of amino acids. This makes simple quantification of plant amino acid uptake from an isotopically labelled source possible. The analytical variation was low, concerning total amino acid concentrations (relative standard deviation, RSD, less than 5.3%) as well as enrichment of U-13C, 15N-labelled glycine (Gly), arginine (Arg) and glutamic acid (Glu) (RSD &amp;lt; 2.1%). An application of the GC-MS method was conducted on non-mycorrhizal Pinus sylvestris roots supplied with U-13C, 15N-labelled amino acids. Intact, labelled amino acids were traced in root extracts. This provided conclusive evidence of plant root uptake of intact amino acids. Uptake rates of the three amino acids Gly, Glu and Arg in the range 0.5-37.9 ?mol g-1 dry weight h-1 were recorded. These rates are comparable with those recorded in earlier studies of amino acid uptake, using other methods, as well as uptake rates measured for nitrate and ammonium.</t>
  </si>
  <si>
    <t>To quantify and characterize N and C isotopic fractionation effects due to fungal transformation of organic substrates in forest ecosystems, we performed a field study in California and a meta-analysis of three additional studies conducted by others across the Northern Hemisphere. Basidiomycete fungal biomass was consistently enriched for the heavier isotope for C relative to substrate and either enriched or depleted for N relative to atmospheric N. Extent and pattern of fractionation was very variable, but the distinction between ectomycorrhizal and saprotrophic basidiomycetes was strongly supported, particularly when dual isotope analyses were performed. This differentiation, which we call the "EM-SAP Divide" holds for studies within a restricted ecosystem, but becomes less distinct over larger geographical regions, removing the rationale for using direct isotopic values from single specimens as diagnostic of ecophysiological role. For C, the EM-SAP Divide seems to reflect substrate effects, potentially due to differential access to recently synthesized versus recycled organic compounds, rather than distinct physiological pathways. Once substrate and ecophysiological role effects are removed, our meta-analysis suggests the existence of more than one mechanism causing C fractionations in fungi which is found equally in ectomycorrhizal and saprotrophic fungi. Similarly, a multimodal distribution of ë15N values suggests that physiological effects may play a much stronger influence on N natural isotopic distributions in fungi. Our meta-analysis provides a firm statistical base to evaluate fungal ecological statements based on natural isotopic distributions of C and N. We call into question the current practice of using direct isotopic measurements to make statements about trophic relationships of fungi in the absence of other supporting evidence.</t>
  </si>
  <si>
    <t>The contribution of different arbuscular mycorrhizal fungi (AMF) to nutrient capture from an organic patch, and the subsequent impact on root proliferation was investigated. Organic patches were created with glycine labelled with 15N and 13C. This allowed decomposition (as 13CO2 release) and uptake of nutrients (as 13C and 15N enrichments in the plant tissues) to be followed. Changes in root responses were followed in situ by the use of minirhizotrons and compared to responses in control (H2O) patches. Although there were differences in internal colonization and external mycelium production among the three AMF tested, none of the fungi responded to the presence of the glycine patch, and N and C capture was no different to uncolonized controls. However, the presence of glycine affected the manner in which colonized roots responded, particularly below the patch. The presence of AMF affected the decomposition of glycine. Root responses to the presence of N-rich patches appear more important than AMF responses. ? New Phytologist.</t>
  </si>
  <si>
    <t>The effect of clipping of the host-plant shoot on the sources of carbon and nitrogen for the arbuscular mycorrhizal (AM) fungus Gigaspora margarita was determined by measuring 13C in spores and hyphae in co-cultures of C3 and C4 plants and by differential 15N labeling. C3 and C4 plants, which have different ë13C values, were grown in the same container separated by a series of hyphal compartments. The C3 and C4 plants were applied with 14N- and 15N-urea, respectively. After clipping of the C3 shoots, spore ë13C gradually approached that of the C4 roots. Hyphal ë13C paralleled that of spores. Spore % 15N was similar to that of mineral N in the C4 plant compartment. Thus C in G. margarita coming from the clipped plants decreased with time. This demonstrates that C in AM fungi comes from living plants, whilst the N in spores comes mostly from the soil.</t>
  </si>
  <si>
    <t>ë13C; 15N; Arbuscular mycorrhizal fungi; Clipping</t>
  </si>
  <si>
    <t>In Sweden application of granulated wood ash has been suggested as a method to supplement nutrient loss resulting from harvesting of forest residues for bioenergy production. Mycelia of two ectomycorrhizal fungi Piloderma sp. 1 and Ha-96-3, were commonly found to colonise ash granules in a wood ash fertilised spruce forest. Thirty-eight fungal isolates were selected from 10 taxa to investigate the possible role of different ectomycorrhizal fungi in nutrient mobilisation from ash. The taxa were Cenococcum geophilum Fr., Piloderma croceum Erikss. and Hjortst., Piloderma sp. 1, Thelephora terrestris (Ehrenb.) Fr., Tylospora fibrillosa Donk, and five unidentified species, all originating from a wood ash fertilised spruce forest. The isolates were tested for their ability to solubilise tricalcium phosphate (TCP) or hardened wood ash (HWA) in vitro. Ha-96-3, P. croceum and Piloderma sp. 1 were the only taxa which solubilised TCP. Abundant calcium oxalate crystals were formed in TCP and HWA plates with Piloderma sp. 1. Ha-96-3 and two isolates of P. croceum produced intermediate amounts of crystals. Ha-96-1 and T. fibrillosa produced low amounts of crystal but no crystal formation was observed by any of the other isolates. Piloderma sp. 1 from HWA plates had significantly higher concentrations of P, compared to P. croceum or Ha-96-3. Piloderma sp. 1 and P. croceum were further tested for their ability to colonise wood ash in microcosms containing intact mycorrhizal associations. After 7 months Piloderma sp. 1 colonised ash amended patches with a dense, mat like mycelium, whereas P. croceum mycelia avoided the ash patches. Possible differences between these fungi in patterns of carbon allocation were investigated by labelling seedlings with 14CO2. Piloderma sp. 1 mycelia allocated significantly more 14C to ash patches than P. croceum. P. croceum allocated relatively more 14C to control patches than to the ash patches. The possible role of ectomycorrhizal fungi in mobilisation of nutrients from wood ash is discussed. ? 2001 Federation of European Microbiological Societies.</t>
  </si>
  <si>
    <t>? Movement of 14C-labeled photosynthetic products via ectomycorrhizal mycelia linking seedlings of Pinus densiflora is investigated here, a process which may have the potential to be highly ecologically significant. ? Paired seedlings linked by hyphae of either an unidentified ectomycorrhizal fungus designated T01 or Pisolithus tinctorius were prepared by arranging mycorrhizal and nonmycorrhizal seedlings in an observation rhizobox and allowing mycelial links to form. Shoots of the initially mycorrhizal seedling were photosynthetically labeled with 14CO2 and movement of 14C chased by time-course autoradiography. ? Within 3 d, 14C was transferred to mycelia and mycorrhizas formed on the unlabeled seedling, but little 14C was subsequently transferred to the roots and shoots. The reverse movement of label was also demonstrated. Mycelial fans of T01, with greater hyphal density, accumulated more 14C than mycelia of P. tinctorius, whereas higher radioactivity was detected in hyphal strands than in the mycelial front of P. tinctorius. ? Ectomycorrhizas and mycelia are strong sinks for photosynthetic products, and C transfer can occur bi-directionally in the mycelia. However, as yet no direct evidence indicates any benefit to receiver plants and, thus, supplementary supply of C to understory individuals may not be ecologically significant.</t>
  </si>
  <si>
    <t>™hlund J., N„sholm T.</t>
  </si>
  <si>
    <t>The objective of this study was to investigate the phytoremediation potential of mycorrhizal systems for the remediation of aldrin-contaminated soils. Feltleaf willow (Salix alaxensis) and balsam poplar (Populus balsamifera) were grown in soil spiked with 0.8 mg/kg aldrin- (1,2,3,4,10-14C). Daconil2787? was employed to suppress indigenous mycorrhizal infection. After 100 days of greenhouse incubation, mycorrhizal infection in the fungicide-amended willows was found to be 2.5 fold lower than in controls. Mycorrhizal infection in the poplar systems was unaffected by fungicide addition. Mycorrhizae were correlated with radiolabel uptake in the willow systems (r = 0.79), and not as strongly in the poplar systems (r = 0.58). Most of the radiolabel in the root material was bound product regardless of mycorrhizal infection, but 12 to 21% was found to be extractable dieldrin. Aldrin was not detected in any vegetative matrix. Dieldrin constituted less than 1% of the radiolabel in the willow leaf material, accumulating to approximately 5 ?g/kg. Dieldrin was not detected in the poplar leaves (MDL ÷ 1 ?g/kg), although the poplars took up approximately the same amount of radiolabel as the willows Water-soluble transformation products were formed in the vegetated soils (6 to 12%) and nonvegetated controls (1 to 2%).</t>
  </si>
  <si>
    <t>The objective of this study was to investigate the effects of mycorrhizal infection on vegetative uptake of polychlorinated biphenyls. Feltleaf willow (Salix alaxensis) and balsam poplar (Populus balsamifera) were grown in soil spiked with 6 mg/kg 3,3?,4,4?-tetrachlorobiphenyl-(UL-14C). The fungicide Daconil2787? was employed to suppress indigenous mycorrhizal infection. After 100 days of greenhouse incubation in semienclosed phytoreactors, mycorrhizal infection was found to be approximately threefold higher in the untreated willows vs. the fungicide-amended willows. Radiolabel uptake was found to correlate most highly with mycorrhizal infection in the willow roots (R = 0.83). Over the same time period, mycorrhizal infection in the poplars was not significantly affected by fungicide addition. In the poplar phytoreactors, radiolabel uptake was most highly correlated with water use (R = 0.70). The overall vegetative radiolabel uptake was low (÷ 1%), but the limited uptake was attributed to soil sorption processes rather than vegetative limitations.</t>
  </si>
  <si>
    <t>3,3?,4,4?-tetrachlorobiphenyl; Ectomycorrhizae; Phytoremediation; Polychlorinated biphenyls</t>
  </si>
  <si>
    <t>The use of monoxenic cultures of the obligately biotrophic vesicular arbuscular fungus Glomus intraradices now permits investigation of the lipid metabolism of this organism. In bicompartmental culture plates, sporulating extraradical hyphae can be obtained, totally free of roots, and then provided with 14C-acetate as lipid precursor. Three experimental stages were studied: i) stage A, symbiotic stage corresponding to the fungus still attached to the host plant roots, ii) stage B, consisting of the fungus detached from the host roots, iii) stage C, germinating spores. In each case, the fungus proved to be able to synthesise its own lipids: 1,2- and 1,3-diacylglycerols, triacylglycerols, phospholipids, sterols and free fatty acids, de novo. Lipid metabolism varied with the experimental conditions. Phospholipid synthesis was intensive in germinating spores. Thus the obligately biotrophic status of this fungus cannot be explained by a deficiency in synthesis of these various lipid classes. ? 2001 Acad‚mie des sciences/ditions scientifiques et m‚dicales Elsevier SAS.</t>
  </si>
  <si>
    <t>A promising technique for dating paleosols is reported based on radiocarbon (14C) dating of asexual spores from vesicular-arbuscular mycorrizae (VAM). The Soils are dispersed in water and some 6000-8000 spores separated by hand picking under a low power microscope. The dried spores are then dated by accelerator mass spectroscopy (AMS). A chronosequense of closely superimposed paleosols from an arctic/alpine meadow soil, northern Sweden, was dated and the long-term (i.e., over a millennium time-span) organic carbon loss rate determined. A very low carbon loss rate was obtained, 4.7 x 10-4 ñ 9.2 x 10-5 year-1. It is argued that this approach is likely to give a better estimate for long-term loss than litter-bag studies covering a couple of decades. (C) 2000 Elsevier Science B. V.</t>
  </si>
  <si>
    <t>Ruiz-Lozano J.M., G¢mez M., Nu¤ez R., Azc¢n R.</t>
  </si>
  <si>
    <t>Mycorrhizal colonization and drought stress affect ë13C in 13CO2-labeled lettuce plants</t>
  </si>
  <si>
    <t>We studied the role of different arbuscular-mycorrhizal (AM) fungi on lettuce (Lactuca sativa L.) plant carbon metabolism under drought stress. Plants were grown in pots maintained at two levels of soil moisture and labeled during photosynthesis with 13CO2. P-fertilized plants were used as a non-mycorrhizal control. Well-watered mycorrhizal plants showed similar growth to that of P-fertilized plants. The level of mycorrhizal root infection was not significantly affected by fungal species or by water treatment. In contrast, important differences in ë13C between P-fertilized and AM plants were found in shoot and root tissues as a consequence of both water limitation and fungal presence. ë13C in shoots and roots increased in non-mycorrhizal treatment as compared with the well-watered plants, whereas this parameter decreased significantly in mycorrhizal plants. Photosynthetic activity was increased in AM plants in well-watered and droughted plants. G. deserticola was the most beneficial endophyte for water use efficiency in both water treatments. Transpiration rate was not affected by any of the treatments. On the basis of total 13C in plant tissues, in AM plants the newly fixed C seemed to be preferentially utilized for fungal activity rather than being stored in roots.</t>
  </si>
  <si>
    <t>The effects of the heavy metals Cu, Cd, Ni, Pb and Zn on [14C]methylamine and [14C]aminoisobutyric acid uptake were studied in the free-living fungus Paxillus involutus and in mycorrhizal and non-mycorrhizal birch roots. The uptake of both N sources by P. involutus was inhibited by the five metals tested. However, Cu2+ and Pb2+ had a greater inhibitory effect. Non-competitive inhibitions were determined between heavy metals and [14C]methylamine uptake. [14C]Methylamine uptake was reduced by one third by 2 ?M Cd2+ and Cu2+ in non-mycorrhizal roots, whereas that of mycorrhizal roots was not affected. However, it was reduced by 30 to 80% by 200 ?M Cd2+ and Cu2+ irrespective of the mycorrhizal status. [14C]Aminoisobutyric acid uptake in mycorrhizal roots was not significantly affected by Cd2+ and Cu2+, whereas that of non-mycorrhizal roots was decreased by 77% at 200 ?M Cu2+. [14C]Aminoisobutyric acid uptake was 4.5 to 6 fold higher in mycorrhizal roots, compared with non-mycorrhizal roots, even under metal exposure. The high efficiency of N acquisition by mycorrhizal birch seedlings under metal exposure might be regarded as a mechanism of stress avoidance. Copyright (C) 2000 Federation of European Microbiological Societies.</t>
  </si>
  <si>
    <t>Ectomycorrhizal seedlings of Scots pine (Pinus sylvestris) inoculated with the nitrotolerant Laccaria bicolor and the nitrophobic Suillus bovinus were exposed to ambient (350 ?l l-1) and elevated (700 ?l l-1) [CO2]. After 79 d the seedlings were labelled for 28 d with 14CO2, after which they were harvested. 14C was determined in shoots, roots plus mycorrhizas, soil, and below-ground respiration; nitrogen was determined in shoots and roots. Total net 14C uptake increased under elevated [CO2]. The extra carbon did not increase the shoot mass but was translocated to the roots and resulted in a decreased shoot-to-root ratio in the Suillus-inoculated seedlings. Laccaria-inoculated seedlings did not incorporate the additional carbon in root or fungal tissue but only increased below-ground respiration. S. bovinus acquired or transferred nitrogen better than L. bicolor and enabled the seedlings to perform better with regard to net carbon uptake under elevated [CO2]. This resulted in nitrogen concentrations in shoots of Suillus-inoculated seedlings that were twice as high as in Laccaria-inoculated seedlings, irrespective of [CO2]. The higher nitrogen concentration in the shoots resulted in a doubling of the 14C uptake per unit shoot mass. Our results suggest that the ability of ectomycorrhizal Scots pine seedlings to respond positively to elevated atmospheric [CO2] is strongly fungal-species specific.</t>
  </si>
  <si>
    <t>Ekblad A., H”gberg P.</t>
  </si>
  <si>
    <t>Analysis of ë13C of CO2 distinguishes between microbial respiration of added C4-sucrose and other soil respiration in a C3-ecosystem</t>
  </si>
  <si>
    <t>The main aim of this study was to test various hypotheses regarding the changes in ë13C of emitted CO2 that follow the addition of C4-sucrose to the soil of a C3-ecosystem. It forms part of an experimental series designed to assess whether or not the contributions from C3-respiration (root and microbial) and C4-respiration (microbial) to total soil respiration can be calculated from such changes. A series of five experiments, three on sieved (root-free) mor-layer material, and two in the field with intact mor-layer (and consequently with active roots), were performed. Both in the experiments on sieved mor-layer and the field experiments, we found a C4-sucrose-induced increase in C3-respiration that accounted for between 30% and 40% of the respiration increase 1 h after sucrose addition. When the course of C3-, C4- and total respiration was followed in sieved material over four days following addition of C4-sucrose, the initially increased respiration of C3-C was transient, passing within less than 24 h. In a separate pot experiment, neither ectomycorrhizal Pinus sylvestris L. roots nor non-mycorrhizal roots of this species showed respiratory changes in response to exogenous sucrose. No shift in the ë13C of the evolved CO2 after adding C3-sucrose to sieved mor-layer material was found, confirming that the sucrose-induced increase in respiration of endogenous C was not an artefact of discrimination against 13C during respiration. Furthermore, we conclude that the C4-sucrose induced transient increase in C3-respiration is most likely the result of accelerated turnover of C in the microbial biomass. Thus, neither respiration of mycorrhizal roots, nor processes discriminating against ë13C were likely sources of error in the field. The estimated ë13C of evolved soil CO2 in three field experiments lay between -25.2? and -23.6?. The study shows that we can distinguish between CO2 evolved from microbial mineralisation of added C4-sucrose, and CO2 evolved from endogenous carbon sources (roots and microbial respiration).</t>
  </si>
  <si>
    <t>Carbon isotopes; Microbial respiration; Root respiration; Soil respiration; Substrate-induced respiration; ë13C</t>
  </si>
  <si>
    <t>Extraradical hyphae of Glomus intraradices or G. claroideum were extracted from root free sand of two-compartment pot cultures and used to determine fungal phosphatase activity [p-nitrophenyl phosphate (p-NPP) hydrolysis]. Enzyme activity was assayed with respect to pH, temperature and different fractions of the hyphae (external soluble, wall-bound and internal phosphatases). The results showed an overall maximum enzyme activity at pH 5.2-5.6 for both fungi, with a possible secondary maximum at pH ò 8.8 for G. claroideum. Of the two fungi tested, G. intraradices had the highest external phosphatase activity in two experiments and the same activity in one experiment, reaching 184 ?mol p-NPP hydrolysed mg-1 D.W. h-1. Phosphatase activity at pH 5.2 decreased sharply with temperature, with 4.5 and 10.5% of the enzyme activity remaining at 5 øC relative to that at 37øfor G. intraradices and G. claroideum, respectively. Separation of the phosphatase activity into external soluble, wall-bound and internal fractions revealed that up to 70% of the measured activity was associated with the hyphal wall, and the rest with internal structures. Exuded phosphatases were not found in measurable amounts. The implications of these results on possible hyphal utilization of organic P in soil are discussed.</t>
  </si>
  <si>
    <t>An assessment of the effects of arbuscular mycorrhizal (AM) infection on photosynthesis, carbon (C) allocation, translocation and biomass production of cucumber, grown in sand culture, was made using a previously determined phosphorus (P) supply (0ú13 mol m-3 P) which had a significant impact on AM infection. Separation of a direct effect of AM infection from an indirect one due to an enhanced leaf P status was achieved using a comparable non-mycorrhizal treatment (NAM + P) supplemented with extra P (0ú19 mol m-3 P). Total leaf P concentration, specific leaf mass, photosynthetic capacity, and incorporation of 14C into non-structural carbohydrate pools were dependent on leaf age. Both maximum and ambient photosynthetic rates were significantly higher in the youngest fully expanded leaves from AM and NAM + P plants which also had the higher leaf P concentrations. There were no differences in the total concentrations of starch, sucrose, raffinose or stachyose in young or old leaves among AM, non-mycorrhizal (NAM) and NAM + P treatments. However, younger leaves of NAM plants showed a shift in 14C-partitioning from stachyose and raffinose synthesis to starch accumulation. Determination of ADP-glucose pyrophosphorylase (AGPase), sucrose synthase and sucrose phosphate synthase enzyme activities revealed that only AGPase activity was correlated with the increased incorporation rate of 14C into starch in young leaves of NAM plants. Although there were significant AM-specific effects on C translocation to the root system, AM plants had similar rate of photosynthesis to NAM + P plants. These results suggest that the increase in photosynthetic rate in leaves of AM-infected cucumber was due to an increased P status, rather than a consequence of a mycorrhizal 'sink' for assimilates.</t>
  </si>
  <si>
    <t>Above and below-ground biomass and necromass dynamics were assessed for 3 grassland sites located at 550, 850, and 1,025 m elevation in Sierra de la Ventana range (38ø1'S 62ø2'W) in Argentina. The objective was to determine if differences existed in dry matter structure, mycorrhizae infection, net primary productivity (NPP) partitioning to aboveground and belowground tissues, senescence and litter fall, and seasonal patterns of dry matter fluxes with altitude. Soil properties, water budgets and temperature at the sites were also assessed. Biomass plus necromass (without litter) was 1,184 ñ 41, 1,208 ñ 70, and 1,507 ñ 63 gDM m-2 for the lower, intermediate and upper sites, respectively. The below:aboveground biomass ratio increased with elevation. Total NPP was 1,131, 1,280, and 1,157 gDM m-2 year-1, respectively, for the 3 grassland sites. Belowground allocation of net productivity increased with altitude. Both mass and proportion of thin roots increased with elevation, and so did mycorrhizae infection. The aboveground and belowground turnover rates decreased with altitude, but rates were faster for aboveground tissues. We found different temporal patterns in productivity, senescence and disappearance among grassland sites despite similar total NPP. Water holding capacity of soils and temperature were important factors related to several of the observed trends in structure and function. Differences in grassland structure and fluxes are discussed as related to soils and local climate at each site.</t>
  </si>
  <si>
    <t>Javelle A., Chalot M., S”derstr”m B., Botton B.</t>
  </si>
  <si>
    <t>Using [14C]methylamine as an analogue of ammonium, the kinetics and the energetics of NH4+ transport were studied in the ectomycorrhizal fungus, Paxillus involutus (Batsch) Fr. The apparent half-saturation constant (K(m)) and the maximum uptake rate (V(max)) for the carrier-mediated transport derived from the Eadie-Hofstee transformation were 180 ?M and 380 nmol (mg dry wt)-1 min-1, respectively. Both pH dependence and inhibition by protonophores indicate that methylamine transport in P. involutus was dependent on the electrochemical H+ gradient. Both long-term and short-term uptake experiments were consistent with regulation of ammonium/methylamine transport processes by the presence of an organic nitrogen source. Analysis of methylamine uptake by different P. involutus isolates revealed no obvious trend in the uptake capacities in relation to N deposition at the collection site. Kinetic parameters were determined in P. involutus/Betula pendula (Roth.) axenic association and in detached mycorrhizal roots isolated from forest sites. Enhanced methylamine uptake in the presence of the fungal symbiont was demonstrated. Homogeneous V(max) values were found for axenic and detached mycorrhizas, whereas K(m) values showed greater variations.</t>
  </si>
  <si>
    <t>H”gberg P., Plamboeck A.H., Taylor A.F.S., Fransson P.M.A.</t>
  </si>
  <si>
    <t>Fungi play crucial roles in the biogeochemistry of terrestrial ecosystems, most notably as saprophytes decomposing organic matter and as mycorrhizal fungi enhancing plant nutrient uptake. However, a recurrent problem in fungal ecology is to establish the trophic status of species in the field. Our interpretations and conclusions are too often based on extrapolations from laboratory microcosm experiments or on anecdotal field evidence. Here, we used natural variations in stable carbon isotope ratios (ë13C) as an approach to distinguish between fungal decomposers and symbiotic mycorrhizal fungal species in the rich sporocarp flora (our sample contains 135 species) of temperate forests. We also demonstrated that host-specific mycorrhizal fungi that receive C from overstorey or understorey tree species differ in their ë13C. The many promiscuous mycorrhizal fungi, associated with and connecting several tree hosts, were calculated to receive 57-100% of their C from overstorey trees. Thus, overstorey trees also support, partly or wholly, the nutrient-absorbing mycelia of their alleged competitors, the understorey trees.</t>
  </si>
  <si>
    <t>1. Ten herbaceous species were grown over a 4-month period under ambient (360 ?mol mol-1) and elevated (610 ?mol mol-1) atmospheric CO2 conditions. Plants were inoculated with the arbuscular mycorrhizal (AM) fungus Glomus mosseae and given a phosphorus (P) supply which was not immediately available to the plants. 2. Multiple harvests were taken in order to determine whether the effect of elevated CO2 on mycorrhizal colonization and phosphorus inflow was independent of its effect on plant growth. 3. All species grew faster under elevated CO2 and carbon partitioning was altered, generally in favour of the shoots. All species responded similarly to elevated CO2. 4. Elevated CO2 did not affect the percentage of root length colonized by AM fungi, but the total amount of colonized root length was increased, because the plants were bigger. 5. Elevated CO2 increased total P content, but had little or no effect on P concentration. At a given age, P inflow was stimulated by elevated CO2, but when root length was taken into account the CO2 effect disappeared. 6. In these host species there is no evidence for a direct effect of elevated CO2 on mycorrhizal functioning, because both internal mycorrhizal colonization and P inflow are unaffected. 7. Future research should concentrate on the potential for carbon flow to the soil via the external mycelial network.</t>
  </si>
  <si>
    <t>The successful use of natural abundances of carbon (C) and nitrogen (N) isotopes in the study of ecosystem dynamics suggests that isotopic measurements could yield new insights into the role of fungi in nitrogen and carbon cycling. Sporocarps of mycorrhizal and saprotrophic fungi, vegetation, and soils were collected in young, deciduous-dominated sites and older, coniferous-dominated sites along a successional sequence at Glacier Bay National Park, Alaska. Mycorrhizal fungi had consistently higher ë15N and lower ë13C values than saprotrophic fungi. Foliar ë13C values were always isotopically depleted relative to both fungal types. Foliar ë15N values were usually, but not always, more depleted than those in saprotrophic fungi, and were consistently more depleted than in mycorrhizal fungi. We hypothesize that an apparent isotopic fractionation by mycorrhizal fungi during the transfer of nitrogen to plants may be attributed to enzymatic reactions within the fungi producing isotopically depleted amino acids, which are subsequently passed on to plant symbionts. An increasing difference between soil mineral nitrogen ë15N and foliar ë15N in later succession might therefore be a consequence of greater reliance on mycorrhizal symbionts for nitrogen supply under nitrogen-limited conditions. Carbon signatures of mycorrhizal fungi may be more enriched than those of foliage because the fungi use isotopically enriched photosynthate such as simple sugars, in contrast to the mixture of compounds present in leaves. In addition, some 13C fractionation may occur during transport processes from leaves to roots, and during fungal chitin biosynthesis. Stable isotopes have the potential to help clarify the role of fungi in ecosystem processes.</t>
  </si>
  <si>
    <t>Plantago lanceolata and Trifolium repens were grown under ambient (400 ?mol mol-1) and elevated (650 ?mol mol-1) atmospheric CO2 conditions. Plants were inoculated with the arbuscular mycorrhizal fungus Glomus mosseae and given a phosphorus supply in the form of bonemeal. Six sequential harvests were taken in order to determine whether the effect of elevated CO2 on internal mycorrhizal colonization and external hyphal production was independent of the stimulatory effect of elevated CO2 on plant growth. At a given time, elevated CO2 increased the percentage of root length colonized (RLC), the total length of colonized root and the external mycorrhizal hyphal (EMH) density and decreased the ratio of EMH to total length of colonized root. When plant size was taken into account, the CO2 effect on RLC and total length of colonized root was greatly reduced (and only apparent for early harvests in T. repens) and the effects on the EMH parameters disappeared. Root tissue P concentration was unchanged at elevated CO2, but there was a decrease in shoot P at the later harvests. There was no direct effect of elevated CO2 on P inflow for the earlier period (&amp;lt; 50 d) of the experiment. However, over the last period, there was a significant negative effect of elevated CO2 on P inflow for both species, independent of plant size. It is concluded that elevated CO2 had no direct effect on mycorrhizal colonization or external hyphal production, and that any observed effects on a time basis were due to faster growing plants at elevated CO2. However, for older plants, elevated CO2 had a direct negative effect on P inflow. This decrease in P inflow coincides with the observed decrease in shoot P concentration. This is discussed in terms of downregulation of photosynthesis often seen in elevated CO2 grown plants, and the potential for mycorrhizas (via external hyphal turnover) to alleviate the phenomenon. The direction for future research is highlighted, especially in relation to carbon flow to and storage in the soil.</t>
  </si>
  <si>
    <t>Bago B., Pfeffer P.E., Douds Jr. D.D., Brouillette J., B‚card G., Shachar-Hill Y.</t>
  </si>
  <si>
    <t>Plantago lanceolata with or without the mycorrhizal fungus Glomus mosseae were grown over a 100 d period under ambient (380ñ50 ?mol mol-1) and elevated (600ñ150 ?mol mol-1) atmospheric CO2 conditions. To achieve similar growth, non-mycorrhizal plants received phosphorus in solution whereas mycorrhizal plants were supplied with bonemeal. Measures of plant growth, photosynthesis and carbon input to the soil were obtained. Elevated CO2 stimulated plant growth to the same extent in mycorrhizal and non-mycorrhizal plants, but had no effect on the partitioning of carbon between shoots and roots or on shoot tissue phosphorus concentration. Mycorrhizal colonization was low, but unaffected by CO2 treatment. Net photosynthesis was stimulated both by mycorrhizal colonization and elevated CO2, and there was a more than additive effect of the two treatments on net photosynthesis. Colonization by mycorrhizal fungi inhibited acclimation, in terms of net carbon assimilation, of plants to elevated CO2. 13C natural abundance techniques were used to measure carbon input into the soil, although the results were not conclusive. Direct measurements of below-ground root biomass showed that elevated CO2 did stimulate carbon flow below-ground and this was higher in mycorrhizal than non-mycorrhizal plants. For the four treatment combinations, the observed relative differences in amount of below-ground carbon were compared with those expected from the differences in net photosynthesis. A considerable amount of the extra carbon fixed both as a result of mycorrhizal colonization and growth in elevated CO2 did not reveal itself as increased plant biomass. As there was no evidence for a substantial increase in soil organic matter, most of this extra carbon must have been respired by the mycorrhizal fungus and the roots or by the the plants as dark-respiration. The need for detailed studies in this area is emphasized.</t>
  </si>
  <si>
    <t>Pfeffer P.E., Douds Jr. D.D., B‚card G., Shachar-Hill Y.</t>
  </si>
  <si>
    <t>Eucalyptus coccifera Hook., a plant capable of forming both arbuscular mycorrhizas and ectomycorrhizas, was used to compare the effects of the two mycorrhizal types on phosphorus uptake and C allocation. Seedlings were grown in a P-deficient soil/sand mixture inoculated with peat/vermiculite spawn of Laccaria bicolor (Maire) Orton or Thelephora terrestris (Ehrh.) Fr.; or with 250-?m sievings from leek colonized by Glomus caledonium (Nicol. and Gerd.) Trappe and Gerde., Glomus sp. type E3 or Glomus mosseae (Nicol. and Gerd.) Gerd. and Trappe or with autoclaved spawn (non-mycorrhizal control). Before the 89-d harvest, a subset of the harvested plants was labelled with 14C (45-60-min pulse, 202-h chase). Growth promotion and the increase in seedling P content was largest in the two ectomycorrhizal treatments. Production of fluorescein diacetate-stained external hyphae was three to seven times higher by ectomycorrhizal (ECM) fungi compared with arbuscular mycorrhizal (AM) fungi and was highly correlated with P uptake and shoot weight. Phosphorus inflow rates of ECM and AM seedlings were 3.8 times, and 2.0-2.7 times those of non-mycorrhizal seedlings. Phosphorus acquisition efficiencies were similar (11.2 and 10.0 ?mol P mmo1-1 C for T. terrestris and Glomus E3 plants, respectively) for the two mycorrhizal types, and appeared to be greater than in uninoculated plants (7.2 ?mol P mmol-1 C) grown at the same P level.</t>
  </si>
  <si>
    <t>1. Two studies using the stable, isotope 13C have shown that large amounts of carbon can move between plants linked by arbuscular mycorrhizal fungi. Quantities comparable to the carbon cost of the symbiosis for an individual plant may be transferred. 2. We measured C transfer between linked plants of the grass Cynodon dactylon (C4, ë13C ? - 14?) and the herb Plantago lanceolata (C3, ë13C ~ - 28?). To test the hypothesis that the carbon transferred between plants remained in fungal structures at all times, plants were grown for two harvests; at the first harvest they were clipped to ground level, so that shoot re-growth required the transport of carbon from the roots. We also tested the influence of the direction of growth of the fungus, to determine whether C was transported out of or into a newly colonized root, and of growing plants in elevated CO2, to increase the availability of carbon compounds in the roots. 3. Large amounts of C were transferred between linked plants, more so into Plantago than into Cynodon roots. Transfer occurred whether root systems were separated by a 20 ?m mesh, that excluded roots but not hyphae, or a 0.45 ?m mesh, intended to act as a barrier to hyphae as well. We believe that the high root densities achieved in the experiment allowed hyphae to cross the finer mesh between the two dense root mats. 4. Clipping the plants did not result in any movement of C from roots to shoots, thus confirming the prediction that all C transferred remains in fungal structures. 5. The direction of growth of the fungus did not affect the direction of transfer, nor did the CO2 concentration in which the plants were grown. 6. The amount of C transferred was a positive correlate of the frequency of vesicles in the roots but a negative correlate of the frequency of hyphae. If C were moving into developing colonization units, thus effectively giving the plant a 'free' symbiosis, the correlation with internal hyphae should be positive. The positive correlation with vesicles suggests that C is moving into fungal storage structures. 7. We propose a mycocentric view of the phenomenon of interplant C transfer, in which the fungal colonies within roots are seen as parts of an extended mycelium between which the fungus moves resources depending on the dynamics of its own growth. We do not believe that the transfer has an impact on plant C budgets or fitness, but that it may be a major element in the understanding of fungal C budgets.</t>
  </si>
  <si>
    <t>Plantago lanceolata L. and Trifolium repens L. were grown for 16 wk in ambient (360 ?mol mol-1) and elevated (610 ?mol mol-1) atmospheric CO2. Plants were inoculated with the arbuscular mycorrhizal (AM) fungus Glomus mosseae (Nicol. and Gerd.) Gerdemann and Trappe and given a phosphorus supply in the form of bonemeal, which would not be immediately available to the plants. Seven sequential harvests were taken to determine whether the effect of elevated CO2 on mycorrhizal colonization was independent of the effect of CO2 on plant growth. Plant growth analysis showed that both species grew faster in elevated CO2 and that P. lanceolata had increased carbon allocation towards the roots. Elevated CO2 did not affect the percentage of root length colonized (RLC); although total colonized root length was greater, when plant size was taken into account this effect disappeared. This finding was also true for root length colonized by arbuscules. No CO2 effect was found on hyphal density (colonization intensity) in roots. The P content of plants was increased at elevated CO2, although both shoot and root tissue P concentration were unchanged. This was again as a result of bigger plants at elevated CO2. Phosphorus inflow was unaffected by CO2 concentrations. It is concluded that there is no direct permanent effect of elevated CO2 on mycorrhizal functioning, as internal mycorrhizal development and the mycorrhizal P uptake mechanism are unaffected. The importance of sequential harvests in experiments is discussed. The direction for future research is highlighted, especially in relation to C storage in the soil.</t>
  </si>
  <si>
    <t>Plantago lanceolata L. was grown for 104 d with (M) or without (NM) arbuscular mycorrhizal colonization under conditions of ambient (C(AMB) = 350 ?l l-1) and elevated (C(ELEV) = 540 ?l l-1) CO2. Sequential harvests (H) were taken at 41 (H1), 76 (H2) and 104 d (H3) to determine the time-course of mycorrhizal influence on the response of the plant to CO2 enrichment. Total yields of M plants were greater than those of NM from H2 onwards. Plants in the M(ELEV) treatment were significantly larger than those in the M(AMB) at 104 d. There were significant but much smaller differences in yield between NM(ELEV) and NM(AMB). The differences in total yield arose through impact of C(ELEV) on both shoots and roots. Total root length was greater in M(ELEV) than in M(AMB) only at H3, but total length of mycorrhizal root was greater at H2 and H3. The percentages of root length colonized and that occupied by arbuscules and vesicles were greater in M(ELEV) than in M(AMB) at the last two harvests, indicating increased sequestration of carbon in internal fungal structures. Though extraradical hyphal lengths were greater in M(ELEV) than in M(AMB) at H2 and H3, the differences were not significant. Phosphorus inflow and P content of M plants were higher than those of NM plants at H2 and H3, and were higher in M(ELEV) than in M(AMB) at H3. ANOVA revealed no significant interactions between CO2 and mycorrhizal treatment. The results are discussed in relation to carbon sequestration in mycorrhizal systems and likely impacts of CO2 enrichment on P. lanceolata grown under field conditions. The importance of sequential harvesting for realistic determination of responses to CO2 is stressed.</t>
  </si>
  <si>
    <t>N„sholm T., Ekblad A., Nordin A., Giesler R., H”gberg M., H”gberg P.</t>
  </si>
  <si>
    <t>H”gberg P.</t>
  </si>
  <si>
    <t>Equilibrium and kinetic isotope fractionations during incomplete reactions result in minute differences in the ratio between the two stable N isotopes, 15SN and 14N, in various N pools. In ecosystems such variations (usually expressed in per rail [ë15N]deviations from the standard atmospheric N2) depend on isotopic signatures of inputs and outputs, the input-output balance, N transformations and their specific isotope effects, and compartmentation of N within the system. Products along a sequence of reactions, e.g. the N mineralization-N uptake pathway, should, if fractionation factors were equal for the different reactions, become progressively depleted. However, fractionation factors vary. For example, because nitrification discriminates against 15N in the substrate more than does N mineralization, NH4+ can become isotopically heavier than the organic N from which it is derived. Levels of isotopic enrichment depend dynamically on the stoichiometry of reactions, as well as on specific abiotic and biotic conditions. Thus, the ë15N of a specific N pool is not a constant, and ë15N of a N compound added to the system is not a conservative, unchanging tracer. This fact, together with analytical problems of measuring ë15N in small and dynamic pools of N in the soil-plant system, and the complexity of the N cycle itself (for instance the abundance of reversible reactions), limit the possibilities of making inferences based on observations of 15N abundance in one or a few pools of N in a system. Nevertheless, measurements of ë15N might offer the advantage of giving insights into the N cycle without disturbing the system by adding 15N tracer. Such attempts require, however, that the complex factors affecting ë15N in plants be taken into account, viz. (i) the source(s) of N (soil, precipitation, NO(x), NH3, N2-fixation), (ii) the depth(s) in soil from which N is taken up, (iii) the form(s) of soil-N used (organic N, NH4+, No8-), (iv) influences of mycorrhizal symbioses and fractionations during and after N uptake by plants, and (v) interactions between these factors and plant phenology. Because of this complexity, data on ë15N can only be used alone when certain requirements are met, e.g. when a clearly discrete N source in terms of amount and isotopic signature is studied. For example, it is recommended that N in non-N2-fixing species should differ more than 5? from N derived by N2-fixation, and that several non-N2-fixing references are used, when data on ë15N are used to estimate N2-fixation in poorly described ecosystems. As well as giving information on N source effects, ë15N can give insights into N cycle rates. For example, high levels of N deposition onto previously N-limited systems leads to increased nitrification, which produces 15N-enriched NH4+ and 15N-depleted NO3-. As many forest plants prefer NH4+ they become enriched in 15N in such circumstances. This change in plant ë15N will subsequently also occur in the soil surface horizon after litter-fall, and might be a useful indicator of N saturation, especially since there is usually an increase in ë15N with depth in soils of N-limited forests. Generally, interpretation of 15N measurements requires additional independent data and modelling, and benefits from a controlled experimental setting. Modelling will be greatly assisted by the development of methods to measure the ë15N of small dynamic pools of N in soils. Direct comparisons with parallel low tracer level 15N studies will be necessary to further develop the interpretation of variations in ë15N in soil-plant systems. Another promising approach is to study ratios of 15N:14N together with other pairs of stable isotopes, e.g. 13C:12C or 18O: 16O, in the same ion or molecules. This approach can help to tackle the challenge of distinguishing isotopic source effects from fractionations within the system studied.</t>
  </si>
  <si>
    <t>Evolution of 14CO2 from onion roots and the intraradical hyphae of Gigaspora margarita Becker and Hall was examined by radiorespirometry after addition of 14C-labelled glucose or sucrose to mycorrhizal or nonmycorrhizal roots. In mycorrhizas, the respiration rate from glucose was about twice that from sucrose. The respiration rate from glucose in the mycorrhizas was much higher than that in the non-mycorrhizal roots, but no differences between mycorrhizal and non-mycorrhizal room were found in the respiration from sucrose. Intraradical hyphae were isolated from mycorrhizas by enzyme digestion and homogenization followed by Percoll? gradient centrifugation. The 14C-labelled glucose, fructose or sucrose was added to the isolated hyphae and the subsequent evolution of 14CO2 was measured. The hyphae mainly used glucose as a substrate for respiration. Although sucrose or fructose was utilized to some degree, the respiration rate from glucose was much higher than that from sucrose and fructose. This is the first direct evidence of use of glucose by the intraradical hyphae of arbuscular mycorrhizal fungi in the symbiotic state.</t>
  </si>
  <si>
    <t>The influence of soilborne symbionts such as rhizobia or mycorrhizal fungi on plant response to ozone (O3) has not been well defined. Leguminous plants in the field are infected by both types of organisms, which influence plant nutrition and growth. We studied the effects of infection withRhizobium leguminosarum biovartrifolii and/orGigaspora margarita on response of subterranean clover (Trifolium subterraneum L. cv Mt. Barker) to O3. Exposures were conducted in greenhouse CSTR chambers using four O3 concentrations [charcoal-filtered (CF), 50, 100, or 150 ppb; 6 h day?1, 5 day wk?1 for 12 weeks] as main plots (replicated). Four inoculum types were subplot treatments, i.e., inoculated with one, both, or neither microorganisms. At 2-wk intervals, plants were exposed to14CO2 and harvested 24 h later for determination of biomass and14C content of shoots and roots. Ozone at 100 or 150 ppb suppressed clover growth during the experiment. Inoculation withG. margarita alone suppressed clover growth by the last two harvests, whereasR. leguminosarum alone enhanced growth during this time period. When both symbionts were present, the plants grew similarly to the noninoculated controls. Shoot/root ratios were increased by 100 or 150 ppb O3 compared to that for CF-treated plants. Shoot/root ratios were greater for all inoculated plants compared to noninoculated controls. Under low O3 stress (CF or 50 ppb), plants inoculated with bothR. leguminosarum andG. margarita transported a greater proportion of recent photosynthate (14C) to roots than did noninoculated plants; we attribute this to metabolic requirements of the microorganisms. At the highest level of O3 stress (150 ppb), this did not occur, probably because little photosynthate was available and the shoots retained most of it for repair of injury. Statistically significant interactions occurred between O3 and inoculum types for shoot and total biomass. When averaged across harvests, 50 ppb O3 suppressed biomass in the plants inoculated withG. margarita alone. Apparently, the mycorrhizal fungus is such a significant C drain that even a small amount of O3 stress suppresses plant growth under these conditions. ? 1997, Kluwer Academic Publishers.</t>
  </si>
  <si>
    <t>Gryndler M., Hr?elov  H., Chv talov  I.</t>
  </si>
  <si>
    <t>ë13C; Arbuscular mycorrhiza; Carbon allocation; Carbon cost; Carbon transport; Common mycorrhizal network</t>
  </si>
  <si>
    <t>Spruce and birch seedlings were grown together in boxes filled with unsterile peat. Both seedlings were colonized by the ectomycorrhizal fungus Scleroderma citrinum. The two plants thus shared a common external mycelium. 15N-labelled ammonium was supplied exclusively to the fungus, while the birch or the spruce plant was continuously fed with 13C-labelled CO2 for 72 h. The carbon and nitrogen transfer rates were strikingly different for birch and spruce seedlings. The mycorrhizal mycelium received carbohydrates mainly from the birch plant and the nitrogen transfer by the fungus to the plants was largely directed towards the birch. Carbon assimilates were also transferred in both directions between birch and spruce; however, there was no conclusive evidence for a net transfer of carbon between the plants. ? Springer-Verlag 1996.</t>
  </si>
  <si>
    <t>Changes in the natural abundance of 13C were used to quantify carbon transfer between C3 and C4 plants in a common mycorrhizal network. Experiments using two mesh sizes to either prevent (0.45 ?m) or allow (20 ?m) mycorrhizal connections between Plantago lanceolata (C3) and Cynodon dactylon (C4) plants were run. Root and shoot samples were taken for ë13C determinations. It could not be assumed that all the pairs of plants were linked; therefore non-parametric statistical tests were used. In order to measure transfer between pairs of plants the shoot ë13C value was used as a reference and the deviation of the root ë13C value from this as a measure of carbon transfer. As the C. dactylon root ë13 C value became more negative with the 20 ?m mesh present, the root shoot difference increased. In P. lanceolata both the root and shoot ë13C values became less negative but the root shoot difference did increase gradually. When the root shoot difference in C. dactylon was plotted against root ë13C value the relationship was ? unity, suggesting that transferred carbon remained in the roots and fungal material did not move into the shoots. In P. lanceolata the results showed that the slope of the relationship between root shoot difference and root ë13C value was ?0.5. This suggests any transferred carbon moved into both the root and shoot material. The root shoot difference can be used to estimate % carbon transfer. For individual C. dactylon plants the results varied from 0 to 41% with most values falling at 10% or below. It was not possible to calculate % transfer amounts for P. lanceolata. This range of variation could have important implications for plant interactions in communities.</t>
  </si>
  <si>
    <t>Xylem transport of nitrogen and phosphorus was examined in mature mycorrhizal plants of 41 species in 15 genera of Epacridaceae in native habitat in south-west Australia. Glutamine was the principal nitrogenous solute of xylem of all but four species. In the latter species, arginine or asparagine predominated. Nitrate and ammonium comprised minor fractions of xylem (tracheal) sap N, except in two species in which nitrate contributed over half of the N. Ratios of total-N:phosphate-P in xylem sap varied widely (mean 67 ñ 18, range 0ú2-495) between species and habitats. Plants of Croninia kingiana (syn. Leucopogon kingeanus) from the one habitat showed higher levels of N and P in xylem early than late in the mycorrhizal season, but there was no consistent evidence of higher N and P levels from upper than deeper parts of their root systems. Study of juvenile populations of four species of epacrids indicated that substantial fractions of the yearly increment of N, P and dry matter was accumulated during the three summer months when infected mycorrhizal hair roots were absent. Glasshouse culture of mycorrhizal plants of Epacridaceae in habitat soil enriched with decomposed and leached double (13C, 15N)-labelled dry matter of wheat showed substantial labe ling of shoots with 15N but not with 13C. Plants fed similarly treated 15N-labelled root residues of maize acquired 15N but failed to generate ?13C values different from those of control plants. Possible avenues of mycorrhizal and non-mycorrhizal nutrition of Epacridaceae are discussed. ? 1996 Annals of Botany Company.</t>
  </si>
  <si>
    <t>In this paper we present a conceptual model of integrated plant-soil interactions which illustrates the importance of identifying the primary belowground feedbacks, both positive and negative, which can simultaneously affect plant growth responses to elevated CO2. The primary negative feedbacks share the common feature of reducing the amount of nutrients available to plants. These negative feedbacks include increased litter C/N ratios, and therefore reduced mineralization rates, increased immobilization of available nutrients by a larger soil microbial pool, and increased storage of nutrients in plant biomass and detritus due to increases in net primary productivity (NPP). Most of the primary positive feedbacks share the common feature of being plant mediated feedbacks, the only exception being Zak et al.'s hypothesis that increased microbial biomass will be accompanied by increased mineralization rates. Plant nutrient uptake may be increased through alterations in root architecture, physiology, or mycorrhizal symbioses. Further, the increased C/N ratios of plant tissue mean that a given level of NPP can be achieved with a smaller supply of nitrogen. Identification of the net plant-soil feedbacks to enhanced productivity with elevated CO2 are a critical first step for any ecosystem. It is necessary, however, that we first identify how universally applicable the results are from one study of one ecosystem before ecosystem models incorporate this information. The effect of elevated CO2 on plant growth (including NPP, tissue quality, root architecture, mycorrhizal symbioses) can vary greatly for different species and environmental conditions. Therefore it is reasonable to expect that different ecosystems will show different patterns of interacting positive and negative feedbacks within the plant-soil system. This inter-ecosystem variability in the potential for long-term growth responses to rising CO2 levels implies that we need to parameterize mechanistic models of the impact of elevated CO2 on ecosystem productivity using a detailed understanding of each ecosystem of interest. ? 1996, Kluwer Academic Publishers. All rights reserved.</t>
  </si>
  <si>
    <t>The effect of ozone on tree growth and metabolism has been studied widely. Despite the research emphasis, relatively little is known about how the below?ground component responds when shoots are exposed to ozone, even though evidence suggests that ozone can affect roots more than shoots. Undemanding how ozone affects carbohydrate allocation throughout the plant is essential to understanding the mechanisms of response to ozone. The purpose of this study was to follow the allocation and metabolism of carbon in a Pinus Ponderosa Laws.?Hebeloma crustuliniforme (Bull.: St. Amans) Quel seedling system under ozone stress. The hypothesis that ozone affects carbon transport below ground and overall sink strength of roots. similarly in mycorrhizal and non?mycorrhizal seedlings was tested. To test the hypothesis, a unique culturing system was used to quantify carbon movement to all components of the symbiosis and to construct an overall budget for carbon for both mycorrhizal and non?mycorrhizal seedlings. Fluxes of CO2 and carbon allocation were followed by measuring instantaneous CO2 flux and by 14C labelling. Two experiments were conducted that differed in their total ozone exposure (39.3 ppm h in expt 1, and 58.1 ppm h in expt 2). Mycorrhizal inoculation significantly increased CO., assimilation rates A and A/R (R = shoot respiration) ratios in both experiments compared with non?mycorrhizal seedlings. Ozone exposure in expt 2 significantly decreased the A/R ratio (P &amp;lt; 0.003) in both mycorrhizal treatments. Below?ground respiration was significantly greater in mycorrhizal than in non?mycorrhizal seedlings in both experiments, and was not affected by ozone exposure, Intact, extramatrical hyphal respiration was lower by 33% in seedlings exposed to ozone, but differences were not statistically significant (P ó (0.167). Mycorrhizal seedling roots reached maximum respiratory 14CO2 release rates c. 5 h and &amp;lt; 20 h earlier than non?mycorrhizal seedlings in expts 1 and 2, respectively, suggesting accelerated transport of 14C below ground in mycorrhizal seedlings. Mycorrhizal seedlings also exhibited greater rates of 14C release below ground than non?mycorrhizal controls. The maximum rate of respiratory release of 14CO2 below ground was significantly reduced by exposure to ozone in both mycorrhizal and non?mycorrhizal treatments. Ozone significantly reduced 14C activity in the fungus of mycorrhizal plants. This constitutes the first report of an ozone?induced reduction in carbon allocation to the fungal symbiont in a mycorrhizal association. The results suggest a substantial impact of ozone on the carbon balance of the mycorrhiza: however, there was no evidence to suggest that mycorrhizal and non?mycorrhizal ponderosa pine seedlings responded differently to ozone stress. Copyright ? 1995, Wiley Blackwell. All rights reserved</t>
  </si>
  <si>
    <t>Mycorrhizae alter quality and quantity of carbon allocated below ground.ÿ</t>
  </si>
  <si>
    <t>carbon allocated below ground.ÿNature, 369(6475), pp.58-60.</t>
  </si>
  <si>
    <t>Decomposition of 14C?labelled substrates by ectomycorrhizal fungi in association with Douglas fir</t>
  </si>
  <si>
    <t>Ectomycorrhizas of Pseudotsuga menziesii (Mirb.) Franco were synthesized in pure culture with Cenococcum geophilum Fr., Laccaria bicolor (Maire) Orton, Rhizopogon vinicolor Smith, or Suillus lakei (Murr.) Smith and Thiers. The mycorrhizal plants were grown in sterile vessels with peat/vermiculite plus 14C labelled hemicellulose, cellulose, Douglas fir needles, or humic polymers as an organic substrate. The sum of the 14C respired and that found in the seedling after 240 d of growth was used to quantify decomposition of the labelled substrates. All mycobionts released at least 20?30% of the 14C in hemicellulose and all were able to release 14C from cellulose and needles, escept L. buolttr, which failed to release 14C from needles. S. lakei released the largest amount of 14C from cellulose. C. geophilum, S. lakei and R. filticolor released similar amounts of 14C from needles. Generally, substrates could be ranked in terms of ease of breakdown by the ectomycorrhizal fungi as follows: humic polymers &amp;lt; needles &amp;lt; cellulose &amp;lt; hemicellulose. Copyright ? 1994, Wiley Blackwell. All rights reserved</t>
  </si>
  <si>
    <t>The benefit to a fungus by a mycorrhizal association is that it gains carbon from its host. A benefit to a host is usually a nutritional one, but any resulting increase in dry weight may be counteracted by the carbon consumed by the fungus. The carbon costs of mycorrhizal fungi have been calculated using 14C pulse?chase experiments in the laboratory or by estimating turnover rates in the field. Both of these techniques have their limitations, but estimates have been remarkably consistent amongst most laboratory studies. Carbon demands of the fungus may not reduce theoretical growth enhancement in plants which are sink?limited but would be expected to do so iii source?limited plants. A model of carbon use efficiency is developed based on the economic concepts of cost and benefit. Efficiency is defined in terms of carbon gained via the growth response to infection, and the carbon expended supporting the fungus. Practical considerations of measuring carbon allocation, and calculating carbon use efficiency are discussed. In an experiment on Salix viminalis L., colonized by Thelephora terrestris (Ehrh.) Fr., the carbon use efficiency calculated by this method was on overage 85% based on shoot tissue production, and 95% based on whole plant production. Copyright ? 1994, Wiley Blackwell. All rights reserved</t>
  </si>
  <si>
    <t>carbon allocation; Carbon use efficiency; cost?benefit analyses; ectomycorrhizas; Salix viminalis (willow)</t>
  </si>
  <si>
    <t>Difluoromethylarginine (DFMA) and difluoromethylornithine (DFMO) are inhibitors of the polyamine biosynthetic enzymes arginine decarboxylase (ADC) and ornithine decarboxylese (ODC), respectively, DFMO is a potential fungicide acting on fungal ODC. This report examines the effects of DFMA and DFMO on polyamine concentrations and metabolism, and on the activities of enzymes of polyamine biosynthesis and breakdown in the mycorrhizal fungus Laccaria proxima. Data indicate that L. proxima possesses both ADC and ODC activities: DFMA depleted putrescine and did not inhibit ODC activity; incubation of mycelium with a [U?14C]arginine substrate led to [14C]putrescine formation DFMA completely inhibited the formation of polyamines from [U?14C]arginine DFMO inhibited bound biosynthetic enzyme activity and the formation of putrescine from [U?14C]ornithine. Therefore, L. proxima may not be susceptible to fungicidal DFMO application. Copyright ? 1994, Wiley Blackwell. All rights reserved</t>
  </si>
  <si>
    <t>Arginine?decarboxylase; Laccaria proxima; polyamines</t>
  </si>
  <si>
    <t>Allocation of 14C?carbon in ectomycorrhizal willow</t>
  </si>
  <si>
    <t>The flow of carbon from plant to fungus in ectomycorrhizal associations has not been well quantified. The objective of this study was to use 14C to quantify the increase in fixed carbon translocated below ground in ectomycorrhizal relative to non?mycorrhizal willow (Salix viminalis L, Bowles hybrid). Rooted cuttings were inoculated with Thelephora terrestris (Ehrh). Fr. or left non?mycorrhizal. Non?mycorrhizal plants were grown at the same (4 mg kg?l bicarbonate?extractable P) (NM?P) or at a higher (21 mg kg?1) soil P concentration (NM +P), one at which the non?mycorrhizal plants were similar in size to the mycorrhizal (M?P) plants. At 41, 51, 76 and 89 days after planting, the shoots were exposed to a pulse of 14CO2. Plants were harvested after a 202 h chase period. The 14Cactivity was quantified in live fractions: shoot tissue, shoot respiration, ?root? tissue (= roots plus fungi), ?root? respiration (= CO2 released below ground) and soil. Of the total 14C detected in these five fractions, M?P plants allocated from 3.9% (harvest 1) to 11.5% (harvest 4) more to the below?ground fractions (?root? tissue, soil and ?root? respiration), than did the NM?P plants. Differences between NM+P and M?P plants were only half of those above (3.1 % and 4.4% at harvests 2 and 3, respectively, compared to 6.4 % and 7.4%, respectively for the difference between NM?P and M?P). Correction for differences in root/shoot ratio between M?P and NM?P plants eliminated the observed differences in carbon distribution only at the first three harvests. There was no evidence for increased ?root? respiration fates or rhizodeposition being responsible for the increased carbon diverted below ground by M?P plants. Copyright ? 1994, Wiley Blackwell. All rights reserved</t>
  </si>
  <si>
    <t>Seedlings of Pinus Ponderosa Dougl, ex. Laws were grown in root observation containers. They were inoculated with either Hebeloma crustuliniforme (Bull.) Quel. or Laccaria bicolor (Maire) Orton or left uninoculated (control). Oil a monthly basis starting at the eighth month of a 12?month growing period, roots (mycorrhizal root tips from inoculated plants, non?mycorrhizal from control plants) were traced onto acetate sheets. Each root tip was classified as light, ?intermediate? or ?dark? in colour. Roots initiated between months eight and nine were monitored for the next 90 d. All root tips progressed from light?brown to dark?brown to black for all three treatments. Hebeloma crustuliniforme, and to a lesser extent L. bicolor, retarded this progression relative to the control. At the end of 12 months, seedlings were labelled with 14CO2 to determine the effects of ectomycorrhizal inoculation on carbon supply to roots of the different morphological categories. The amount of 14C in ?light?L. bicolor and H. crustuliniforme mycorrhizas was 2.3 and 1.8 times greater, respectively, than that in ?light? control root tips. The amount of 14C in mycorrhizas of the inoculated treatments and, to a lesser extent, roots of the control seedlings decreased as they progressed from ?light? to ?dark?. It is concluded that pondersa pine seedlings continue to allocate photosynthate to morphologically older roots, perhaps to meet maintenance requirements or to supply carbon for growth and metabolism of extra?matrical hyphae. Such allocation may enhance root longevity, which would have an important influence on tree, forest and soil carbon budgets. Copyright ? 1994, Wiley Blackwell. All rights reserved</t>
  </si>
  <si>
    <t>The formation of cadaverine, aminopropylcadaverine and N,N bis (3?aminopropyl) cadaverine in mycorrhizal and phytopathogenic fungi</t>
  </si>
  <si>
    <t>Radiolabeled products that co?chromatographed with authentic standards of cadaverine, aminopropylcadaverine (APC) and N,N bis (3?aminopropyl) cadaverine (3 APC) were isolated following the decarboxylation of a [U?14C] lysine substrate by fungal lysine decarboxylase extracts. The identity of 3 APC was confirmed by nuclear magnetic resonance (NMR) spectroscopy. The inhibition of the enzymes S?adenosylmethionine decarboxylase (AdoMetDC) and spermidine synthase led to significant reductions in the recovery of radiolabeled 3 APC. These results show that a range of ectomycorrhizal and plant pathogenic fungi can convert lysine into the higher homologues of cadaverine. These cadaverine homologues appear to be formed via the action of AdoMetDC and spermidine and spermine synthases, although the operation of an additional route for the biosynthesis of these compounds from L?aspartic???semialdehyde is a possibility. Copyright ? 1994, Wiley Blackwell. All rights reserved</t>
  </si>
  <si>
    <t>Cucumber (Cucumis sativus L.) was grown in an irradiated soil:sand mixture in PVC tubes containing a root compartment, a hyphal compartment and a hyphal 32P?labelling compartment. The soil was inoculated with either Scutellospora calospora (Nicol. &amp;amp; Gerd.) Walker &amp;amp; Sanders, Glomus sp. or Glomus caledonium (Nicol. &amp;amp; Gerd.) Trappe &amp;amp; Gerdemann or left uninoculated. At 23 d from sowing 20 ?Ci of an aqueous solution of carrier?free 32P was pipetted into the hyphal labelling compartment. Just 24 h later the plants were labelled with 14CO2 for 16 h. At harvest the plants were analysed for mycorrhizal colonization and distribution of 14C and 32P. Hyphae of G. caledonium proved to have the most rapid 32P uptake and transfer system of the three fungi studied. The host was provided with an order of magnitude more 32P than supplied by either Glomus sp. or S. calospora. The S. calospora?colonized plants contained the least 32P counts of the three mycorrhizal treatments. 75% of the total 32P in the plant was present in the shoots of the plants colonized by G. caledonium; the corresponding figures for the shoots of S. calospora and Glomus sp. were 45 and 25%, respectively. The proportion of assimilated 14C allocated to below?ground events was 35, 32 and 25 with S. calospora, Glomus sp. and G. caledonium, respectively. The specific incorporation of 14C into roots colonized by Glomus sp. was 1.8 and 3.1 times as high as into roots colonized by G. caledonium and S. calospora, respectively. In contrast, the specific root respiration (Bq mg?1 d. wt) was similar in the mycorrhizal treatments. The 14C flow into external hyphae was approximately 0.8% of the total assimilated 14C for all three fungi. Based on these results, mycorrhizal efficiency was calculated as hyphal 14C use per unit 32P transported, below?ground 14C use per unit 32P transported, 32P transported per metre of hyphae and hyphal 14C use per metre of hyphae. Copyright ? 1993, Wiley Blackwell. All rights reserved</t>
  </si>
  <si>
    <t>Two time?course experiments were conducted to investigate the relationship between colonization and sporulation by Scutellospora calospora (Nicol. &amp; Gerd.) Walker &amp; Sanders colonizing roots of subterranean clover (Trifolium subterraneum L.). The percentage of root length colonized by S. calospora increased up to 49 d in expt 1 and 32 d in expt 2 after which it declined. At this stage, there was no further increase in mycorrhizal root length but a sharp increase in non?mycorrhizal root length. In expt 1, the soluble carbohydrate concentration of the roots decreased during the first 49 d, followed by a sudden increase, coinciding with the decline in the percentage of root length colonized. One week before this the shoot P inflow also decreased. In both experiments, sporulation by S. calospora occurred after the decline in colonization. During sporulation there is no further spread in colonization within the root, which may result in increases in soluble carbohydrate concentration within the root. Spore formation may be aided by carbon stores located in the external auxiliary bodies formed by species of the genus Scutellospora. Copyright ? 1993, Wiley Blackwell. All rights reserved</t>
  </si>
  <si>
    <t>The effects of plant phosphorus (P) status and the mycorrhizal (M) fungus, Glomus intraradices Schenck &amp;amp; Smith, on the carbon (C) economy of sour orange (Citrus aurontium L.) were determined during and following active M colonization. There were four treatments: M seedlings grown at standard-strength (1 mM) P (Ml) and nonmycorrhizal (NM) plants grown at one, two and five times standard-strength P (NM1, NM2 and NM5). Mycorrhizal colonization, tissue dry mass, P content, root length and leaf area were determined in five harvests from 6 to 15 weeks of age. Rate of C assimilation (A) was determined at 7, 8 and 12 weeks by gas exchange. Partitioning of 14C was determined from 7 to 15 weeks using a 10-min pulse followed by a 24-h chase period. For a given attribute. Ml plants were compared to the curve defining the NM response as a function of tissue P concentration. In contrast to the large effects of P nutrition on C economy of sour orange, M effects were generally subtle. Mycorrhizae increased the root biomass fraction, the root length/leaf area ratio and the percentage of 14C recovered from below-ground components. A higher percentage of below-ground 14C was in the respiration and soil fractions in M than NM plants of equivalent P status. Mycorrhizal plants tended to enhance A only for a brief period. Mycorrhizal plants had lower relative growth rates than NM plants of equivalent P status, suggesting that the temporarily enhanced A of M plants did not fully compensate for their greater below-ground carbon expenditure. Problems of interpreting the dynamic effects of mycorrhizae on C economy that are independent of P nutrition are discussed. ? 1993 Annals of Botany Company.</t>
  </si>
  <si>
    <t>The transfer of 14C from Lolium perenne (the donor) to Plantago lanceolata (the receiver), mediated by vesicular-arbuscular (VA) mycorrhizal fungi, was examined when the two species were grown together or separately. The VA mycorrhizal infection led to a significant increase, relative to that in uninfected plants, in the 14C transferred from donor to receiver plants, not only when the roots of the two plants were growing in intimate mixture, but also when they were separated by a root-free zone of 2.33 cm. The majority of isotope transfer between the two plant species was along the direct pathway via VA mycelium. ? 1992 Springer-Verlag.</t>
  </si>
  <si>
    <t>Translocation of 14C?labelled photosynthate was studied in seedlings of Picea sitchensis (Bong.) Carr. ectomycorrhizal with Tylospora fibrillosa (Burt.) Donk grown in Perspex observation chambers. Although translocation to young and older mycorrhizas was observed, accumulation of current 14C?labelled photosynthate was reduced in older compared with young mycorrhizas in the same root system. Non?structural carbohydrate components of P. sitchensis/T. fibrillosa and undefined beech ectomycorrhizas collected from the field were quantified by gas?liquid chromatography. Relative differences in accumulated carbohydrates were identified between P. sitchensis/T. fibrillosa and beech mycorrhizas. Levels of total soluble and insoluble carbohydrate were lower in older compared with young P. sitchensis/T. fibrillosa mycorrhizas. The soluble sugars arabitol, glucose and mannitol were detected in significantly lower quantities in older mycorrhizas whilst fructose and trehalose content was similar to that of young mycorrhizas. These results are discussed in relation to the physiology of the ageing mycorrhiza. Copyright ? 1992, Wiley Blackwell. All rights reserved</t>
  </si>
  <si>
    <t>Effects of low?concentration sulphur dioxide fumigation and vesicular?arbuscular mycorrhizas on 14C?partitioning in Phleum pratense L.</t>
  </si>
  <si>
    <t>The effect of long?term low?concentration (0.04?0.065 ?l l?1) exposure to sulphur dioxide (SO2) on assimilate partitioning in Phleum pratense colonized by vesicular?arbuscular (VA) mycorrhizal fungi from field soil was examined by supplying leaves with 14CO2. Seedlings were grown and exposed to SO2 for six weeks and then pulsed with 4CO2 for 15 min. The distribution of the 14C was analysed after a 12 h chase. SO2 fumigation had little effect on plant dry matter production, however, it had significant effects on the assimilation of 14CO2. Plants colonized by VA mycorrhizal fungi, both fumigated and controls, had a greater percentage of the total incorporated 14C in the roots, a significantly lower percentage of the total as 14C?labelled soluble carbohydrates in the shoots, and a greater percentage of the total as 14C?labelled amino? and organic acids in the shoots and roots than non?mycorrhizal plants. SO2 exposure reduced root length, root length colonized by VA mycorrhizal fungi, and the length of root infected with arbuscules. It appeared that colonization by VA mycorrhizal fungi in field soil had an overriding effect on carbon assimilation, use, and translocation in the host, and these probably affect host sensitivity to SO2 exposure. Copyright ? 1992, Wiley Blackwell. All rights reserved</t>
  </si>
  <si>
    <t>carbon partitioning; Phleum pratense; plant growth; SO2 fumigation; vesicular?arbuscular mycorrhizas</t>
  </si>
  <si>
    <t>Seedlings of Pinus sylvestris L. were grown on defined nutrient solutions on carbon filters, either sterile or infected with the basidiomycete Suillus variegatus O. Kuntze. After mycorrhizas were established, the shoot of the seedling was subjected to 14CO2 photosynthesis. 14C-labelled photoassimilates were translocated to both mycorrhizas and non-infected root tips. Microautoradiographs of mycorrhizas indicated that omission of external sugars did not affect the formation of mycorrhizas; 14C-photoassimilates were supplied to cortex, Hartig net and the mantle of hyphae surrounding the rootlet. Nutrient solution containing sugars (malt extract, glucose) enhanced the growth of the fungus. As a consequence, 14C-photoassimilates from the seedling were accumulated in the mantle, but defence mechanisms of the host cannot be excluded. When soluble nitrogen was omitted from the nutrient solution and replaced by chitin precipitated on the filter-bearing mycorrhizas, the fungus appeared strongly labelled in the mantle, where the fungal chitinase provided soluble nitrogen compounds, necessary for the growth of the seedling. ? 1991 Springer-Verlag.</t>
  </si>
  <si>
    <t>In this study the impact of two components of air pollution, i.e., ozone and ammonium sulphate, on carbon transport to mycorrhizal roots of Douglas fir was investigated. Juvenile Douglas fir (Pseudulsuga menziesii [Mirb.] Franco) were inoculated with Rhizopogon vinicolor A. H. Smith and Lactarius rufus (Scop.: Fr.) Fr., and allowed to grow outdoors for a period of four months. Subsequently, they were transferred to a phytotron and treated with 0 or 200?g m?3 ozone for 28 days. During these treatments, they were watered with a solution of ammonium sulphate of concentrations corresponding to 5, SO and 200 kg N ha?1 yr?1, During the last three days, the trees were pulse?labelled with 14CO2. Ozone increased the amounts of 14C recovered in the new needle fraction, whereas the amounts recovered in the roots and root/soil respiration tended to decrease. Mycorrhizal frequency tended to increase during ozone treatment. Ammonium sulphate did not affect the distribution pattern of 14C over the trees, but seemed to stimulate the activity of the root system and mycorrhizal frequency at the intermediate nitrogen level. Copyright ? 1991, Wiley Blackwell. All rights reserved</t>
  </si>
  <si>
    <t>BCARD G., DONER L.W., ROLIN D.B., DOUDS D.D., PFEFFER P.E.</t>
  </si>
  <si>
    <t>Identification and quantification of trehalose in vesicular?arbuscular mycorrhizal fungi by in vivo13C NMR and HPLC analyses</t>
  </si>
  <si>
    <t>Natural abundance in vivo13C NMR spectra were obtained from spores of three species of VA mycorrhizal fungi: Glomus intraradix Schenck &amp;amp; Smith, Glomus etunicatum Becker &amp;amp; Gerdemann and Gigaspora margarita Becker &amp;amp; Hall. The presence of trehalose was established in the spectra of Gl. etunicatum and Gi. margarita. HPLC analyses supported these observations and indicated that Gl. intraradix spores also contained small amounts of trehalose, not readily detectable by 13C NMR. Trehalose constituted between 0.06% and 1.6 %(w/w) of the spore dry weight, depending on the species. Only trace amounts of other sugars, including glycerol, were detected. An in vivo NMR time course experiment indicated that trehalose was readily utilized during spore germination. Copyright ? 1991, Wiley Blackwell. All rights reserved</t>
  </si>
  <si>
    <t>13C NMR; HPLC; spore; trehalose; Vesicular?arbuscular mycorrhiza</t>
  </si>
  <si>
    <t>ERLAND S., FINLAY R., S™DERSTR™M B.</t>
  </si>
  <si>
    <t>The influence of substrate pH on carbon translocation in ectomycorrhizal and non?mycorrhizal pine seedlings</t>
  </si>
  <si>
    <t>The effects of changed substrate pH on translocation and partitioning of 14C?labeled plant assimilates were examined in laboratory microcosms containing mycorrhizal (unidentified fungal isolate ?Pink FMT 87:2?) and non?mycorrhizal seedlings of Pinus sylvestris L. and Pinus contorta Dougl. ex Loud. The mycorrhizal plants had intact mycelial systems at different developmental stages, and microcosms contained non?sterile peat (pH 3.8) or peat adjusted to different pH values with CaO. In systems with mycorrhizal mycelium which had just started to colonize the peat no significant differences in 14C assimilation were found, either with respect to substrate pH or mycorrhizal status of the plant. Loss of activity from the mycorrhizal plants was more rapid, however, probably mainly as a result of increased respiration from the infected root systems. After 8 wk growth in peat at pH 3.8 and 5.2 shoot weights of all seedlings were the same, whereas non?mycorrhizal plants had root systems twice the size of the mycorrhizal ones. In plants with well developed extramatrical mycelia translocation of labeled carbon to the mycelium growing at pH 3.8 was faster than that to mycelium growing at pH 5.2. After 4 d incubation, however, the percentage of the originally supplied carbon present in the mycelium was 5% regardless of substrate pH. Activity found in the peat surrounding non?mycorrhizal plants rarely exceeded 0.3%. Copyright ? 1991, Wiley Blackwell. All rights reserved</t>
  </si>
  <si>
    <t>We studied the responses of temperate grasslands to climate change using a grassland ecosystem model which simulates seasonal dynamics of shoots, roots, soil water, mycorrhizal fungi, saprophytic microbes, soil fauna, inorganic nitrogen, plant residues and soil organic matter. Forty-year simulations were made for several climate change scenarios. The model was driven with observed weather and with combinations of elevated atmospheric CO2, elevated temperature, and either increased or decreased precipitation. Precipitation and CO2 level accounted for most of the variation among climate change treatments in the responses of soil, plants, animals and microbes. Elevated temperature extended the growing season but depressed photosynthesis in the summer, with little net effect on annual primary production. Doubling CO2 (1) caused persistent increases in primary production, in spite of greater nitrogen limitation, and (2) led to greater storage of carbon in plant residues and soil organic matter. The increased carbon storage was not great enough to keep pace with the present rate of increase in atmospheric CO2. ? 1991.</t>
  </si>
  <si>
    <t>One way of viewing a mycorrhizal symbiosis is as a balance between the nutritional ?benefits? and carbon ?costs? to the phytobiont. Phosphorus acquisition efficiency (the amount of phosphorus taken up per unit of carbon allocated belowground) can be used as an indicator of this balance. In this study, phosphorus uptake and belowground carbon allocation were measured using ectomycorrhizal (M) (Thelephora terrestris (Ehrh.) Fr.) and non?mycorrhizal (NM) Salix viminalis L. cv. Bowles Hybrid. Following 50, 60, 85 or 98 d of growth in a gamma?irradiated soil/sand mixture containing 4 mg bicarbunate?extractable P kg?1, seven randomly?selected cuttings of each treatment were harvested and their P contents determined. Nine d prior to each harvest, the three median plants from the group of seven were pulse labelled with 14C to determine the relative allocation of C aboveground and belowground. Mycorrhizal colonization of willow caused a two?fold increase in growth owing to substantially higher P uptake. Phosphorus inflow rates were almost three times as high for M root systems as for NM root systems over the interval up to the first harvest (3.2 ? 10 ?12 and 1.2 ? 1012 mol m?1 s?1, respectively). Over the interval from 50 to 98 d, inflows into M plants were 50% higher than into NM plants (1.4 ? 1012 and 0.9 ? 10?13 mol m?1 s?1 respectively). The M plants allocated about 25 times as much carbon belowground as the NM plants for both periods. The P acquisition efficiency was higher in M than in NM plants during the first interval (16% and 40% higher using two different calculation methods), whereas during the second interval it was higher in NM than in M plants (33% and 44% higher using the two different methods). Thus, ectomycorrhizas can be very effective in supplying P to their hosts even at an early stage of infection. Furthermore, it is suggested that a temporal separation exists in the maximal fluxes of P and C between the fungus and the host of the mycorrhizal association. The results are discussed in the context of the nutrient requirements and carbon economies of field?grown woody plants. Copyright ? 1991, Wiley Blackwell. All rights reserved</t>
  </si>
  <si>
    <t>In this paper, a framework is presented for studying responses of mycorrhiza to external stresses, including possible feedback effects which are likely to occur. The authors review recent literature linking carbon allocation and host/fungal response under natural and anthropogenic stress, and present a conceptual model to discuss how carbon may be involved in singular and multiple stress interactions of mycorrhizal seedlings. Due to an integral integral role in metabollic processes, characterizing carbon allocation in controlled laboratory environments could be useful for understanding host/fungal responses to a variety of natural and anthropogenic stresses. Carbon allocation at the whole-plant level reflects an integrated response which links photosynthesis to growth and maintenance processes. A root-mycocosm system is described which permits spatial separation of a portion of extramatrical hyphae growing in association with seedling roots. Using this system, it is shown that root/hyphal respiratory release of pulse-labeled 14C follows a sigmoidal pattern, with typical lag, exponential and saturation phases. Total respiratory release of 14C per mg root and the fraction respired of total 14C allocated to the root is greater in ponderosa pine inoculated with Hebeloma crustuliniforme than in noninoculated controls. Results illustrate the nature of information than can be obtained using this system. Current projects using the mycocosms include characterizing the dynamics of carbon allocation under ozone stress, and following the fate of organic pollutants. The authors believe that the system could be used to differentiate fungal- and host-mediated responses to a large number of other stresses and to study a variety of physiological processes in mycorrhizal plants. ? 1991.</t>
  </si>
  <si>
    <t>This chapter focuses on the use of multinuclear nuclear magnetic resonance spectroscopy (NMR) as an analytical metabolic tool to study cellular compounds and pathways in mycorrhizal tissues and discusses the physiological significance of such studies. NMR spectroscopy is a spectroscopic technique that exploits the magnetic properties of the atomic nucleus. NMR is based on the properties of nuclides that possess a non-zero spin and associated magnetic moment so that a resonance occurs at a characteristic frequency. The nuclides that are detectable in an NMR experiment and are of most interest to the physiologist are 1H, 13C, 23Na, 31P, 15N, I4N and 39K. This resonance can be detected by means of an appropriate experimental arrangement including: a static magnetic field B0 necessary for polarizing the nuclear spins, an oscillating magnetic field at the characteristic frequency to induce the resonance, and a receiving coil for detecting the NMR signal. The chapter further presents a typical labeling experiment for NMR analysis. ? 1991 Academic Press Limited.</t>
  </si>
  <si>
    <t>The ability of ericoid and ectomycorrhizal fungi to utilize 14C-labelled lignin and O14CH3-labelled dehydropolymer of coniferyl alcohol as sole C sources has been assessed in pure culture studies. The results indicate that ericoid mycorrhizal fungi are more effective in degrading lignin than ectomycorrhizal fungi. Amongst the ectomycorrhizal fungi the facultative mycorrhizal fungus Paxillus involutus degraded lignin more readily than those which are normally considered to be obligately mycorrhizal fungi such as Suillus bovinus and Rhizopogon roseolus. The importance of these lignin degrading capabilities is discussed in relation to the predominance of specific mycorrhiza forms along a gradient of increasing organic matter and hence lignin content of soil. ? 1990 Springer-Verlag.</t>
  </si>
  <si>
    <t>Cucumber (Cucumis sativus L.) plants grown in PVC tubes with a partially sterilized soil?sand mixture were inoculated with the vesicular?arbuscular mycorrhizal fungus Glomus fasciculatum (Thaxter) Gerdemann &amp;amp; Trappe emend. Walker &amp;amp; Koske or left uninoculated. The soil column of each PVC tube was divided into a root and a hyphal compartment by a mesh bag (60 ?m), which retained the roots but allowed external hyphae to pass. Inoculated plants rapidly became infected and an extensive mycelium developed. Three weeks after seedling emergence plants were labelled with 14CO2 for 16 h. The distribution of 14C within the plants and the 14C flow into external hyphae and soil were measured during an 80 h chase period. Below?ground respiration in mycorrhizal plants accounted for 27% of the photo assimilated 14C. Organic 14C in the soil represented 3?1 % of the fixed 14C, and 26 % of this was located in external hyphae. Based on conservative assumptions concerning dry weight of internal mycorrhizal infection and growth yield of the fungus, it was estimated that mycorrhizal events consumed 20 % of photoassimilated 14C. The specific incorporation of C by the external mycelium in the hyphal compartment was 41 ?g C mg?1 dry wt. d?1. The importance of external VA mycorrhizal hyphae for the distribution of plant?derived C in the soil volume and as a substrate source for the soil biota is discussed. Copyright ? 1990, Wiley Blackwell. All rights reserved</t>
  </si>
  <si>
    <t>Carbon?14; Cucumis sativus; external hyphae; rhizodeposition; VA mycorrhizas</t>
  </si>
  <si>
    <t>Allocation of carbon to extramatrical (EM) hyphae has heretofore not been based on accurate estimates of EM hyphal mass. To test the demand of EM hyphae for carbon, pine seedlings that had been inoculated by two different techniques (pouch inoculated, P+, and commercial vermiculite inoculated, V+) were labeled with 14C in root mycocosms, and the amount and distribution of the label quantified at 4 and 9 days. Carbon use in host, mycorrhizae and EM hyphae depended on spatial and temporal relationships between host and mycobiont. Isotope translocation to seedling components also differed among the inoculation treatments. Based on gravimetric estimates of hyphal mass, more 14C remained in hyphae from the P+ seedlings than in hyphae from the V+ seedlings after 9 days. Overall, 14C allocation in V+ seedlings was similar to that in the uninoculated control seedlings. It is hypothesized that EM hyphae of P+ seedlings emanated directly from host roots and may have been more closely linked with the host than were V+ hyphae, allowing P+ hyphae to derive carbon directly from the host, while V+ hyphae existed semi-saprophytically and were less of a sink for carbon. ? 1990.</t>
  </si>
  <si>
    <t>The flow of photosynthetically-fixed carbon was followed in microcosms containing ponderosa pine seedlings using a 14CO2 pulse labeling technique. Plant and soil samples were harvested at the end of labeling and after a 1 week chase period to examine the movement of 14C from different root types into adjacent soil. The total and specific activity (SA) of C was determined in above-ground and below-ground plant fractions and in soil 0-2 mm. 2-5 mm and &amp;gt; 5 mm from coarse, fine or young roots. The SA of mycorrhizal tips and hyphal strands was also assessed. Microbial biomass C and 14C content was determined by the chloroform fumigation incubation technique in the non-rhizosphere soil. The highest SA in the plant was found in the young root tip region demonstrating that this was a strong sink for recent photosynthate. The fine roots with their associated short laterals and mycorrhizae contained &amp;gt; 25% of the 14C recovered in all plant fractions. The highest SA in the soil was found within 2 mm of the young root surface. Fine roots had the highest rate of C loss to the soil per unit C assimilated in the root segment. The large differences in C flow to the rhizosphere from roots of different morphology demonstrates the importance of differentiating root types in studies of C flux. The important role of mycorrhizal hyphae in redistribution of recently-fixed C in soil was illustrated by their high SA and the large percentage ( &amp;gt; 30%) of 14C recovered in non-rhizosphcre soil. The SA of the microbial biomass C in the non-rhizosphere soil decreased by over 50% during 1 week indicating a rapid turnover rate in this active fraction. The loss of recently-fixed C from pine roots by rhizodeposition and hyphal transport was an important energy source for the soil microbial community even in soil not directly adjacent to the root surface. ? 1990.</t>
  </si>
  <si>
    <t>Qualitative and quantitative aspects of heterotrophic carbon assimilation by mycorrhizal plants of birch (Betula pendula) were examined. Plants were grown aseptically from seed in the mycorrhizal condition with the fungus Hebeloma crustuliniforme and in the non-mycorrhizal condition, with protein as their sole exogenous nitrogen source. Yields and nitrogen contents were determined in some of the plants, while the roots of others were supplied with 14C-labelled protein and their shoots exposed for up to 72 h to different irradiance regimes. Only mycorrhizal plants utilised the organic nitrogen. Uptake of carbon associated with this utilisation and its translocation to the leaves was demonstrated directly by means of autoradiography. Amounts of activity transferred to shoots were greatest in low irradiance regimes. Calculation of net carbon gain from the heterotrophic source, based upon the assumption that breakdown products of protein are assimilated as amino-acids, indicates that over a 55-day growth period up to 9% of plant C may be derived from protein. The physiological and ecological significance of these findings are discussed. ? 1989 Springer-Verlag.</t>
  </si>
  <si>
    <t>In intact seedlings of Eucalyptus pilularis Stn. ectomycorrhizal with Pisolithus tinctorius (Pers.) Coker &amp;amp; Couch in growth pouches, and labelled photosynthetically with 14C4 more radioactivity was translocated into mycorrhizal than to non?mycorrhizal roots. Results from autoradiography of intact root systems were supported by data from scintillation counting of individual root tips. Greater 14C accumulation occurred in young than in older mycorrhizas. It is proposed that individual mycorrhizal roots act most strongly as carbon sinks early in their life and that there is a progressive reduction in the amount of photosynthate translocated to them as they age. Copyright ? 1989, Wiley Blackwell. All rights reserved</t>
  </si>
  <si>
    <t>NYLUND J.?E., WALLANDER H.</t>
  </si>
  <si>
    <t>Effects of ectomycorrhiza on host growth and carbon balance in a semi?hydroponic cultivation system</t>
  </si>
  <si>
    <t>Ectomycorrhizal and control Pinus sylvestris L. seedlings were grown under steady?state nutritional conditions in a semi?hydroponic system. Free access to balanced low concentrations of mineral nutrients did not inhibit mycorrhiza formation. The large variations in relative growth rate observed after inoculation with different fungi demonstrated that the mycobiont has a substantial influence over the proportion of host photosynthate allocated for maintaining the symbiosis. Analyses with 14C?tracer demonstrated that photosynthesis was considerably enhanced in mycorrhizal seedlings, even though N and Mg concentrations were similar in mycorrhizal and uninoculated seedlings. Although translocation and respiration were highly variable, they were enhanced in some seedlings. Nutrition had no demonstrable effects on shoot or root carbohydrate content, but auxin (IBA and IAA) treatments increased the carbohydrate concentrations. Several auxin treatments also accelerated translocation and respiration, but their effects on photosynthesis were variable. The results contradict some of the basic tenets in Bj”rkman's (1942) carbohydrate theory, while providing circumstantial evidence in favour of Slankis's (1973) hormone hypothesis. Copyright ? 1989, Wiley Blackwell. All rights reserved</t>
  </si>
  <si>
    <t>Mineral and lipid composition of Glycine ? Glomus ? Bradyrhizobium symbioses</t>
  </si>
  <si>
    <t>Soybean [Glyeine max (L.) Merr. cv. Amsoy 71] plants were inoculated with either the vesicular?arbuscular mycorrhizal (VAM) fungus Glomus fasciculatum. with a strain of Bradyrizobobium Japonicum. or with both endophytes in combintion. Noninoculated controlplantes were fertilized with levels of N and P previously found to compensate for nutrient input following infection by Bradyhizobium or Glomus Temporal differences in N and P assimilation in nodulated or mycorrhizal plants indicated that Glomus was most effective during early vegetative growth and Bradyrhizobion was active until the mid?pod?fill stage in soybean. In general. soybeans colonized by Glomus contained more Cu but less Mn and P than corresponding P?fertilized plants. Soyubean roots infected with G. fasciculaum contained five unusual fatty acids: [16: 1 (11c): 8:3 (6c, 9c, 12c): 20:3 (8c, 11c, 14c): 20:4 (5c, 8c, 11c, 14c): 20:5 (5c, 8c, 11c, 14c, 17c)] that were absent in non?infected roots. Fatty acid 16:1 (11c) comprised 43% of total fatty acids in Glomus?infected roots at week 9 and 29% of total root fatty acids at week 15. This isomer of hexadecenoic acid was positively correlated with vesicle number (r = 0.92**). and 16:1 (11c) was probably the principalstorage fatty acid in fungal vesicles. These five unusual fatty acids were not found in the leaves. pods or seeds of either VAM or non?VAM plants. Specific leaf area increased with time in nodulated soybeans. but these plants contained lessCu than corresponding N?fertilized plants. Soybeans nodulated with Bradyrthizobium contained more total lipid and proportionately more fatty acid 16:0 than N?fertilized plants. Infection by Glomus or Bradyrhizobium also altered the fatty acid composition of above?ground plant parts, although these changes were subtle compared to the markedly different fatty acid found in Glomus?infected roots. These findings suggest that seed quality may be altered due to the physiological changes resulting from infection by N2?fixing bacteria and/or endomycorrhizal fungi. Observed differences in the plant nutrition of inoculated soybeans could not be replicated by fertilizer addition alone. Copyright ? 1988, Wiley Blackwell. All rights reserved</t>
  </si>
  <si>
    <t>Bradyrhizobium japonicum; disaturation; fatty acids; Glomus fasciculatum; Glycine max; mineral nutrition; nitrogen fixation; nodulation; soybean; vesicular?arbuscular mycorrhiza</t>
  </si>
  <si>
    <t>Ectomycorrhizas of four?year?old Picea excelsa (Lam.) Link seedlings, grown in nursery soil, are described. The main ectomycorrhiza type, occurring on 55?80% of the root apices, exhibited a normal sheath. The associated symbiotic fungus probably belonged to the Hebeloma genus. Behind these extomycorrhizal root lips, older ectomycorrhizas were observed and the apical ones presumably originated from those. One? and two?year?old ectomycorrhizas lacked sheaths, but a normal Hartig net could be observed in transverse sections. The metabolic?activity of these older ectomycorrhizas, as measured by radiorespirometry of [14C]glucose, was reduced compared to the younger symbiotic organs. This glucose respiration was, however, still larger than the activity of non?mycorrhizal exploratory roots. The mechanism of sheath loss and its significance as an ageing process are discussed. Copyright ? 1988, Wiley Blackwell. All rights reserved</t>
  </si>
  <si>
    <t>DUDDRIDGE J.A., FINLAY R.D., READ D.J., S™DERSTR™M B.</t>
  </si>
  <si>
    <t>The structure and function of the vegetative mycelium of ectomycorrhizal plants III. Ultrastructural and autoradiographic analysis of inter?plant carbon distribution through intact mycelial systems</t>
  </si>
  <si>
    <t>Plants of Pinus sylvestris L. were grown in mycorrhizal association with Suillus bovinus (Fr.) O. Kuntze in observation chambers until an interconnecting mycelial network had developed between the seedlings. The shoot of an individual seedling was then scaled in a perspex cuvette and exposed to 14CO2. After incubation for 48 h, the?donor?shoot was removed and components of the mycelial network and mycorrhizal roots of connected and unconnected?receiver?seedlings were harvested, fixed, embedded and sectioned prior to being autoradiographed and examined by transmission electron microscopy. The patterns of distribution of 14C?labelled material within the mycelial strands, the sheath and root tissues was examined. The results are discussed in relation to carbon metabolism of the fungus and of the interconnected host plant. Copyright ? 1988, Wiley Blackwell. All rights reserved</t>
  </si>
  <si>
    <t>Key words: Ectomycorrhiza, carbon pathway, micro?autoradiography, ultrastructure, Pinus sylvestris.</t>
  </si>
  <si>
    <t>CARBON ECONOMY OF SOYBEAN?RHIZOBIUM?GLOMUS ASSOCIATIONS</t>
  </si>
  <si>
    <t>Carbon uptake and allocation in plants that were largely dependent on microbial symbionts for N and P was compared to that in plants given inorganic fertilizer. Soybeans (Glycine max L. Merr.) were grown in sterilized soil and were either left uninoculated, or were inoculated with Rhizobium japonicum (Kirschner), or both R. japonicum and Glomus fasciculatum (Thaxter sensu Gerd.). Uninoculated plants were given N and/or P fertilizer at rates required to produce plants similar in size to inoculated plants. Carbon flows to plant parts, root nodules and vesicular?arbuscular mycorrhizas were measured in six? and nine?week?old plants by determining the distributions of 14C after pulse labelling with 14CO2. Root nodules in non?mycorrhizal plants utilized 9% of total photosynthate; this was increased to 12% in nodulated, mycorrhizal plants. Mycorrhizas used 17% of the total photosynthate of six?week?old plants; this fell to 8% after nine weeks. Rates of 14CO2 fixation in leaves of nodulated or nodulated plus mycorrhizal plants were up to 52% higher than in plants without microbial symbionts. Part of the increase was due to higher specific leaf area in plants colonized by symbionts, but other factors such as source?sink relationships, starch mobilization and leaf P concentrations were also involved in the host?plant adaptations to the C demand of the microbial endophytes. Copyright ? 1985, Wiley Blackwell. All rights reserved</t>
  </si>
  <si>
    <t>Carbon?14; Glycine max; mycorrhiza; nitrogen fixation; photosynthesis</t>
  </si>
  <si>
    <t>Goodyera repens Br. was either grown from seed and infected with its natural mycorrhizal endophyte, Ceratobasidium cornigerum (Bourd.) Rogers, or obtained as natural mycorrhizal plants from the field. Insoluble [14C]carbohydrate was provided at a point source available only to the external mycorrhizal mycelium of protocorms, plantlets (up to 50 mg w wt) or plants. Protocorms and plantlets obtained 14C via their external mycelium but plants did not, even when stressed for carbon by being kept in darkness for two weeks. There was no enhancement of growth of mycorrhizal plants when a carbon source was present in the substrate over an eight?week period. When 14CO2 was fed to plant shoots to monitor movement of carbon from plant to endophyte, there was no evidence of such movement over a 7 d period. These results suggest that carbon moves only from fungus to orchid and that this movement ceases when the host reaches a certain stage of development. With respect to carbon, mature green plants of G. repens appear to be independent of their mycorrhizal association. Copyright ? 1985, Wiley Blackwell. All rights reserved</t>
  </si>
  <si>
    <t>Trojanowski J., Haider K., Httermann A.</t>
  </si>
  <si>
    <t>Five different species of known ecto-mycorrhizal fungi: Cenococcum geophilum, Amanita muscaria, Tricholoma aurantium, Rhizopogon luteolus and Rhizopogon roseolus were studied for their ability to metabolize the major components of plant cell walls. All strains were able to decompose 14C-labelled plant lignin, 14C-lignocellulose and 14C-DHP-lignin at a rate which was lower than the one observed for the known white rot fungi Heterobasidion annosum and Sporotrichum pulverulentum. Also 14C-(U)-holocellulose was relatively less degradable for the mycorrhizal fungi than for the white rotters. On the other hand, aromatic monomers like 14C-vanillic acid were decomposed to a much higher extent by two species of mycorrhizal fungi compared to the activity observed for Heterobasidion annosum. The results of the experiments reveal that these stains of mycorrhizal fungi are well able to utilize the major components of plant material and thus can contribute to litter decomposition in the forest floor. ? 1984 Springer-Verlag.</t>
  </si>
  <si>
    <t>In cultures of Goodyera repens Br. infected with its natural mycorrhizal endophyte, Ceratobasidium Cornigerum (Bourdot) Rogers, 14C supplied as glucose reached a peak in the external mycelium within 48 h but accumulated in protocorms over several days. Uptake directly from the substrate into non?infected protocorms was much slower with less incorporation of 14C into insoluble material than occurred in infected protocorms. There was a similar pattern of uptake from two Ceratobasidium spp. into Dactylorhiza purpurella (T. &amp;amp; T. A. Steph) So¢ but the amount of glucose accumulated was less using a natural endophyte than with an isolate originally obtained from rice plants. Using an un?named Cymbidium hybrid in symbiosis with Ceratobasidium sp. from D. purpurella, there were low rates of uptake into both non?infected and infected protocorms. 14C from glucose appeared in mannitol and trehalose in mycelium but mainly in glucose, fructose and sucrose in the orchid, with traces of trehalose in infected tissue. In freshly?infected protocorms, only trehalose became labelled in the pre?digestive phase of infection and there was no evidence of transfer of 14C from fungus to host before digestion of hyphae occurred. Copyright ? 1984, Wiley Blackwell. All rights reserved</t>
  </si>
  <si>
    <t xml:space="preserve">Carbon flows to vesicular-arbuscular mycorrhizal fungi and rhizobial symbionts of 4- to 5-week-old faba beans, Mciafaba L., were measured by determining the distribution of ?C02-C fixed by above-ground plant parts. Mycorrhizal fungi of both nodulated and non-nodulated hosts utilized ca. 4% of the C fixed by their hosts. Nodules utilized 6% of the C fixed by non-mycorrhizal hosts and 12% of the C fixed by mycorrhizal hosts. Measured rates of CO2 fixation for symbiotic beans were higher than for non-symbiotic beans. Nodulated root systems of mycorrhizal beans fixed more 15Nz than nodulated root systems of non-mycorrhizal plants. An increase in nodule biomass for plants infected with both rhizobia and mycorrhizal fungi was concluded to be the major factor increasing N2 fixation rates. </t>
  </si>
  <si>
    <t>THE DISTRIBUTION OF CARBON AND THE DEMAND OF THE FUNGAL SYMBIONT IN LEEK PLANTS WITH VESICULAR?ARBUSCULAR MYCORRHIZAS</t>
  </si>
  <si>
    <t>Leek plants Allium porrum were grown on partially sterilized soil either inoculated (M) or not (NM) with the vesicular?arbuscular mycorrhizal fungus, Glomus mosseae. They were pulse?fed with 14CO2 in an apparatus which allowed CO2 subsequently respired either by the shoots or by the roots plus soil to be separately monitored. There were three experiments. In two, plants were harvested 48 h after labelling and in the third after 214 h. At harvest, the distribution of 14C between shoot, root, soil organic matter and root washings was measured. Similar growth curves for M and NM plants were obtained by supplying extra phosphorus to the latter, so that C distributions for both treatments could be compared directly. In all three experiments, about 7 % more of the total fixed C was translocated from shoot to root in M plants compared to NM plants. In the third experiment, this extra translocate could be accounted for by increased root respiration plus increased loss of C to the soil but, despite this drain, M and NM plants had equal rates of C assimilation per unit of leaf area. However, shoots of M plants had a lower content of dry matter and hence higher assimilation rates expressed on a dry matter basis. Increased hydration is suggested as a mechanism whereby leaf area and hence C assimilation increases in mycorrhizal plants and which offsets the effects of the drain imposed by the mycorrhizas. Copyright ? 1982, Wiley Blackwell. All rights reserved</t>
  </si>
  <si>
    <t>Submerged benthic plants (algae and ?higher plants?) can be classified into two groups on the basis of their attachment to the substrate. ?Haptophytes? are attached to the surface of rocks; ?Rhizophytes? have rhizoids, roots or rhizomes within the substratum (sand or mud). Haptophytes must obtain all of their nutrients from the bulk water phase, while rhizophytes can obtain some of their nutrients from the sediment. Evidence as to the sites of nutrient uptake on the surface of rhizophytes supports the view that a substantial fraction of phosphorus and nitrogen and, in some cases, inorganic carbon, is obtained from the sediment. This might be expected to make the portion of the rhizophyte which occurs in the bulk water phase more specialized for interception of photosynthetic light and C than the corresponding portion of the haptophyte which also intercepts and absorbs all other mineral nutrients. The morphology of the haptophyte and its frequent occurrence in more rapidly flowing water means that the superficial unstirred layer is less of an impedance to nutrient transport from the bulk medium to the plant surface. This in turn improves the supply of inorganic C, which is reflected in more negative delta 13C values and higher biochemical capacities for photosynthesis per unit plant surface in haptophytes than in rhizophytes. Haptophytes frequently have colourless hairs on their surface, especially in media of low nutrient content or with poor water movement: in many cases, these hairs seem to be involved in nutrient uptake. Despite their different mechanisms for uptake of nutrients, rhizophytes and haptophytes can produce similar biomasses and chlorophyll m?2, although rhizophytes may have rather lower productivities. The role of symbiotic associations (mycorrhizas in vascular plants; microalgae in invertebrates) in uptake of nutrients and photosynthesis is discussed in relation to haptophytic and rhizophytic strategies, as is the evolution of land plants. 1981 The New Phytologist</t>
  </si>
  <si>
    <t>The structures of four fatty acids present in citrus roots infected with VA-mycorrhizal fungus but not in noninfected roots were shown to be llc-16:l, 6c,9c,12c-18:3, 8c,llc,14c-20:3, and 5c,8c,11c,14c-20:4. Compositional differences of these four acids between seedlings infected with three Glomus species were slight. These acids were present in the triglycerides and to a lesser extent in three phospholipids and one glycolipid of the fibrous roots. They were absent in the tap roots and leaves. Supplemental phosphorus failed to produce these acids in seedlings grown in noninoculated soil. Levels of these acids were lower in mature trees than in seedlings. Lipids from Glomus mosseae chlamydospores contained 11c-16:1 as well as a 20:5 fatty acid and almost exclusively a 24-methylcholesterol in its free sterol fraction. ? 1981, American Chemical Society. All rights reserved.</t>
  </si>
  <si>
    <t>A close physiological relationship between some ericaceous plants, Rhododendron sp. and Pieris japonica, and a member of the genus Clavaria is indicated by radioisotope translocation studies. [14C] photosynthate from host leaves was detected in Clavaria fruiting bodies and 25P applied to Clavaria fruiting bodies was detected in plant roots. Possible transfer mechanisms, including that of a mycorrhizal association, are discussed. Copyright ? 1980, Wiley Blackwell. All rights reserved</t>
  </si>
  <si>
    <t>L™SEL D.M., COOPER K.M.</t>
  </si>
  <si>
    <t>INCORPORATION OF 14C?LABBLLED SUBSTRATES BY UNINFETED AND VA MYCORRHIZAL ROOTS OF ONION</t>
  </si>
  <si>
    <t>VA mycorrhizal infection of onion roots with Glomus masseae increases their ability to incorporate carbon from external sources, such as sucrose, acetate and glycerol, as well as from photosynthetic assimilate. Within 20 min of photosynthesis in 14CO2, radioactivity was present in lipid and non?lipid, soluble and insoluble compounds of roots. After a chase period of 18 h, c.30 % of the radioactivity in mycorrhizal and non?mycorrhizal roots supplied with [2?14C]?acetate and [14C]glycerol and 12 to 20% of that from [14C]sucrose was in the lipid fraction, while c. 5% of the 14C?labelled photosynthate received by the roots appeared in lipids. Mycorrhizal roots differed from uninfected roots in their significantly higher incorporation of carbon from photosynthate, sucrose and acetate into ethanol?soluble compounds and insoluble materials, from sucrose into water?soluble compounds and from acetate into lipids. Copyright ? 1979, Wiley Blackwell. All rights reserved</t>
  </si>
  <si>
    <t>Individual roots of a 7-year-old lodgepole pine (Pinus contorta Dougl. ex Loud) were subjected to water potentials of 0, -200 or -400 kPa using PEG 4000 as the osmotic agent. Root exudation of photoassimilated 14CO2 was followed over time. Although roots subjected to a water potential of -400 kPa exuded more 14C-labeled material than roots at either 0 or -200 kPa, more labeled material was also translocated to these roots, suggesting an attempt to alleviate the water stress. Some roots exuded over 80% of the total 14C-activity which moved to the roots in 10 days. Although exudation did not appear to be influenced by mycorrhizal infection, mother roots exuded a greater proportion of 14C-labeled assimilates than lateral roots. ? 1977.</t>
  </si>
  <si>
    <t>Uninfected plantlets of Goodyera repens and plantlets infected with the endophyte Rhizoctonia goodyerae?repentis were fed with 14CO2. Quantities of 14C fixed varied greatly between individuals, but there was a consistent pattern of distribution of label which remained unaltered over four weeks. Very little 14C moved to the rhizomes. The endophytic fungus readily grew from infected plantlets on to Pfeffer agar and small amounts of radioactivity were found in the mycelium growing from previously fed plantlets. 14C leakage from uninfected plantlets was negligible, although low levels of radioactivity occurred in serial washings from them. When the tops alone of infected plants were fed with 14CO2, no radioactivity could be detected in the emerging fungal mycelium. Where rhizomes alone were exposed, small quantities of 14C were detected in the growing mycelium. The fungus readily translocated 14C from the remains of dead protocorms. It appears that R. goodyerae?repentis does not freely utilize recent photosynthate from its host under the conditions of these experiments. Copyright ? 1974, Wiley Blackwell. All rights reserved</t>
  </si>
  <si>
    <t>The major soluble carbohydrates of mycorrhizal and non?mycorrhizal roots of the cultivated cranberry, Vaccinium macrocarpon Ait., have been identified and quantitatively analysed. Mycorrhizal roots contained two sugars, mannitol and trehalose, not found in uninfected roots. As these sugars are abundant in extracts of endophyte mycelium grown in liquid culture, they appear to be of fungal origin. Analysis of neutral sugars derived by acid hydrolysis of insoluble residues showed an accumulation of a mannose?containing polymer in mycorrhizal roots. Mannose was a principal component of insoluble polymers in the endophyte. All soluble carbohydrates in the root, including mannitol and trehalose, became labelled after feeding 14CO2 to the shoots. Sucrose was the most strongly labelled sugar in both types of root. Mannose present in hydrolysates of mycorrhizal roots was more heavily labelled than that derived from uninfected roots but most 14C in insoluble fractions was found in glucose polymers. The hypothesis that the endophyte derives a supply of carbohydrate from its host plant is discussed. Copyright ? 1974, Wiley Blackwell. All rights reserved</t>
  </si>
  <si>
    <t>Translocation of nutrients is demonstrated in mycorrhiza of ericaceous plants. [14C]glucose and [32P]orthophosphate are translocated over limited distacnes by the endophyte in pure culture. 32P is translocated to mycorrhizal host plants over distances and at rates which are related to the size of the host plants. Photosynthates from the higher plant are translocated from the roots to the external mycelium of the endophyte. The possible ecological significance of these findings is discussed. Copyright ? 1973, Wiley Blackwell. All rights reserved</t>
  </si>
  <si>
    <t>Potted white pine (Pinus strobus L.) seedlings were grown in gravel either in outdoor cold frames or in growth chambers. They were watered every second day with a salt solution containing different amounts of nitrogen and phosphorus. After 13 weeks of growth individual seedlings were illuminated separately for 8 h in the presence of 14CO2 and the rates of their apparent photosynthesis, respiration, and translocation of recent 14C-photosynthate to their roots were observed. Roots were extracted with 80 per cent ethanol and the nature of various 14C compounds in the extract was determined by paper chromatography.The best over-all growth of plants, mycorrhizal development, apparent photosynthesis, and translocation of recent photosynthate to the roots were observed in plants grown at the intermediate levels of N and P nutrition.Sucrose was always the dominant form in which recently translocated 14C occurred in the roots, although with increased nitrogen supply there was increased hydrolysis of sucrose to hexoses and appearance of 14C in the amino- and organic acids. ? 1968 OXFORD UNIVERSITY PRESS.</t>
  </si>
  <si>
    <t>The soluble sugars of uninfected regions of Dactylorchis purpurella were found to be glucose, fructose and sucrose. Mycelium of three mycorrhizal fungi, isolated from this orchid, was found to contain glucose and trehalose. Two of the fungi also contained mannitol. Mycorrhizal seedlings of D. purpurella contained carbohydrates contributed by both orchid and fungal partners. The incorporation of 14C into mycorrhizal seedlings was followed, after [14C]glucose had been supplied to infective hyphae some distance from the seedlings. 14C incorporation into soluble and insoluble materials continued throughout the 7?day experimental period. The results were consistent with the hypothesis that a carbohydrate, possibly trehalose, is translocated by the fungal hyphae into the seedlings. The fungal sugar, trehalose, was the first to become labelled, and the proportion of label in this sugar declined as 14C was incorporated into other carbohydrates, notably sucrose. As sucrose was not found in fungal mycelium, movement of a 14C?labelled compound from internal fungal hyphae to orchid cells must have taken place. Copyright ? 1967, Wiley Blackwell. All rights reserved</t>
  </si>
  <si>
    <t>Mycorrhizal roots of beech absorb [14C]glucose, fructose and sucrose at rates some two and a half times faster than uninfected roots. In the latter, sucrose is synthesized from all three sugars despite the presence of an active surface invertase, clearly suggesting that uptake from sucrose involves prior hydrolysis. There is only a small incorporation into polysaccharides by uninfected roots, this being into structural polymers. In contrast, mycorrhizal roots synthesize principally trehalose and glycogen from glucose, and mannitol from fructose. Sucrose feeding results in synthesis of all three storage carbohydrates. Whatever sugar is supplied to mycorrhizas, host sugars incorporate little radioactivity and dissection shows that 70% of the activity, following long term glucose feeding, remains in the sheath and, of the 30% in the core, most is in fungal metabolites of the Hartig net. When fed separately, core tissue more closely resembles the behaviour of uninfected roots. From the totally different destinations of the two hexoses in mycorrhizas, it is concluded that the fungus, unlike host tissue, has a restricted ability to interconvert hexoses. From experiments with high specific activity [14C]glucose supplied to mycorrhizas in tracer quantities, it appears that alternative pathways of carbohydrate breakdown such as the pentose phosphate cycle and Entner?Doudoroff scheme may possibly be operative in addition to glycolysis and so supplement the breakdown of sugars to the level of pyruvate. Copyright ? 1965, Wiley Blackwell. All rights reserved</t>
  </si>
  <si>
    <t>In order to test the relevance of previous results of this series to conditions operative in the intact plant, a technique was devised to simulate translocation of sucrose to mycorrhizal roots and to determine its morphological and biochemical destinations by the use of [14C]sugar. It was shown that the fungus can absorb sugar from the host and that its chemical destination is essentially similar to that of exogenous sucrose, namely a synthesis of mannitol, trehalose and glycogen. In connection with the possibility of reciprocal flow from fungus to host, the ability of uninfected roots to utilize the soluble sugars of the fungus was tested. Whereas mycorrhizas readily absorb and metabolize mannitol and trehalose, uninfected roots have almost no ability to utilize mannitol and are restricted in their utilization of trehalose, throwing considerable doubt on the possibility of sugar absorption by host from fungus. The hypothesis is developed that the fungus absorbs carbohydrates from the host and transforms them into reserve substances peculiar to itself, so maintaining a concentration gradient with respect to the host carbohydrate. The mycorrhizal system has the added advantage to the fungus that its reserve sugars are not readily re?available to the host. As polyols are abundant in many angiosperm parasites, the Physiology of polyols in general is reviewed with the conclusion that the role postulated for this class of compound in mycorrhizas may be applicable to host?parasite relations in general. Copyright ? 1965, Wiley Blackwell. All rights reserved</t>
  </si>
  <si>
    <t>Excised beech mycorrhizas incorporate 14C into their tissues from dilute bicarbonate solution. The rate is doubled if the mycorrhizas are shaken in ammonium phosphate rather than potassium phosphate. The main distribution is into malic, glutamic and aspartic acids in the presence of potassium. In the presence of ammonium ions glutamine becomes the most strongly labelled compound. Copyright ? 1964, Wiley Blackwell. All rights reserved</t>
  </si>
  <si>
    <t>Slavikov  R., Pschel D., Janou?kov  M., Hujslov  M., Konvalinkov  T., Gryndlerov  H., Gryndler M., Weiser M., Jansa J.</t>
  </si>
  <si>
    <t>Olsrud, Maria; Melillo, J M; Christensen, Torben; Michelsen, A; Wallander, Håkan; Olsson, Pål Axel</t>
  </si>
  <si>
    <t>https://doi.org/10.1111/j.1469-8137.2004.01049.x</t>
  </si>
  <si>
    <t>hermaphroditum_polifolia_uliginosum_vitis-idaea</t>
  </si>
  <si>
    <t>Empetrum_Andromeda_Vaccinium_Vaccinium</t>
  </si>
  <si>
    <t>Olsrud, M., Christensen, T.R.</t>
  </si>
  <si>
    <t>Carbon cycling in subarctic tundra; seasonal variation in ecosystem partitioning based on in situ 14C pulse-labelling</t>
  </si>
  <si>
    <t>https://doi.org/10.1016/j.soilbio.2003.08.026</t>
  </si>
  <si>
    <t>10.1016/j.soilbio.2003.08.026</t>
  </si>
  <si>
    <t>Populus</t>
  </si>
  <si>
    <t>spp</t>
  </si>
  <si>
    <t>woody_herbaceous</t>
  </si>
  <si>
    <t>woody</t>
  </si>
  <si>
    <t>Fagus</t>
  </si>
  <si>
    <t>sylvatica</t>
  </si>
  <si>
    <t>Fraxinus</t>
  </si>
  <si>
    <t>excelsior</t>
  </si>
  <si>
    <t>Pseudotsuga</t>
  </si>
  <si>
    <t>glauca</t>
  </si>
  <si>
    <t>Rhizopogon_Pyronemataceae_Wilcoxina_Fusarium</t>
  </si>
  <si>
    <t>http://www.jstor.org/stable/24109063</t>
  </si>
  <si>
    <t>Calluna</t>
  </si>
  <si>
    <t>vulgaris</t>
  </si>
  <si>
    <t>geophyte</t>
  </si>
  <si>
    <t>Rhizoctonia</t>
  </si>
  <si>
    <t>goodyerae-repentis</t>
  </si>
  <si>
    <t>contorta</t>
  </si>
  <si>
    <t>Pinirhiza</t>
  </si>
  <si>
    <t>rosea</t>
  </si>
  <si>
    <t>Scutellospora</t>
  </si>
  <si>
    <t>caledonium</t>
  </si>
  <si>
    <t>calospora</t>
  </si>
  <si>
    <t>11.62m/g</t>
  </si>
  <si>
    <t>16.58m/g</t>
  </si>
  <si>
    <t>9.62m/g</t>
  </si>
  <si>
    <t>Pizizella</t>
  </si>
  <si>
    <t>ericacea</t>
  </si>
  <si>
    <t xml:space="preserve">Ek, H., Andersson, S. Söderström, B. </t>
  </si>
  <si>
    <t>Scleroderma</t>
  </si>
  <si>
    <t>citrinum</t>
  </si>
  <si>
    <t>Eucalyptus</t>
  </si>
  <si>
    <t>coccifera</t>
  </si>
  <si>
    <t>terrestris</t>
  </si>
  <si>
    <t>type E3</t>
  </si>
  <si>
    <t>Gorrissen, A., Kuyper, Th. W.</t>
  </si>
  <si>
    <t>Fungal species-specific responses of ectomycorrhizal Scots pine (Pinus sylvestris) to elevated [CO# ]</t>
  </si>
  <si>
    <t>https://doi.org/10.1046/j.1469-8137.2000.00610.x</t>
  </si>
  <si>
    <t>Ectomycorrhizal seedlings of Scots pine (Pinus sylvestris) inoculated with the nitrotolerant Laccaria bicolor and the nitrophobic Suillus bovinus were exposed to ambient (350 µl l−") and elevated (700 µl l−") [CO# ]. After 79 d the seedlings were labelled for 28 d with "%CO# , after which they were harvested. "%C was determined in shoots, roots plus mycorrhizas, soil, and below-ground respiration; nitrogen was determined in shoots and roots. Total net "%C uptake increased under elevated [CO# ]. The extra carbon did not increase the shoot mass but was translocated to the roots and resulted in a decreased shoot-to-root ratio in the Suillus-inoculated seedlings. Laccaria-inoculated seedlings did not incorporate the additional carbon in root or fungal tissue but only increased below-ground respiration. S. bovinus acquired or transferred nitrogen better than L. bicolor and enabled the seedlings to perform better with regard to net carbon uptake under elevated [CO# ]. This resulted in nitrogen concentrations in shoots of Suillus-inoculated seedlings that were twice as high as in Laccaria-inoculated seedlings, irrespective of [CO# ]. The higher nitrogen concentration in the shoots resulted in a doubling of the "%C uptake per unit shoot mass. Our results suggest that the ability of ectomycorrhizal Scots pine seedlings to respond positively to elevated atmospheric [CO# ] is strongly fungal-species specific.</t>
  </si>
  <si>
    <t>Scots pine, Pinus sylvestris, ectomycorrhiza, elevated [CO# ], carbon allocation</t>
  </si>
  <si>
    <t>Laccaria</t>
  </si>
  <si>
    <t>bovinus</t>
  </si>
  <si>
    <t>ambient</t>
  </si>
  <si>
    <t>elevated</t>
  </si>
  <si>
    <t>8.7m/g</t>
  </si>
  <si>
    <t>10.1m/g</t>
  </si>
  <si>
    <t>21.6m/g</t>
  </si>
  <si>
    <t>15.6m/g</t>
  </si>
  <si>
    <t>densiflora</t>
  </si>
  <si>
    <t>Pisolithus</t>
  </si>
  <si>
    <t>tinctorius</t>
  </si>
  <si>
    <t>Wu, B., Nara, K., Hogetsu, T.</t>
  </si>
  <si>
    <t>https://doi.org/10.1046/j.1469-8137.2001.00010.x</t>
  </si>
  <si>
    <t>Movement of 14C-labeled photosynthetic products via ectomycorrhizal mycelia linking seedlings of Pinus densiflora is investigated here, a process which may have the potential to be highly ecologically significant. Paired seedlings linked by hyphae of either an unidentified ectomycorrhizal fungus designated T01 or Pisolithus tinctorius were prepared by arranging mycorrhizal and nonmycorrhizal seedlings in an observation rhizobox and allowing mycelial links to form. Shoots of the initially mycorrhizal seedling were photosynthetically labeled with 14CO2 and movement of 14C chased by time-course autoradiography. Within 3 d, 14C was transferred to mycelia and mycorrhizas formed on the unlabeled seedling, but little 14C was subsequently transferred to the roots and shoots. The reverse movement of label was also demonstrated. Mycelial fans of T01, with greater hyphal density, accumulated more 14C than mycelia of P. tinctorius, whereas higher radioactivity was detected in hyphal strands than in the mycelial front of P. tinctorius. Ectomycorrhizas and mycelia are strong sinks for photosynthetic products, and C transfer can occur bi-directionally in the mycelia. However, as yet no direct evidence indicates any benefit to receiver plants and, thus, supplementary supply of C to understory individuals may not be ecologically significant.</t>
  </si>
  <si>
    <t>tinctorius </t>
  </si>
  <si>
    <t>14_autoradiography</t>
  </si>
  <si>
    <t>Elevated CO2 often increases C allocation to plant roots but the drawdown of that C to ECM fungi is highly species-dependent, e.g., N-efficient ECM species took up 48% more C into hyphae, while N-inefficient ones took up 87% less and respired most of this back into the atmosphere</t>
  </si>
  <si>
    <t>thunbergii</t>
  </si>
  <si>
    <t>Mycorrhizal networks between (ECM) trees only transferred C between themselves, i.e., are 'mycocentric' vs 'plant-centric', with 0% C transfer or growth benefit for the plants, so that the ecological significance of mycelial networks for plants remains uncertain</t>
  </si>
  <si>
    <t>TO1</t>
  </si>
  <si>
    <t>isolate</t>
  </si>
  <si>
    <t>14C-autoradiography</t>
  </si>
  <si>
    <t>SOUNDBITE</t>
  </si>
  <si>
    <t>sabiana</t>
  </si>
  <si>
    <t>Ectomycorrhizal fungi can 'cheat' on their plant hosts when soil is N-fertilized, receiving 242% more C from the host but transferring 14% less N to hosts compared to un-fertilized conditions</t>
  </si>
  <si>
    <t>cylindrosporum</t>
  </si>
  <si>
    <t>luteus</t>
  </si>
  <si>
    <t>croceum</t>
  </si>
  <si>
    <t>badius</t>
  </si>
  <si>
    <t>Hebeloma</t>
  </si>
  <si>
    <t>Piloderma</t>
  </si>
  <si>
    <t>Boletus</t>
  </si>
  <si>
    <t xml:space="preserve">Under elevated CO2, hyphal lengths of ECM fungi increased but nitrogen transfer and growth of the host plant declined (Progressive Nitrogen Limitation or PNL) </t>
  </si>
  <si>
    <t>DSE</t>
  </si>
  <si>
    <t>Phialocephala</t>
  </si>
  <si>
    <t>fortinii</t>
  </si>
  <si>
    <t>fortinii-MRA</t>
  </si>
  <si>
    <t>Cadophora</t>
  </si>
  <si>
    <t>finlandica</t>
  </si>
  <si>
    <t>Chloridium</t>
  </si>
  <si>
    <t>paucisporum</t>
  </si>
  <si>
    <t>Scytalidium</t>
  </si>
  <si>
    <t>vaccinii</t>
  </si>
  <si>
    <t>Meliniomyces</t>
  </si>
  <si>
    <t>variabilis</t>
  </si>
  <si>
    <t>vraolstadiae</t>
  </si>
  <si>
    <t>69m/g</t>
  </si>
  <si>
    <t>30m/g</t>
  </si>
  <si>
    <t>33m/g</t>
  </si>
  <si>
    <t>127m/g</t>
  </si>
  <si>
    <t>35m/g</t>
  </si>
  <si>
    <t>26m/g</t>
  </si>
  <si>
    <t>72m/g</t>
  </si>
  <si>
    <t>50m/g</t>
  </si>
  <si>
    <t>166m/g</t>
  </si>
  <si>
    <t>45m/g</t>
  </si>
  <si>
    <t>150m/g</t>
  </si>
  <si>
    <t>ash trees, day 5, note trees had ca. equal ECM and AM, soil fraction fraction was *0.93 to account for exudates as per Wu et al 2002</t>
  </si>
  <si>
    <t>beech trees, day 20, note trees had ca. equal ECM and AM, soil fraction fraction was *0.93 to account for exudates as per Wu et al 2002</t>
  </si>
  <si>
    <t>beech trees, day 5, note trees had ca. equal ECM and AM, soil fraction fraction was *0.93 to account for exudates as per Wu et al 2002</t>
  </si>
  <si>
    <t>Scots pine, assessed hyphal C from substrate radioactivity but accounted for exudaes by *0.93 (7% of substrate value as per study and Wu et al 2002)</t>
  </si>
  <si>
    <t>soil-based_hyphalC</t>
  </si>
  <si>
    <t>Arguello A., O'Brien M.J., van der Heijden M.G.A., Wiemken A., Schmid B., Niklaus P.A.</t>
  </si>
  <si>
    <t>forb</t>
  </si>
  <si>
    <t>legume</t>
  </si>
  <si>
    <t>Plantago</t>
  </si>
  <si>
    <t>lanceolata</t>
  </si>
  <si>
    <t>Trifolium</t>
  </si>
  <si>
    <t>pratense</t>
  </si>
  <si>
    <t>mosseae_irregularis</t>
  </si>
  <si>
    <t>Multiple</t>
  </si>
  <si>
    <t>tree-grass-shrub</t>
  </si>
  <si>
    <t>woody-herbaceous</t>
  </si>
  <si>
    <t>[no quantitative data on hyphal C%]</t>
  </si>
  <si>
    <t>THE BIOLOGY OF MYCORRHIZA IN THE ERICACEAE: III. MOVEMENT OF CARBON-14 FROM HOST TO FUNGUS</t>
  </si>
  <si>
    <t xml:space="preserve">Carbon Allocation, Belowground Transfers, and Lipid Turnover in a Plant-Microbial Association </t>
  </si>
  <si>
    <t>Elevated CO2 results in carbon allocation and increased biomass in roots and ECM hyphae but also increased C losses as CO2 during soil-fungal respiration. Soil respiratory losses of C are often high (e.g., 20-75% of NPP in this study) but can be increased by up to 4 times under high CO2, depending on the ECM species</t>
  </si>
  <si>
    <t>isolates</t>
  </si>
  <si>
    <t>soil from natural forest, hyphal C% based on soi borrected for exudates *0.93 (Wu et al 2012)</t>
  </si>
  <si>
    <t>soil from previously clear-cut forest, hyphal C% based on soi borrected for exudates *0.93 (Wu et al 2012)</t>
  </si>
  <si>
    <t>Mechanisms of carbon allocation to AM fungi are governed by a 'market concept' of supply and demand altering the value of the resource, e.g., the presence of a more cooperative fungus (Rhizophagus irregularis) stimulated the supply of P by a less cooperative fungus (Funneliformis mosseae) per unit C from the host plant</t>
  </si>
  <si>
    <t>vineale</t>
  </si>
  <si>
    <t>Claroideoglomus_Gigaspora</t>
  </si>
  <si>
    <t>candidum_margarita</t>
  </si>
  <si>
    <t>Plantation</t>
  </si>
  <si>
    <t>strawberry, hyphal 13C identified as substrate in hyphal compartment as could not separate it, soil fraction fraction was *0.93 to account for exudates as per Wu et al 2002</t>
  </si>
  <si>
    <t>wild garlic, [no quantitative C% for hyphae available]</t>
  </si>
  <si>
    <t>red clover, [no quantitative C% for hyphae available]</t>
  </si>
  <si>
    <t>plantain, [no quantitative C% for hyphae available]</t>
  </si>
  <si>
    <t>red fescue, based on partial C budget excluding root and microbial respiration, replicates and study conditions not described so assumed as for Drigo et al 2013</t>
  </si>
  <si>
    <t>red fescue, 12-month old plants, rhizodeposition affected by eCO2, over multiple seasons, and influenced by AM, hyphal C allocation based on soil compartment</t>
  </si>
  <si>
    <t>red fescue, 24-month old plants, rhizodeposition affected by eCO2, over multiple seasons, and influenced by AM, hyphal C allocation based on soil compartment</t>
  </si>
  <si>
    <t>red fescue, 36-month old plants, rhizodeposition affected by eCO2, over multiple seasons, and influenced by AM, hyphal C allocation based on soil compartment</t>
  </si>
  <si>
    <t>grass, No chase period, unlimed plots, incorporation into PLFA AM markers, only reported as %of belowground so assumed shoot incorporation was at least 50%</t>
  </si>
  <si>
    <t>grass, No chase period, limed plots, , only reported as %of belowground so assumed shoot incorporation was at least 50%</t>
  </si>
  <si>
    <t>grass, 1-yr chase period, unlimed plots, , only reported as %of belowground so assumed shoot incorporation was at least 50%</t>
  </si>
  <si>
    <t>grass, 1-yr chase period, limed plots, , only reported as %of belowground so assumed shoot incorporation was at least 50%</t>
  </si>
  <si>
    <t>red fescue, 6-month old plants, rhizodeposition affected by eCO2, over multiple seasons, and influenced by AM, hyphal C allocation based on soil compartment</t>
  </si>
  <si>
    <t>leek, tested the C flow to the mycorrhiza dependent on P supply, and host plant (leek=highly responsive to AM; medi=intermediate; ryegrass=neutrally responsible). Above- and belowground respiration accounted for</t>
  </si>
  <si>
    <t>medic, tested the C flow to the mycorrhiza dependent on P supply, and host plant (leek=highly responsive to AM; medicago=intermediate; ryegrass=neutrally responsible). Above- and belowground respiration accounted for</t>
  </si>
  <si>
    <t>ryegrass, tested the C flow to the mycorrhiza dependent on P supply, and host plant (leek=highly responsive to AM; medi=intermediate; ryegrass=neutrally responsible). Above- and belowground respiration accounted for</t>
  </si>
  <si>
    <t>medic, based on soil compartment, 69-d old medic plants inoculated with N2-fixing bacteria as well as AM, soil fraction fraction was *0.93 to account for exudates as per Wu et al 2002</t>
  </si>
  <si>
    <t>carrot, estimate no SE or calcs shown</t>
  </si>
  <si>
    <t>maize</t>
  </si>
  <si>
    <t>barley</t>
  </si>
  <si>
    <t>grass, short-term (2h) pulse, 5-d chase 13C labelling in March, 2011 (NH spring), into NLFA storage</t>
  </si>
  <si>
    <t>grass, short-term (2h) pulse 5-d chase 13C labelling in June, 2011, (NH summer), into NLFA storage</t>
  </si>
  <si>
    <t>grass, short-term (2h) pulse 5-d chase 13C labelling in August, 2011, (NH summer), into NLFA storage</t>
  </si>
  <si>
    <t>grass, short-term (2h) pulse 5-d chase 13C labelling in October, 2011, (MH autumn), into NLFA storage</t>
  </si>
  <si>
    <t>grass, short-term (2h) pulse 5-d chase 13C labelling in March, 2012, (NH spring), into NLFA storage</t>
  </si>
  <si>
    <t>grass, short-term (2h) pulse 9-day chase 13C labelling in March, 2011 (NH spring), into NLFA storage</t>
  </si>
  <si>
    <t>grass, short-term (2h) pulse  9-day chase 13C labelling in June, 2011, (NH summer), into NLFA storage</t>
  </si>
  <si>
    <t>grass, short-term (2h) pulse  9-day chase 13C labelling in August, 2011, (NH summer), into NLFA storage</t>
  </si>
  <si>
    <t>grass, short-term (2h) pulse  9-day chase 13C labelling in October, 2011, (MH autumn), into NLFA storage</t>
  </si>
  <si>
    <t>grass, short-term (2h) pulse  9-day chase 13C labelling in March, 2012, (NH spring), into NLFA storage</t>
  </si>
  <si>
    <t>wheat</t>
  </si>
  <si>
    <t>bentgrass, soil food web treatments with only microorganisms, without drought</t>
  </si>
  <si>
    <t>bentgrass, soil food web treatments with only microorganisms, with drought</t>
  </si>
  <si>
    <t>bentgrass, soil food web treatments with microorganisms without drought</t>
  </si>
  <si>
    <t>bentgrass, soil food web treatments with microorganisms, with drought</t>
  </si>
  <si>
    <t>bentgrass, soil food web treatments with microorganisms + Collembola + predatory Acari without drought</t>
  </si>
  <si>
    <t>bentgrass, soil food web treatments with microorganisms + Collembola + predatory Acari with drought</t>
  </si>
  <si>
    <t>sorghum, 51d old plants near reproduction stage, hyphal C is an "indication" as it is based on difference in plant-fixed C in soil compartment of mycorrhiza minus non-mycorrhizal plants, but accounted for above- and belowground respiration. Note C alllocation depended on chase period/harvest, soil fraction fraction was *0.93 to account for exudates as per Wu et al 2002</t>
  </si>
  <si>
    <t>orchid, most complete C budget for an orchid?mycorrhizalsymbiosis, and clearly shows net plant-to-fungus C flux</t>
  </si>
  <si>
    <t>carrot, low N and P to root and mycelium in compartmentalized axenic culture</t>
  </si>
  <si>
    <t>carrot, high N and P to root but low to mycelium in compartmentalized axenic culture</t>
  </si>
  <si>
    <t>carrot, low N and P to root but high to mycelium in compartmentalized axenic culture</t>
  </si>
  <si>
    <t>carrot, high N and P to root and mycelium in compartmentalized axenic culture</t>
  </si>
  <si>
    <t>bentgrass, allocation value is minus respiration</t>
  </si>
  <si>
    <t xml:space="preserve">cucumber, 27-day old </t>
  </si>
  <si>
    <t>cucumber, accounts for soil respiration, specific hyphal rate: 41+/-3 ug C/mg dwt /d (vs 17+/-1 in roots); 3.1% photoassimilated 14C was in soil, 27% in soil respiration of AM plant</t>
  </si>
  <si>
    <t>soya bean, 6 weeks old</t>
  </si>
  <si>
    <t>soya bean, 9 weeks old</t>
  </si>
  <si>
    <t>broad bean, hyphal biovolume converted to biomass using 0.35g/cm3; external hyphal biomass correlated with internal as R2=0.98 (used here to get extraradical hyhae only by dividing hyphal biomass by 2); accounted for soil, AM and root  respiration</t>
  </si>
  <si>
    <t>onion, experiment 1, 11-week old plants, soil fraction fraction was *0.93 to account for exudates as per Wu et al 2002</t>
  </si>
  <si>
    <t>onion, experiment 3, 13-week old plants, soil fraction fraction was *0.93 to account for exudates as per Wu et al 2002</t>
  </si>
  <si>
    <t>broad bean, 4-5 week old plants, accounted for respiration of shoot and root, and hyphae</t>
  </si>
  <si>
    <t>orchid, no evidence of 14C movement to fungus from orchid</t>
  </si>
  <si>
    <t>willow, pseudorep as only one estimate for ECM and ERM plants in this ref</t>
  </si>
  <si>
    <t>willow, 50d old plants; accounted for shoot and root respiration amongst other 14C fractions</t>
  </si>
  <si>
    <t>willow, 60d old plants; accounted for shoot and root respiration amongst other 14C fractions</t>
  </si>
  <si>
    <t>willow, 85d old plants; accounted for shoot and root respiration amongst other 14C fractions</t>
  </si>
  <si>
    <t>willow, 98d old plants; accounted for shoot and root respiration amongst other 14C fractions</t>
  </si>
  <si>
    <t>silver fir, 23-yr old stand, sporocarps, assuming this is 30% of the entire ectomycorrhiza (as for sheaths and Hartig nets, Paul &amp; Kucey, 1981-this database), the reported value was divided by 0.7 to provide the extramatrical hyphal C% of NPP</t>
  </si>
  <si>
    <t>silver fir, 180 yr-old stand, sporocarps, assuming this is 30% of the entire ectomycorrhiza (as for sheaths and Hartig nets, Paul &amp; Kucey, 1981-this database), the reported value was divided by 0.7 to provide the extramatrical hyphal C% of NPP</t>
  </si>
  <si>
    <t>silver birch, microcosm and labelling experiment, soil fraction fraction was *0.93 to account for exudates as per Wu et al 2002</t>
  </si>
  <si>
    <t>silver birch,range reported by authors, not clear how they arrive at this number from text</t>
  </si>
  <si>
    <t>silver birch donor plant to spruce</t>
  </si>
  <si>
    <t>monkey puzzle tree, Araucariaceae plant from humid-temperate forest with an aridity index of 1.4 . C allocation measured as % incorperation of 13C tracer into NLFA 16:1ω5c (storage compound specific to AM). Mycelium at 0-30cm after 14d labelling (added 0-10cm and 20-30cm). Per mill values were convered to % by dividing results in plot by 10 as per paper</t>
  </si>
  <si>
    <t>dwarf birch, pseudorep as only one estimate for ECM and ERM plants in this ref</t>
  </si>
  <si>
    <t>heather (Ericaceae), earliest evidence of C and P reciprocal reward in ericoid plant, note ERM symbiont name is as referred to in paper (Pearson and Read (1973) New Phytol 72,371-379)</t>
  </si>
  <si>
    <t>sweet orange, corrected for root exudates using nonmycorrhizal plants, low P exp</t>
  </si>
  <si>
    <t>sweet orange, corrected for root exudates using nonmycorrhizal plants, high P exp</t>
  </si>
  <si>
    <t>crowberry (Ericaceae), pseudorep as only one estimate for ECM and ERM plants in this ref</t>
  </si>
  <si>
    <t>heath (various Ericaceae), control field plots with ericoid shrubs, July. Reported hair root 14C (not mycelium) and as a % of root 14C. Value was *0.5 assuming 50% label in the shoot</t>
  </si>
  <si>
    <t>heath (various Ericaceae), elevated CO2 field plots with ericoid shrubs. July. Reported hair root 14C (not mycelium) and as a % of root 14C. Value was *0.5 assuming 50% label in the shoot</t>
  </si>
  <si>
    <t>heath (various Ericaceae), heated field plots with ericoid shrubs, July. Reported hair root 14C (not mycelium) and as a % of root 14C. Value was *0.5 assuming 50% label in the shoot</t>
  </si>
  <si>
    <t>heath (various Ericaceae), elevated CO2 and heated field plots with ericoid shrubs, July. Reported hair root 14C (not mycelium) and as a % of root 14C. Value was *0.5 assuming 50% label in the shoot</t>
  </si>
  <si>
    <t>heath (various Ericaceae), control field plots with ericoid shrubs, August. Reported hair root 14C (not mycelium) and as a % of root 14C. Value was *0.5 assuming 50% label in the shoot</t>
  </si>
  <si>
    <t>heath (various Ericaceae), elevated CO2 field plots with ericoid shrubs, August. Reported hair root 14C (not mycelium) and as a % of root 14C. Value was *0.5 assuming 50% label in the shoot</t>
  </si>
  <si>
    <t>heath (various Ericaceae), heated field plots with ericoid shrubs, August. Reported hair root 14C (not mycelium) and as a % of root 14C. Value was *0.5 assuming 50% label in the shoot</t>
  </si>
  <si>
    <t>heath (various Ericaceae), elevated CO2 and heated field plots with ericoid shrubs, August. Reported hair root 14C (not mycelium) and as a % of root 14C. Value was *0.5 assuming 50% label in the shoot</t>
  </si>
  <si>
    <t>heath (various Ericaceae), 1 day chase, June-July</t>
  </si>
  <si>
    <t>heath (various Ericaceae), 2 day chase, June-July</t>
  </si>
  <si>
    <t>heath (various Ericaceae), 4 day chase, June-July</t>
  </si>
  <si>
    <t>heath (various Ericaceae), 8 day chase, June-July</t>
  </si>
  <si>
    <t>heath (various Ericaceae), 16 day chase, June-July</t>
  </si>
  <si>
    <t>heath (various Ericaceae), 32 day chase, June-July</t>
  </si>
  <si>
    <t>heath (various Ericaceae), 1 day chase, July-August</t>
  </si>
  <si>
    <t>heath (various Ericaceae), 2 day chase, July-August</t>
  </si>
  <si>
    <t>heath (various Ericaceae), 4 day chase, July-August</t>
  </si>
  <si>
    <t>heath (various Ericaceae), 8 day chase, July-August</t>
  </si>
  <si>
    <t>heath (various Ericaceae), 16 day chase, July-August</t>
  </si>
  <si>
    <t>heath (various Ericaceae), 32 day chase, July-August</t>
  </si>
  <si>
    <t>heath (various Ericaceae), 1 day chase, August-September</t>
  </si>
  <si>
    <t>heath (various Ericaceae), 2 day chase, August-September</t>
  </si>
  <si>
    <t>heath (various Ericaceae), 4 day chase, August-September</t>
  </si>
  <si>
    <t>heath (various Ericaceae), 8 day chase, August-September</t>
  </si>
  <si>
    <t>heath (various Ericaceae), 16 day chase, August-September</t>
  </si>
  <si>
    <t>heath (various Ericaceae), 32 day chase, August-September</t>
  </si>
  <si>
    <t>gum tree, respiration ca 45%</t>
  </si>
  <si>
    <t>gum tree, respiration ca 58%</t>
  </si>
  <si>
    <t>ash trees, note trees had ca. equal ECM and AM, soil fraction fraction was *0.93 to account for exudates as per Wu et al 2002</t>
  </si>
  <si>
    <t>norway spruce, 110-year old forest, 2010 measurement, FACE, no competition for 14C from saprophytic wood fungus evident</t>
  </si>
  <si>
    <t>norway spruce, 110-year old forest, 2011 measurement, FACE, no competition for 14C from saprophytic wood fungus evident</t>
  </si>
  <si>
    <t>norway spruce, microcosm and labelling experiment, soil fraction fraction was *0.93 to account for exudates as per Wu et al 2002</t>
  </si>
  <si>
    <t>norway spruce,  donor plant to birch</t>
  </si>
  <si>
    <t>lodgepole pine, pH 3.8, soil fraction fraction was *0.93 to account for exudates as per Wu et al 2002</t>
  </si>
  <si>
    <t>lodgepole pine, pH 5.2, soil fraction fraction was *0.93 to account for exudates as per Wu et al 2002</t>
  </si>
  <si>
    <t>red pine, hyphal C value is obtained as per paper: after subtracting root exudates (6.7+/-0.4%) authors calculate hyphal %C is 17 (is reported as 24% but then they adjust for counting efficiency of 14C in hyphae vs roots - Discussion)</t>
  </si>
  <si>
    <t>colorado pinyon</t>
  </si>
  <si>
    <t>bishop pine, coastal tree, microcosm experiment with American fungal isolates, authors assumed C% of 45%</t>
  </si>
  <si>
    <t>pondorosa pine, apparently the first 14C labelling study on ECM that takes a full carbon budget and biomass approach</t>
  </si>
  <si>
    <t>grey pine, unfertilized oak-pine woodland, note percentages are relative to root only so could be underestimates, soil fraction fraction was *0.93 to account for exudates as per Wu et al 2002</t>
  </si>
  <si>
    <t>grey pine, N-fertilized oak-pine woodland, note percentages are relative to root only so could be underestimates, soil fraction fraction was *0.93 to account for exudates as per Wu et al 2002</t>
  </si>
  <si>
    <t>scots pine, nitrogen-tolerant (inefficient) fungus Laccaria did not increase plant shoot mass and most additional CO2 under eCO2 was respired, substrate compartment *0.93 to account for ca. 7% exudates as per Wu et al 2012</t>
  </si>
  <si>
    <t>scots pine, nitrogen-tolerant (inefficient) fungus Lacteria did not increase plant shoot mass and most additional CO2 under eCO2 was respired, substrate compartment *0.93 to account for ca. 7% exudates as per Wu et al 2012</t>
  </si>
  <si>
    <t>scots pine, nitrogen-intolerant (efficient) fungus Suillus did increase plant shoot mass and most additional CO2 under eCO2 went to root biomass, substrate compartment *0.93 to account for ca. 7% exudates as per Wu et al 2012</t>
  </si>
  <si>
    <t>scots pine, assessed hyphal C from substrate radioactivity but accounted for exudaes by *0.93 (7% of substrate value as per study and Wu et al 2002)</t>
  </si>
  <si>
    <t>scots pine microcosm and labelling experiment, soil fraction fraction was *0.93 to account for exudates as per Wu et al 2002</t>
  </si>
  <si>
    <t>loblolly pine plantation, hence landcover is Cropland. The 1% NPP reported for sheath and Hartig net, assuming this is 30% of the entire ecomycorrhiza (Paul &amp; Kucey, 1981-this database), this value was divided by 0.7 to provide the extramatrical hyphal C% of NPP</t>
  </si>
  <si>
    <t>pine-oak, unique study that integrates modelling (DayCENT) and an observatory network (automated minirhizotrons) as well as mass balance (Hobbie &amp; Hobbie, 2006), able to consider hyphal turnover on a daily timescale, over entire year (hyphae had 48-d turnover but 78% of this biomass persisted the entire year, i.e. after death). Note that Arctostaphylos glandulosa forms arbutoid mycorrhiza. Hyphal biomass:  19 g C m2</t>
  </si>
  <si>
    <t>poplar tree, reported mycorrhizal contribution to SOC using mass balance (delta13C) was only 2%, and they reported that SOC was 10% of total NPP, hence %NPP to myc was 2*0.1=0.2</t>
  </si>
  <si>
    <t>douglas fir, hyphal network study, using the 'donor' sibling plant, small amoiunt of Glomus (AM) present</t>
  </si>
  <si>
    <t>douglas fir, hyphal network study, using the 'donor' non- sibling plant, small amoiunt of Glomus (AM) present</t>
  </si>
  <si>
    <t>douglas fir, low biomass, unfertilized stand of Rocky Mountain Douglas-fir (belowground NPP= 431 g C m-2), value given in paper were on percent belowground basis so values here are conservatively divided by two assuming belowground root biomass is at least equal to aboveground shoot biomass</t>
  </si>
  <si>
    <t>douglas fir, high biomass, fertilized stand of Rocky Mountain Douglas-fir (belowground NPP= 334g C m-2), value given in paper were on percent belowground basis so values here are conservatively divided by two assuming belowground root biomass is at least equal to aboveground shoot biomass</t>
  </si>
  <si>
    <t>tomentosum_previously_palustre</t>
  </si>
  <si>
    <t>marsh labrador tea (heath shrub in Ericaceae), pseudorep as only one estimate for ECM and ERM plants in this ref</t>
  </si>
  <si>
    <t>blueberry, pseudorep as only one estimate for ECM and ERM plants in this ref</t>
  </si>
  <si>
    <t>spp_dryophilus_brunsii_cerebriformis_sp_sp</t>
  </si>
  <si>
    <t>red pine, [no quantitative C% for hyphae available]</t>
  </si>
  <si>
    <t>red maple and other species, [no quantitative C% for hyphae available] estimates of mycorrhizae production were 124ng Cm-2yr-1; C fluxes for a
100-125 year old mixed temperate forest stand over 13 years</t>
  </si>
  <si>
    <t xml:space="preserve">black pine, [no quantitative C% for hyphae available]. Methods: Digital autoradiographic technique with imaging plates allow more sensitive analysis that x-ray and also over a time series for the same plant. </t>
  </si>
  <si>
    <t>western fescue, [no quantitative C% for hyphae available], estimate of 17.4% NPP allocation to SPORES not hyphae so likely lipids, 6 weeks labelling</t>
  </si>
  <si>
    <t>scots pine, [no quantitative C% for hyphae available]</t>
  </si>
  <si>
    <r>
      <t>Calder</t>
    </r>
    <r>
      <rPr>
        <sz val="11"/>
        <color theme="1"/>
        <rFont val="Calibri"/>
        <family val="2"/>
      </rPr>
      <t>ó</t>
    </r>
    <r>
      <rPr>
        <sz val="11"/>
        <color theme="1"/>
        <rFont val="Calibri"/>
        <family val="2"/>
        <scheme val="minor"/>
      </rPr>
      <t>n, F.J., Schultz, D. J., Paul, E. A.</t>
    </r>
  </si>
  <si>
    <t>CO2_conc</t>
  </si>
  <si>
    <t>tbc</t>
  </si>
  <si>
    <t>Combined arbuscular- and ectomycorrhiza draw about 2% of plant-fixed carbon belowground into their external hyphae but this can be as high as 3% (based on only one study, very uncertain)</t>
  </si>
  <si>
    <t>Ericoid mycorrhiza draw about 3.5% of plant-fixed carbon belowground into their external hyphae but this can be as high as 13% (based on all ERM studies in database()</t>
  </si>
  <si>
    <t>Dark septate endophytes draw about 4.6% of plant-fixed carbon belowground into their external hyphae but this can be as high as 8% (based on only one study in database, very uncertain)</t>
  </si>
  <si>
    <t>Orchid mycorrhiza draw about 1% up to 3% of plant-fixed carbon belowground into their external hyphae, while also providing carbon to germinating orchids (based on only three studies in database, very uncertain)</t>
  </si>
  <si>
    <r>
      <t>(TITLE-ABS-KEY</t>
    </r>
    <r>
      <rPr>
        <i/>
        <sz val="11"/>
        <color rgb="FF323232"/>
        <rFont val="Calibri"/>
        <family val="2"/>
        <scheme val="minor"/>
      </rPr>
      <t> </t>
    </r>
    <r>
      <rPr>
        <i/>
        <sz val="11"/>
        <color rgb="FF000000"/>
        <rFont val="Calibri"/>
        <family val="2"/>
        <scheme val="minor"/>
      </rPr>
      <t>(</t>
    </r>
    <r>
      <rPr>
        <i/>
        <sz val="11"/>
        <color rgb="FF323232"/>
        <rFont val="Calibri"/>
        <family val="2"/>
        <scheme val="minor"/>
      </rPr>
      <t>mycorrhiza* AND "carbon sequestration"</t>
    </r>
    <r>
      <rPr>
        <i/>
        <sz val="11"/>
        <color rgb="FF000000"/>
        <rFont val="Calibri"/>
        <family val="2"/>
        <scheme val="minor"/>
      </rPr>
      <t>)</t>
    </r>
    <r>
      <rPr>
        <i/>
        <sz val="11"/>
        <color rgb="FF323232"/>
        <rFont val="Calibri"/>
        <family val="2"/>
        <scheme val="minor"/>
      </rPr>
      <t> OR </t>
    </r>
    <r>
      <rPr>
        <i/>
        <sz val="11"/>
        <color rgb="FF000000"/>
        <rFont val="Calibri"/>
        <family val="2"/>
        <scheme val="minor"/>
      </rPr>
      <t>(</t>
    </r>
    <r>
      <rPr>
        <i/>
        <sz val="11"/>
        <color rgb="FF323232"/>
        <rFont val="Calibri"/>
        <family val="2"/>
        <scheme val="minor"/>
      </rPr>
      <t>mycorrhiza* AND "13C fatty acids"</t>
    </r>
    <r>
      <rPr>
        <i/>
        <sz val="11"/>
        <color rgb="FF000000"/>
        <rFont val="Calibri"/>
        <family val="2"/>
        <scheme val="minor"/>
      </rPr>
      <t>)</t>
    </r>
    <r>
      <rPr>
        <i/>
        <sz val="11"/>
        <color rgb="FF323232"/>
        <rFont val="Calibri"/>
        <family val="2"/>
        <scheme val="minor"/>
      </rPr>
      <t> OR </t>
    </r>
    <r>
      <rPr>
        <i/>
        <sz val="11"/>
        <color rgb="FF000000"/>
        <rFont val="Calibri"/>
        <family val="2"/>
        <scheme val="minor"/>
      </rPr>
      <t>(mycorrhiza* AND 14C) OR (</t>
    </r>
    <r>
      <rPr>
        <i/>
        <sz val="11"/>
        <color rgb="FF323232"/>
        <rFont val="Calibri"/>
        <family val="2"/>
        <scheme val="minor"/>
      </rPr>
      <t>mycorrhiza*</t>
    </r>
    <r>
      <rPr>
        <i/>
        <sz val="11"/>
        <color rgb="FF000000"/>
        <rFont val="Calibri"/>
        <family val="2"/>
        <scheme val="minor"/>
      </rPr>
      <t xml:space="preserve"> AND 13C) OR (</t>
    </r>
    <r>
      <rPr>
        <i/>
        <sz val="11"/>
        <color rgb="FF323232"/>
        <rFont val="Calibri"/>
        <family val="2"/>
        <scheme val="minor"/>
      </rPr>
      <t>mycorrhiza*</t>
    </r>
    <r>
      <rPr>
        <i/>
        <sz val="11"/>
        <color rgb="FF000000"/>
        <rFont val="Calibri"/>
        <family val="2"/>
        <scheme val="minor"/>
      </rPr>
      <t xml:space="preserve"> AND npp) OR (mycorrhiza* AND “carbon stor*”))</t>
    </r>
  </si>
  <si>
    <t>Carbon flow from plant to arbuscular mycorrhizal fungi is reduced under phosphorus fertilization.</t>
  </si>
  <si>
    <t>Field, K. J.</t>
  </si>
  <si>
    <t>Unpublished</t>
  </si>
  <si>
    <t>spreadsheet</t>
  </si>
  <si>
    <t>PersComm</t>
  </si>
  <si>
    <t>bryophyte</t>
  </si>
  <si>
    <t>Anthoceros</t>
  </si>
  <si>
    <t>sp.</t>
  </si>
  <si>
    <t>Cosmopolitan</t>
  </si>
  <si>
    <t>Phaeoceros</t>
  </si>
  <si>
    <t>Ophioglossum</t>
  </si>
  <si>
    <t>vulgatum</t>
  </si>
  <si>
    <t>fern</t>
  </si>
  <si>
    <t>Pennisetum</t>
  </si>
  <si>
    <t>glaucum</t>
  </si>
  <si>
    <t>pot_unpublished</t>
  </si>
  <si>
    <t>macrocarpon </t>
  </si>
  <si>
    <t>fern, wild-collected in unsterilized soil-based system, low rep number, published in New Phytol - each rep represents a turf/network experiment here rather than a single plant/single fungus scenario</t>
  </si>
  <si>
    <t xml:space="preserve">Natural </t>
  </si>
  <si>
    <t>hornwort, wild-collected in unsterilized soil-based system</t>
  </si>
  <si>
    <t>fistulosum</t>
  </si>
  <si>
    <t>fountain grass, unsterilized sand-soil system, native species in temperate/tropical areas, introduced in many areas. Data not published because not many reps, a lot of "no transfer" recorded as experiment carried out late in plant life cyc</t>
  </si>
  <si>
    <t>spring onion, unsterilized sand-soil system</t>
  </si>
  <si>
    <t>1.169m/g</t>
  </si>
  <si>
    <t>The purpose of this study was to identify the pathway and sink activity of photosynthate translocation in the extraradical mycelium (ERM) of a Pisolithus isolate. We labelled ectomycorrhizal (ECM) Pinus thunbergii seedlings with 14CO2 and followed 14C distribution within the ERM by autoradiography. 14C photosynthate translocation in the ERM resulted in 14C distribution in rhizomorphs throughout the ERM, with 14C accumulation at the front. When most radial mycelial connections between ECM root tips and the ERM front were cut, the whole allocation of 14C photosynthates to the ERM was reduced. However, the overall pattern of 14C distribution in the ERM was maintained even in regions immediately above and below the cut, with no local 14C depletion or accumulation. We inferred from this result that every portion in the ERM has a significant sink activity and a definite sink capacity for photosynthates and that photosynthates detour the cut and reach throughout the ERM by translocation in every direction. Next, we prepared paired ECM seedlings, ERMs of which had been connected with each other by hyphal fusion, alongside, labelled the left seedling with 14CO2, and shaded none, one or both of them. 14C photosynthates were acropetally and basipetally translocated from the left ERM to ECM root tips of the right seedling through rhizomorphs in the left and right ERMs, respectively. With the left seedling illuminated, 14C translocation from the left to the right ERM increased by shading the right seedling. This result suggests that reduced photosynthate transfer from the host to its ERM increased sink activity of the ERM. 2016, Springer-Verlag Berlin Heidelberg.</t>
  </si>
  <si>
    <t>Radioactive tracers were used to study the C allocation to coarse and fine roots, aboveground plant tissues, mycorrhizal lipids, belowground respiration, and soil in a mycorrhizal association. Sorghum bicolor (L.) Moench was grown in soil with a nonmycorrhizal microbial inoculum with and without Glomus clarum, a mycorrhizal inoculant. Fifty-one-day-old mycorrhizal (M) and nonmycorrhizal (NM) plants were subjected to a 3-h exposure to 14CO2 and sequentially harvested after 52, 54, 57, 64, and 76 d. Mycorrhizal plants assimilated 21% more 14C than NM plants, even though they were slightly smaller in size. They also had a higher percentage and absolute allocation of 14C to root tissue, belowground respiration, and soil. Mycorrhizal roots had a higher content of total lipids and total fatty acids. The fungal fatty acid 16:1w5, usually associated with arbuscular mycorrhizal fungi, comprised up to 29.5% of the total fatty acid content of M roots, while NM roots had only trace levels of this molecule. Thin-layer chromatography was used to separate the fatty acids extracted from the roots. The 14C of the various components was determined by radiography. The 14C mean residence time (MRT) of the mycorrhizal fatty acid 16:1w5 was calculated at 7.1 d. The monoenoic, saturated, and total fatty acids had MRTs ranging from 11.1 to 14.3 d. The lipids of NM roots incorporated less 14C label. This underscores the difference in the lipid C cycle between the M and NM roots. Translocation of the 14C to soil was 6.3% of the photosynthesized C in the M plants relative to only 2.4% in the NM plants, giving an indication of its movement into the mycorrhizal hyphae as well as to the soil. ? Soil Science Society of America,.</t>
  </si>
  <si>
    <t>Calderon F.J., Schultz D.J., Paul E.A.</t>
  </si>
  <si>
    <t>Moench</t>
  </si>
  <si>
    <t>sorghum, hyphal NPP allocation calculated as 14C in mycorrhizal minus non-mycorrhizal root-free compartments, assuming that the non-mycorrhizal value of 2.4% accounted for exudates from root and hyphae. Note harvested at days 52, 54, 57, 64, and 76. Based on percent incorporation into 16:1ω5 fatty acids</t>
  </si>
  <si>
    <t xml:space="preserve">scots pine, </t>
  </si>
  <si>
    <t>Buecking H., Shachar-Hill Y.</t>
  </si>
  <si>
    <t>carrot, chase for 7d, donor root</t>
  </si>
  <si>
    <t>carrot, chase for 14d, donor root</t>
  </si>
  <si>
    <t>carrot, chase for 28d, donor root</t>
  </si>
  <si>
    <t>carrot, chase for 42d, donor root</t>
  </si>
  <si>
    <t>carrot, chase for 56d, donor root</t>
  </si>
  <si>
    <t>carrot, chase for 7d, recipient root</t>
  </si>
  <si>
    <t>carrot, chase for 14d, recipient root</t>
  </si>
  <si>
    <t>carrot, chase for 28d, recipient root</t>
  </si>
  <si>
    <t>carrot, chase for 42d, recipient root</t>
  </si>
  <si>
    <t>carrot, chase for 56d, recipient root</t>
  </si>
  <si>
    <t>Festuca_Agrostis_Galium_Luzula_Rhytidiadelphus</t>
  </si>
  <si>
    <t>U4d grassland in british national vegetation classification, unlimed, experimental unit was turf removed from grassland shortly before labelling</t>
  </si>
  <si>
    <t>U4d grassland in british national vegetation classification, limed, experimental unit was turf removed from grassland shortly before labelling</t>
  </si>
  <si>
    <t>scots pine, compensated for exudates by *0.93</t>
  </si>
  <si>
    <t>pondorosa</t>
  </si>
  <si>
    <t>pondorosa pine with inoculant as native soil from conifer site in Sierra Navada, California</t>
  </si>
  <si>
    <t>Fungal species-specific responses of ectomycorrhizal Scots pine (Pinus sylvestris) to elevated [CO2 ]</t>
  </si>
  <si>
    <t>The estimated flux of plant-fixed carbon or net primary productivity (NPP) to mycorrhiza is 6.4% (AM); 13.1% (ECM); 3.5% (ERM); 4.6% (DSE); and 1% (OM) based on a total of 188 datasets (all citations with hyphal data in database)</t>
  </si>
  <si>
    <t>Arbuscular mycorrhiza draw about 6.4% of plant-fixed carbon belowground into their external hyphae but this can be as high as 51% (based on all AM studies in database)</t>
  </si>
  <si>
    <t>Ectomycorrhiza draw about 13.1% of plant-fixed carbon belowground into their external hyphae but this can be as high as 52% (based on all ECM studies in database)</t>
  </si>
  <si>
    <t>AM and ECM are approximately equal C sinks but that these sinks occur in largely different areas (map based on data in this database, global NPP maps and those of Soudzilovskaia et al (2019)</t>
  </si>
  <si>
    <t>Plants can preferentially allocate more carbohydrates to co-operators versus cheaters in the AM symbiosis if the resource (e.g., phosphorus) is limiting, e.g., four times in wild garlic.</t>
  </si>
  <si>
    <t>Mycorrhizal fungi are equal to biome type and biophysical properties in controlling carbon storage because of the way they interact with N. AND: ECM and ERM-dominated ecosystems store 70% more carbon per unit nitrogen than AM-dominated areas. ECM and ERM do this by competing with free-living decomposers for nitrogen in organic matter, thus limiting the access of the latter to nitrogen, and the production of N-containing enzymes that degrade soil organic matter</t>
  </si>
  <si>
    <t>Elevated CO2 can increase the biomass of pine trees that are symbiotic with dark septate endophytes (DSE) by 17% compared to non-symbiotic pines, despite the well-known 'N dilution' effect (57%) in the plant shoot, and a 2-3 times reduction in C-use efficiency on the part of the fungus</t>
  </si>
  <si>
    <t xml:space="preserve">Some models  predict that mycorrhizal fungi and N2-fixing bacteria can help plants keep pace with N-limitation under elevated CO2, predicting 200 Pg C of terrestrial C sequestration over 100 years compared to 50 Pg C with no shifts in N acquisition strategies. However, much of this carbon may be lost as respiration. </t>
  </si>
  <si>
    <t>Mason, R. E., Craine, J. M., Lany, N. K., Jonard, M., ….Elmore, A. J.</t>
  </si>
  <si>
    <t>Evidence, causes, and consequences of declining nitrogen availability in terrestrial ecosystems</t>
  </si>
  <si>
    <t>eabh3767</t>
  </si>
  <si>
    <t>10.1126/science.abh3767</t>
  </si>
  <si>
    <t>The productivity of ecosystems and their capacity to support life depends on access to reactive nitrogen (N). Over the past century, humans have more than doubled the global supply of reactive N through industrial and agricultural activities. However, long-term records demonstrate that N availability is declining in many regions of the world. Reactive N inputs are not evenly distributed, and global changes-including elevated atmospheric carbon dioxide (CO2) levels and rising temperatures-are affecting ecosystem N supply relative to demand. Declining N availability is constraining primary productivity, contributing to lower leaf N concentrations, and reducing the quality of herbivore diets in many ecosystems. We outline the current state of knowledge about declining N availability and propose actions aimed at characterizing and responding to this emerging challenge.</t>
  </si>
  <si>
    <t xml:space="preserve">N dilution effect is common in plants under elevated CO2, due to N limitation, with less allocation of N to leaves and perhaps due to less demand for N for rubisco at higher CO2 concentrations. This in turn results in plant litter with relatively high C:N ratios, immobilization of whatever N is available by microbes and possibly relatively higher SOC in the form of vulnerable POM. </t>
  </si>
  <si>
    <t xml:space="preserve">Conversion of a Bornean rainforest to oil palm was associated with losses of diversity and fungal productivity, including mycorrhizal, saprotrophic and pathogenic phyla </t>
  </si>
  <si>
    <t>Arctic greening may equate to an increase in NPP but not to C sequestration, as much of recently fixed C is allocated to soil respiration</t>
  </si>
  <si>
    <t xml:space="preserve">Climate change may result in encroachment of shrubs and trees into tundra resulting in displacement of the large belowground stores of C </t>
  </si>
  <si>
    <t>Plant-fixed C is distributed to the full diversity of organisms within soil food webs via mycorrhiza and roots, e.g., soil microfauna and macrofauna such as ants, coccids, earthworms</t>
  </si>
  <si>
    <t xml:space="preserve">The ECM tend to compete with saprotrophic fungi while AM facilitate them. </t>
  </si>
  <si>
    <t>Common mycelial networks have been found to be both mycocentric and plant-centric</t>
  </si>
  <si>
    <t xml:space="preserve">Grasslands and arbuscular mycorrhizal forests store more soil carbon in mineral-associated organic matter (MAOM) compared to ECM forests that store more carbon in particulate organic matter (POM). The MOAM is more protected from decomposition and thus is more persistent or stable </t>
  </si>
  <si>
    <t xml:space="preserve">Whether GRSPs are specific compounds or fungal necromass, they have been associated with desired effects on soil and plant growth. </t>
  </si>
  <si>
    <t xml:space="preserve">‘Glomalin’ from AM contributed 4 to 5% of the C and N in the oldest soils of a chronosequence, which is 3 to 63 times more than that contributed by soil microbial biomass </t>
  </si>
  <si>
    <t xml:space="preserve">Decomposition and nature of the soil C produced depends on the interaction of soil organic matter with microbial diversity and the associated functionality </t>
  </si>
  <si>
    <t>Common mycorrhizal networks between ectomycorrhizal trees transfer 100% of their C between themselves, with 0% C transfer and growth benefit for the recipient plant. Thus considerning carbon only, the ecological significance of CMNs is 'mycocentric' vs 'plant-centric' (this study)</t>
  </si>
  <si>
    <t>Common mycorrhizal networks between ectomycorrhizal trees transfer 70% of their C between themselves, with little C transfer and 0% growth benefit for the recipient plant. Thus considering carbon only, the ecological significance of CMNs is 'mycocentric' vs 'plant-centric'.  Common mycelial networks have been found to be both mycocentric and plant-centric.</t>
  </si>
  <si>
    <t>Ectomycorrhizal fungi are particularly important sinks for C with 17-24% reaching the extraradical mycelium, where the drawdown of plant-fixed C was directly proportional to the hyphal density</t>
  </si>
  <si>
    <t>The C exchange in OM is very different to other mycorrhizal types, e.g., the green forest orchid, Goodyera repens, can receive 6.5 times more carbon (2.6% of that supplied) from the orchid than it receives (0.4% of that supplied) from the fungus. Orchids, especially those without chlorophyll are often dependent on OM and can receive 4-11% of their nitrogen from the fungus</t>
  </si>
  <si>
    <t xml:space="preserve">Plants in mycorrhizal symbioses allocate more C to their roots, especially fine roots, altering their shoot:root ratios, and contributing relatively more root litter and C belowground because of the colonization </t>
  </si>
  <si>
    <t>needle_broad</t>
  </si>
  <si>
    <t>broadleaf</t>
  </si>
  <si>
    <t>needle</t>
  </si>
  <si>
    <t>AMF</t>
  </si>
  <si>
    <t>AMF-ECM</t>
  </si>
  <si>
    <t>AMF-ECM-ERM</t>
  </si>
  <si>
    <t>ECM-ErM</t>
  </si>
  <si>
    <t>Column_title</t>
  </si>
  <si>
    <t>Description</t>
  </si>
  <si>
    <t>authors of peer review study unless otherwise stated</t>
  </si>
  <si>
    <t>title of study</t>
  </si>
  <si>
    <t>year of study</t>
  </si>
  <si>
    <t>journal name</t>
  </si>
  <si>
    <t>journal volume</t>
  </si>
  <si>
    <t>jounal issue</t>
  </si>
  <si>
    <t>page start</t>
  </si>
  <si>
    <t>page end</t>
  </si>
  <si>
    <t>number of pages</t>
  </si>
  <si>
    <t>DOI link</t>
  </si>
  <si>
    <t>Digital Object Identifier</t>
  </si>
  <si>
    <t>abstract or summary</t>
  </si>
  <si>
    <t>keywords</t>
  </si>
  <si>
    <t>article, book section, report, etc</t>
  </si>
  <si>
    <t>Scopus search, snowballing or pers comm</t>
  </si>
  <si>
    <t>include article for reading</t>
  </si>
  <si>
    <t>include article for data extraction</t>
  </si>
  <si>
    <t>include article to read about mechanisms of carbon storage by mycorrhiza</t>
  </si>
  <si>
    <t>include article to read about mycorrhiza, diversity and ecology</t>
  </si>
  <si>
    <t>include article to read about mycorrhiza and climate action</t>
  </si>
  <si>
    <t>include article to read about mycorrhiza, carbon storage and new methods</t>
  </si>
  <si>
    <t>search terms used, where applicable</t>
  </si>
  <si>
    <t>ecoregions according to Bailey</t>
  </si>
  <si>
    <t>land cover classes according to ESA</t>
  </si>
  <si>
    <t>plant functional type such as grass, crop or tree</t>
  </si>
  <si>
    <t>woody or herbaceous plant type</t>
  </si>
  <si>
    <t>plant genus</t>
  </si>
  <si>
    <t>plant species</t>
  </si>
  <si>
    <t>plant cultivar if relevant</t>
  </si>
  <si>
    <t>tree with needle or broadleaves</t>
  </si>
  <si>
    <t>mycorrhizal functional type (AM, EcM, ErM, etc)</t>
  </si>
  <si>
    <t>fungal genus</t>
  </si>
  <si>
    <t>fungal species or isolate</t>
  </si>
  <si>
    <t>method of calculating allocation of plant photosynthate (C ) to the fungal partner</t>
  </si>
  <si>
    <t>pulse labelling time if relevant</t>
  </si>
  <si>
    <t>pulse chase time if relevant</t>
  </si>
  <si>
    <t>ambient or elevated atmospheric CO2</t>
  </si>
  <si>
    <t>type of culture</t>
  </si>
  <si>
    <t>FACE experiment or not</t>
  </si>
  <si>
    <t>sample size</t>
  </si>
  <si>
    <t>latitude of field trial or institution where study took place</t>
  </si>
  <si>
    <t>longitude of field trial or institution where study took place</t>
  </si>
  <si>
    <t>colonization percentage of root by fungus</t>
  </si>
  <si>
    <t>hyphal length in cm/g soil</t>
  </si>
  <si>
    <t>average temperature of field, pot or in-vitro culture</t>
  </si>
  <si>
    <t>light conditions, usually of a pot or in-vitro culture</t>
  </si>
  <si>
    <t xml:space="preserve">percentage of plant photosynthate carbon allocated to fungus </t>
  </si>
  <si>
    <t>standard error of C_hypha_perc</t>
  </si>
  <si>
    <t>was hyphal carbon based on soil-free compartment (y=yes, n=no)</t>
  </si>
  <si>
    <t>overall statement based on results of C allocation study</t>
  </si>
  <si>
    <t>The total allocation of C to mycorrhizal external hyphae alone is 2.17 Gt C yr-1 for arbuscular mycorrhiza (AM); 1.71 Gt C yr-1 for ectomycorrhiza (ECM); and 0.03 Gt C yr-1 for ericoid mycorrhiza (ERM), equating to a total of 3.91 Gt or billion tons of C yr-1 or 14.35 billion tons of CO2 yr-1, or all emissions in 2021 from coal  (based on all citations with hyphal data in database)</t>
  </si>
  <si>
    <t xml:space="preserve">The 14.35 billion tons of CO2 yr-1 allocated to mycorrhizal hyphae is approximately to all the CO2 emissions from coal in 2021 (national estimates based on IEA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</si>
</sst>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
    <numFmt numFmtId="166" formatCode="0.0"/>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color rgb="FF4D5156"/>
      <name val="Calibri"/>
      <family val="2"/>
      <scheme val="minor"/>
    </font>
    <font>
      <sz val="11"/>
      <color rgb="FF000000"/>
      <name val="Calibri"/>
      <family val="2"/>
      <scheme val="minor"/>
    </font>
    <font>
      <sz val="11"/>
      <color rgb="FF2E2E2E"/>
      <name val="Calibri"/>
      <family val="2"/>
      <scheme val="minor"/>
    </font>
    <font>
      <sz val="11"/>
      <color rgb="FF1C1D1E"/>
      <name val="Calibri"/>
      <family val="2"/>
      <scheme val="minor"/>
    </font>
    <font>
      <sz val="11"/>
      <color theme="1"/>
      <name val="Calibri"/>
      <family val="2"/>
    </font>
    <font>
      <sz val="11"/>
      <name val="Arial"/>
      <family val="2"/>
    </font>
    <font>
      <i/>
      <sz val="11"/>
      <color rgb="FF000000"/>
      <name val="Calibri"/>
      <family val="2"/>
      <scheme val="minor"/>
    </font>
    <font>
      <i/>
      <sz val="11"/>
      <color rgb="FF323232"/>
      <name val="Calibri"/>
      <family val="2"/>
      <scheme val="minor"/>
    </font>
    <font>
      <sz val="11"/>
      <color rgb="FF201F1E"/>
      <name val="Calibri"/>
      <family val="2"/>
      <scheme val="minor"/>
    </font>
    <font>
      <sz val="11"/>
      <color rgb="FF339933"/>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C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3">
    <xf numFmtId="0" fontId="0" fillId="0" borderId="0" xfId="0"/>
    <xf numFmtId="0" fontId="14" fillId="0" borderId="0" xfId="0" applyFont="1"/>
    <xf numFmtId="0" fontId="19" fillId="0" borderId="0" xfId="0" applyFont="1"/>
    <xf numFmtId="0" fontId="20" fillId="0" borderId="0" xfId="0" applyFont="1"/>
    <xf numFmtId="16" fontId="0" fillId="0" borderId="0" xfId="0" applyNumberFormat="1"/>
    <xf numFmtId="0" fontId="21" fillId="0" borderId="0" xfId="0" applyFont="1"/>
    <xf numFmtId="0" fontId="19" fillId="0" borderId="0" xfId="0" applyFont="1" applyAlignment="1">
      <alignment vertical="center"/>
    </xf>
    <xf numFmtId="0" fontId="22" fillId="0" borderId="0" xfId="0" applyFont="1"/>
    <xf numFmtId="0" fontId="19" fillId="0" borderId="0" xfId="0" quotePrefix="1" applyFont="1"/>
    <xf numFmtId="0" fontId="23" fillId="0" borderId="0" xfId="0" applyFont="1"/>
    <xf numFmtId="1" fontId="0" fillId="0" borderId="0" xfId="0" applyNumberFormat="1"/>
    <xf numFmtId="166" fontId="0" fillId="0" borderId="0" xfId="0" applyNumberFormat="1"/>
    <xf numFmtId="164" fontId="0" fillId="0" borderId="0" xfId="0" applyNumberFormat="1"/>
    <xf numFmtId="164" fontId="14" fillId="0" borderId="0" xfId="0" applyNumberFormat="1" applyFont="1"/>
    <xf numFmtId="0" fontId="19" fillId="0" borderId="0" xfId="42" applyFont="1"/>
    <xf numFmtId="0" fontId="25" fillId="0" borderId="0" xfId="0" applyFont="1"/>
    <xf numFmtId="0" fontId="26" fillId="0" borderId="0" xfId="0" applyFont="1"/>
    <xf numFmtId="164" fontId="19" fillId="0" borderId="0" xfId="0" applyNumberFormat="1" applyFont="1"/>
    <xf numFmtId="0" fontId="28" fillId="0" borderId="0" xfId="0" applyFont="1"/>
    <xf numFmtId="0" fontId="29" fillId="33" borderId="0" xfId="6" applyFont="1" applyFill="1"/>
    <xf numFmtId="0" fontId="29" fillId="33" borderId="0" xfId="0" applyFont="1" applyFill="1"/>
    <xf numFmtId="165" fontId="29" fillId="33" borderId="0" xfId="6" applyNumberFormat="1" applyFont="1" applyFill="1"/>
    <xf numFmtId="2" fontId="29" fillId="33" borderId="0" xfId="6"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339933"/>
      <color rgb="FFCCFFCC"/>
      <color rgb="FF33CC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16/j.soilbio.2003.08.026" TargetMode="External"/><Relationship Id="rId18" Type="http://schemas.openxmlformats.org/officeDocument/2006/relationships/hyperlink" Target="https://doi.org/10.1016/j.soilbio.2003.08.026" TargetMode="External"/><Relationship Id="rId26" Type="http://schemas.openxmlformats.org/officeDocument/2006/relationships/hyperlink" Target="https://doi.org/10.1016/j.soilbio.2003.08.026" TargetMode="External"/><Relationship Id="rId39" Type="http://schemas.openxmlformats.org/officeDocument/2006/relationships/hyperlink" Target="https://doi.org/10.1016/j.soilbio.2003.08.026" TargetMode="External"/><Relationship Id="rId21" Type="http://schemas.openxmlformats.org/officeDocument/2006/relationships/hyperlink" Target="https://doi.org/10.1016/j.soilbio.2003.08.026" TargetMode="External"/><Relationship Id="rId34" Type="http://schemas.openxmlformats.org/officeDocument/2006/relationships/hyperlink" Target="https://doi.org/10.1016/j.soilbio.2003.08.026" TargetMode="External"/><Relationship Id="rId42" Type="http://schemas.openxmlformats.org/officeDocument/2006/relationships/hyperlink" Target="https://doi.org/10.1046/j.1469-8137.2000.00610.x" TargetMode="External"/><Relationship Id="rId47" Type="http://schemas.openxmlformats.org/officeDocument/2006/relationships/hyperlink" Target="https://doi.org/10.1046/j.1469-8137.2000.00610.x" TargetMode="External"/><Relationship Id="rId50" Type="http://schemas.openxmlformats.org/officeDocument/2006/relationships/hyperlink" Target="https://doi.org/10.1046/j.1469-8137.2001.00010.x" TargetMode="External"/><Relationship Id="rId7" Type="http://schemas.openxmlformats.org/officeDocument/2006/relationships/hyperlink" Target="https://doi.org/10.1016/j.soilbio.2003.08.026" TargetMode="External"/><Relationship Id="rId2" Type="http://schemas.openxmlformats.org/officeDocument/2006/relationships/hyperlink" Target="https://www.scopus.com/inward/record.uri?eid=2-s2.0-85074616347&amp;doi=10.1111%2fgcb.14851&amp;partnerID=40&amp;md5=e9e87a05e76f458b5a9b6f79b32e884f" TargetMode="External"/><Relationship Id="rId16" Type="http://schemas.openxmlformats.org/officeDocument/2006/relationships/hyperlink" Target="https://doi.org/10.1016/j.soilbio.2003.08.026" TargetMode="External"/><Relationship Id="rId29" Type="http://schemas.openxmlformats.org/officeDocument/2006/relationships/hyperlink" Target="https://doi.org/10.1016/j.soilbio.2003.08.026" TargetMode="External"/><Relationship Id="rId11" Type="http://schemas.openxmlformats.org/officeDocument/2006/relationships/hyperlink" Target="https://doi.org/10.1016/j.soilbio.2003.08.026" TargetMode="External"/><Relationship Id="rId24" Type="http://schemas.openxmlformats.org/officeDocument/2006/relationships/hyperlink" Target="https://doi.org/10.1016/j.soilbio.2003.08.026" TargetMode="External"/><Relationship Id="rId32" Type="http://schemas.openxmlformats.org/officeDocument/2006/relationships/hyperlink" Target="https://doi.org/10.1016/j.soilbio.2003.08.026" TargetMode="External"/><Relationship Id="rId37" Type="http://schemas.openxmlformats.org/officeDocument/2006/relationships/hyperlink" Target="https://doi.org/10.1016/j.soilbio.2003.08.026" TargetMode="External"/><Relationship Id="rId40" Type="http://schemas.openxmlformats.org/officeDocument/2006/relationships/hyperlink" Target="https://doi.org/10.1016/j.soilbio.2003.08.026" TargetMode="External"/><Relationship Id="rId45" Type="http://schemas.openxmlformats.org/officeDocument/2006/relationships/hyperlink" Target="https://doi.org/10.1046/j.1469-8137.2000.00610.x" TargetMode="External"/><Relationship Id="rId5" Type="http://schemas.openxmlformats.org/officeDocument/2006/relationships/hyperlink" Target="https://doi.org/10.1016/j.soilbio.2003.08.026" TargetMode="External"/><Relationship Id="rId15" Type="http://schemas.openxmlformats.org/officeDocument/2006/relationships/hyperlink" Target="https://doi.org/10.1016/j.soilbio.2003.08.026" TargetMode="External"/><Relationship Id="rId23" Type="http://schemas.openxmlformats.org/officeDocument/2006/relationships/hyperlink" Target="https://doi.org/10.1016/j.soilbio.2003.08.026" TargetMode="External"/><Relationship Id="rId28" Type="http://schemas.openxmlformats.org/officeDocument/2006/relationships/hyperlink" Target="https://doi.org/10.1016/j.soilbio.2003.08.026" TargetMode="External"/><Relationship Id="rId36" Type="http://schemas.openxmlformats.org/officeDocument/2006/relationships/hyperlink" Target="https://doi.org/10.1016/j.soilbio.2003.08.026" TargetMode="External"/><Relationship Id="rId49" Type="http://schemas.openxmlformats.org/officeDocument/2006/relationships/hyperlink" Target="https://doi.org/10.1046/j.1469-8137.2000.00610.x" TargetMode="External"/><Relationship Id="rId10" Type="http://schemas.openxmlformats.org/officeDocument/2006/relationships/hyperlink" Target="https://doi.org/10.1016/j.soilbio.2003.08.026" TargetMode="External"/><Relationship Id="rId19" Type="http://schemas.openxmlformats.org/officeDocument/2006/relationships/hyperlink" Target="https://doi.org/10.1016/j.soilbio.2003.08.026" TargetMode="External"/><Relationship Id="rId31" Type="http://schemas.openxmlformats.org/officeDocument/2006/relationships/hyperlink" Target="https://doi.org/10.1016/j.soilbio.2003.08.026" TargetMode="External"/><Relationship Id="rId44" Type="http://schemas.openxmlformats.org/officeDocument/2006/relationships/hyperlink" Target="https://doi.org/10.1046/j.1469-8137.2000.00610.x" TargetMode="External"/><Relationship Id="rId52" Type="http://schemas.openxmlformats.org/officeDocument/2006/relationships/printerSettings" Target="../printerSettings/printerSettings1.bin"/><Relationship Id="rId4" Type="http://schemas.openxmlformats.org/officeDocument/2006/relationships/hyperlink" Target="https://doi.org10.1111/j.1469-8137.2006.01853.x" TargetMode="External"/><Relationship Id="rId9" Type="http://schemas.openxmlformats.org/officeDocument/2006/relationships/hyperlink" Target="https://doi.org/10.1016/j.soilbio.2003.08.026" TargetMode="External"/><Relationship Id="rId14" Type="http://schemas.openxmlformats.org/officeDocument/2006/relationships/hyperlink" Target="https://doi.org/10.1016/j.soilbio.2003.08.026" TargetMode="External"/><Relationship Id="rId22" Type="http://schemas.openxmlformats.org/officeDocument/2006/relationships/hyperlink" Target="https://doi.org/10.1016/j.soilbio.2003.08.026" TargetMode="External"/><Relationship Id="rId27" Type="http://schemas.openxmlformats.org/officeDocument/2006/relationships/hyperlink" Target="https://doi.org/10.1016/j.soilbio.2003.08.026" TargetMode="External"/><Relationship Id="rId30" Type="http://schemas.openxmlformats.org/officeDocument/2006/relationships/hyperlink" Target="https://doi.org/10.1016/j.soilbio.2003.08.026" TargetMode="External"/><Relationship Id="rId35" Type="http://schemas.openxmlformats.org/officeDocument/2006/relationships/hyperlink" Target="https://doi.org/10.1016/j.soilbio.2003.08.026" TargetMode="External"/><Relationship Id="rId43" Type="http://schemas.openxmlformats.org/officeDocument/2006/relationships/hyperlink" Target="https://doi.org/10.1046/j.1469-8137.2000.00610.x" TargetMode="External"/><Relationship Id="rId48" Type="http://schemas.openxmlformats.org/officeDocument/2006/relationships/hyperlink" Target="https://doi.org/10.1046/j.1469-8137.2000.00610.x" TargetMode="External"/><Relationship Id="rId8" Type="http://schemas.openxmlformats.org/officeDocument/2006/relationships/hyperlink" Target="https://doi.org/10.1016/j.soilbio.2003.08.026" TargetMode="External"/><Relationship Id="rId51" Type="http://schemas.openxmlformats.org/officeDocument/2006/relationships/hyperlink" Target="https://doi.org/10.1046/j.1469-8137.2001.00010.x" TargetMode="External"/><Relationship Id="rId3" Type="http://schemas.openxmlformats.org/officeDocument/2006/relationships/hyperlink" Target="https://www.scopus.com/inward/record.uri?eid=2-s2.0-85074616347&amp;doi=10.1111%2fgcb.14851&amp;partnerID=40&amp;md5=e9e87a05e76f458b5a9b6f79b32e884f" TargetMode="External"/><Relationship Id="rId12" Type="http://schemas.openxmlformats.org/officeDocument/2006/relationships/hyperlink" Target="https://doi.org/10.1016/j.soilbio.2003.08.026" TargetMode="External"/><Relationship Id="rId17" Type="http://schemas.openxmlformats.org/officeDocument/2006/relationships/hyperlink" Target="https://doi.org/10.1016/j.soilbio.2003.08.026" TargetMode="External"/><Relationship Id="rId25" Type="http://schemas.openxmlformats.org/officeDocument/2006/relationships/hyperlink" Target="https://doi.org/10.1016/j.soilbio.2003.08.026" TargetMode="External"/><Relationship Id="rId33" Type="http://schemas.openxmlformats.org/officeDocument/2006/relationships/hyperlink" Target="https://doi.org/10.1016/j.soilbio.2003.08.026" TargetMode="External"/><Relationship Id="rId38" Type="http://schemas.openxmlformats.org/officeDocument/2006/relationships/hyperlink" Target="https://doi.org/10.1016/j.soilbio.2003.08.026" TargetMode="External"/><Relationship Id="rId46" Type="http://schemas.openxmlformats.org/officeDocument/2006/relationships/hyperlink" Target="https://doi.org/10.1046/j.1469-8137.2000.00610.x" TargetMode="External"/><Relationship Id="rId20" Type="http://schemas.openxmlformats.org/officeDocument/2006/relationships/hyperlink" Target="https://doi.org/10.1016/j.soilbio.2003.08.026" TargetMode="External"/><Relationship Id="rId41" Type="http://schemas.openxmlformats.org/officeDocument/2006/relationships/hyperlink" Target="https://doi.org/10.1111/j.1469-8137.2004.01049.x" TargetMode="External"/><Relationship Id="rId1" Type="http://schemas.openxmlformats.org/officeDocument/2006/relationships/hyperlink" Target="https://www.scopus.com/inward/record.uri?eid=2-s2.0-85074616347&amp;doi=10.1111%2fgcb.14851&amp;partnerID=40&amp;md5=e9e87a05e76f458b5a9b6f79b32e884f" TargetMode="External"/><Relationship Id="rId6" Type="http://schemas.openxmlformats.org/officeDocument/2006/relationships/hyperlink" Target="https://doi.org/10.1016/j.soilbio.2003.08.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012"/>
  <sheetViews>
    <sheetView tabSelected="1" zoomScale="99" zoomScaleNormal="99" workbookViewId="0">
      <pane xSplit="1" ySplit="1" topLeftCell="AI110" activePane="bottomRight" state="frozen"/>
      <selection pane="topRight" activeCell="B1" sqref="B1"/>
      <selection pane="bottomLeft" activeCell="A2" sqref="A2"/>
      <selection pane="bottomRight" activeCell="AZ1" sqref="AZ1:AZ1048576"/>
    </sheetView>
  </sheetViews>
  <sheetFormatPr defaultRowHeight="14.4" x14ac:dyDescent="0.55000000000000004"/>
  <cols>
    <col min="1" max="1" width="23.578125" customWidth="1"/>
    <col min="11" max="12" width="8.83984375" style="2"/>
    <col min="48" max="48" width="9.15625" style="19" bestFit="1" customWidth="1"/>
    <col min="52" max="52" width="8.83984375" style="19"/>
  </cols>
  <sheetData>
    <row r="1" spans="1:52" x14ac:dyDescent="0.55000000000000004">
      <c r="A1" t="s">
        <v>0</v>
      </c>
      <c r="B1" t="s">
        <v>1</v>
      </c>
      <c r="C1" t="s">
        <v>2</v>
      </c>
      <c r="D1" t="s">
        <v>3</v>
      </c>
      <c r="E1" t="s">
        <v>4</v>
      </c>
      <c r="F1" t="s">
        <v>5</v>
      </c>
      <c r="G1" t="s">
        <v>6</v>
      </c>
      <c r="H1" t="s">
        <v>7</v>
      </c>
      <c r="I1" t="s">
        <v>8</v>
      </c>
      <c r="J1" t="s">
        <v>9</v>
      </c>
      <c r="K1" s="2" t="s">
        <v>10</v>
      </c>
      <c r="L1" s="2" t="s">
        <v>11</v>
      </c>
      <c r="M1" t="s">
        <v>12</v>
      </c>
      <c r="N1" t="s">
        <v>13</v>
      </c>
      <c r="O1" t="s">
        <v>14</v>
      </c>
      <c r="P1" t="s">
        <v>15</v>
      </c>
      <c r="Q1" t="s">
        <v>16</v>
      </c>
      <c r="R1" t="s">
        <v>4559</v>
      </c>
      <c r="S1" t="s">
        <v>4561</v>
      </c>
      <c r="T1" t="s">
        <v>17</v>
      </c>
      <c r="U1" t="s">
        <v>4560</v>
      </c>
      <c r="V1" t="s">
        <v>18</v>
      </c>
      <c r="W1" t="s">
        <v>4565</v>
      </c>
      <c r="X1" t="s">
        <v>4493</v>
      </c>
      <c r="Y1" t="s">
        <v>4494</v>
      </c>
      <c r="Z1" t="s">
        <v>4364</v>
      </c>
      <c r="AA1" t="s">
        <v>5368</v>
      </c>
      <c r="AB1" t="s">
        <v>4361</v>
      </c>
      <c r="AC1" t="s">
        <v>4362</v>
      </c>
      <c r="AD1" t="s">
        <v>4363</v>
      </c>
      <c r="AE1" t="s">
        <v>5707</v>
      </c>
      <c r="AF1" t="s">
        <v>4365</v>
      </c>
      <c r="AG1" t="s">
        <v>4366</v>
      </c>
      <c r="AH1" t="s">
        <v>4580</v>
      </c>
      <c r="AI1" t="s">
        <v>4344</v>
      </c>
      <c r="AJ1" t="s">
        <v>4395</v>
      </c>
      <c r="AK1" t="s">
        <v>4396</v>
      </c>
      <c r="AL1" t="s">
        <v>5623</v>
      </c>
      <c r="AM1" t="s">
        <v>4333</v>
      </c>
      <c r="AN1" t="s">
        <v>4553</v>
      </c>
      <c r="AO1" t="s">
        <v>28</v>
      </c>
      <c r="AP1" t="s">
        <v>4331</v>
      </c>
      <c r="AQ1" t="s">
        <v>4332</v>
      </c>
      <c r="AR1" t="s">
        <v>4329</v>
      </c>
      <c r="AS1" t="s">
        <v>4340</v>
      </c>
      <c r="AT1" t="s">
        <v>4330</v>
      </c>
      <c r="AU1" t="s">
        <v>4335</v>
      </c>
      <c r="AV1" s="19" t="s">
        <v>4397</v>
      </c>
      <c r="AW1" t="s">
        <v>4398</v>
      </c>
      <c r="AX1" t="s">
        <v>4342</v>
      </c>
      <c r="AY1" t="s">
        <v>5467</v>
      </c>
      <c r="AZ1" s="19" t="s">
        <v>5428</v>
      </c>
    </row>
    <row r="2" spans="1:52" x14ac:dyDescent="0.55000000000000004">
      <c r="A2" t="s">
        <v>4441</v>
      </c>
      <c r="B2" t="s">
        <v>4442</v>
      </c>
      <c r="C2">
        <v>2006</v>
      </c>
      <c r="D2" t="s">
        <v>68</v>
      </c>
      <c r="E2">
        <v>172</v>
      </c>
      <c r="H2">
        <v>544</v>
      </c>
      <c r="I2">
        <v>553</v>
      </c>
      <c r="K2" s="2" t="s">
        <v>4443</v>
      </c>
      <c r="L2" s="14" t="s">
        <v>4444</v>
      </c>
      <c r="O2" t="s">
        <v>26</v>
      </c>
      <c r="P2" t="s">
        <v>4384</v>
      </c>
      <c r="Q2" t="s">
        <v>43</v>
      </c>
      <c r="R2" t="s">
        <v>43</v>
      </c>
      <c r="S2" t="s">
        <v>28</v>
      </c>
      <c r="T2" t="s">
        <v>28</v>
      </c>
      <c r="U2" t="s">
        <v>28</v>
      </c>
      <c r="V2" t="s">
        <v>28</v>
      </c>
      <c r="W2" s="5" t="s">
        <v>4336</v>
      </c>
      <c r="X2" t="s">
        <v>5624</v>
      </c>
      <c r="Y2" t="s">
        <v>4497</v>
      </c>
      <c r="Z2" t="s">
        <v>4447</v>
      </c>
      <c r="AA2" t="s">
        <v>4360</v>
      </c>
      <c r="AB2" t="s">
        <v>4445</v>
      </c>
      <c r="AC2" t="s">
        <v>4446</v>
      </c>
      <c r="AF2" t="s">
        <v>5710</v>
      </c>
      <c r="AG2" t="s">
        <v>4393</v>
      </c>
      <c r="AH2" t="s">
        <v>4448</v>
      </c>
      <c r="AI2" t="s">
        <v>4357</v>
      </c>
      <c r="AJ2">
        <v>16</v>
      </c>
      <c r="AK2">
        <v>6</v>
      </c>
      <c r="AL2" t="s">
        <v>5408</v>
      </c>
      <c r="AM2" t="s">
        <v>4334</v>
      </c>
      <c r="AO2">
        <v>4</v>
      </c>
      <c r="AP2">
        <v>48.160373</v>
      </c>
      <c r="AQ2">
        <v>11.521642999999999</v>
      </c>
      <c r="AR2">
        <v>32</v>
      </c>
      <c r="AS2" t="s">
        <v>4449</v>
      </c>
      <c r="AT2">
        <f>AVERAGE(15,20)</f>
        <v>17.5</v>
      </c>
      <c r="AU2">
        <v>525</v>
      </c>
      <c r="AV2" s="19">
        <v>6</v>
      </c>
      <c r="AX2" t="s">
        <v>4450</v>
      </c>
      <c r="AZ2" s="19" t="s">
        <v>5678</v>
      </c>
    </row>
    <row r="3" spans="1:52" x14ac:dyDescent="0.55000000000000004">
      <c r="A3" t="s">
        <v>3847</v>
      </c>
      <c r="B3" t="s">
        <v>3848</v>
      </c>
      <c r="C3">
        <v>2000</v>
      </c>
      <c r="D3" t="s">
        <v>186</v>
      </c>
      <c r="E3">
        <v>226</v>
      </c>
      <c r="F3">
        <v>2</v>
      </c>
      <c r="H3">
        <v>255</v>
      </c>
      <c r="I3">
        <v>261</v>
      </c>
      <c r="K3" s="2" t="s">
        <v>3849</v>
      </c>
      <c r="L3" s="2" t="s">
        <v>3850</v>
      </c>
      <c r="M3" t="s">
        <v>3851</v>
      </c>
      <c r="N3" t="s">
        <v>3852</v>
      </c>
      <c r="O3" t="s">
        <v>26</v>
      </c>
      <c r="P3" t="s">
        <v>27</v>
      </c>
      <c r="Q3" t="s">
        <v>43</v>
      </c>
      <c r="R3" t="s">
        <v>43</v>
      </c>
      <c r="S3" t="s">
        <v>28</v>
      </c>
      <c r="T3" t="s">
        <v>28</v>
      </c>
      <c r="U3" t="s">
        <v>28</v>
      </c>
      <c r="V3" t="s">
        <v>28</v>
      </c>
      <c r="W3" s="16" t="s">
        <v>5629</v>
      </c>
      <c r="X3" t="s">
        <v>5624</v>
      </c>
      <c r="Y3" t="s">
        <v>4497</v>
      </c>
      <c r="Z3" t="s">
        <v>5469</v>
      </c>
      <c r="AA3" t="s">
        <v>4360</v>
      </c>
      <c r="AB3" t="s">
        <v>4371</v>
      </c>
      <c r="AC3" t="s">
        <v>4370</v>
      </c>
      <c r="AF3" t="s">
        <v>5710</v>
      </c>
      <c r="AG3" t="s">
        <v>4367</v>
      </c>
      <c r="AH3" t="s">
        <v>4368</v>
      </c>
      <c r="AI3" t="s">
        <v>4357</v>
      </c>
      <c r="AJ3">
        <f>8*7*24</f>
        <v>1344</v>
      </c>
      <c r="AK3">
        <v>0</v>
      </c>
      <c r="AL3" t="s">
        <v>5408</v>
      </c>
      <c r="AM3" t="s">
        <v>4440</v>
      </c>
      <c r="AO3">
        <f>5*2</f>
        <v>10</v>
      </c>
      <c r="AP3">
        <v>32.279288999999999</v>
      </c>
      <c r="AQ3">
        <v>-106.749139</v>
      </c>
      <c r="AT3">
        <v>24</v>
      </c>
      <c r="AV3" s="21">
        <v>26</v>
      </c>
      <c r="AW3" s="12"/>
      <c r="AX3" t="s">
        <v>5508</v>
      </c>
      <c r="AZ3" s="19" t="s">
        <v>5766</v>
      </c>
    </row>
    <row r="4" spans="1:52" x14ac:dyDescent="0.55000000000000004">
      <c r="A4" t="s">
        <v>4400</v>
      </c>
      <c r="B4" t="s">
        <v>4399</v>
      </c>
      <c r="C4">
        <v>1988</v>
      </c>
      <c r="D4" t="s">
        <v>2637</v>
      </c>
      <c r="E4">
        <v>86</v>
      </c>
      <c r="H4">
        <v>491</v>
      </c>
      <c r="I4">
        <v>496</v>
      </c>
      <c r="K4" s="2" t="s">
        <v>4401</v>
      </c>
      <c r="M4" t="s">
        <v>4402</v>
      </c>
      <c r="O4" t="s">
        <v>26</v>
      </c>
      <c r="P4" t="s">
        <v>4384</v>
      </c>
      <c r="Q4" t="s">
        <v>43</v>
      </c>
      <c r="R4" t="s">
        <v>43</v>
      </c>
      <c r="S4" t="s">
        <v>43</v>
      </c>
      <c r="T4" t="s">
        <v>28</v>
      </c>
      <c r="U4" t="s">
        <v>28</v>
      </c>
      <c r="V4" t="s">
        <v>28</v>
      </c>
      <c r="W4" s="5" t="s">
        <v>4336</v>
      </c>
      <c r="X4" t="s">
        <v>5624</v>
      </c>
      <c r="Y4" t="s">
        <v>5490</v>
      </c>
      <c r="Z4" t="s">
        <v>4358</v>
      </c>
      <c r="AA4" t="s">
        <v>5369</v>
      </c>
      <c r="AB4" t="s">
        <v>4403</v>
      </c>
      <c r="AC4" t="s">
        <v>4404</v>
      </c>
      <c r="AD4" t="s">
        <v>4405</v>
      </c>
      <c r="AF4" t="s">
        <v>5710</v>
      </c>
      <c r="AG4" t="s">
        <v>4367</v>
      </c>
      <c r="AH4" t="s">
        <v>4368</v>
      </c>
      <c r="AI4" t="s">
        <v>4343</v>
      </c>
      <c r="AJ4" s="11">
        <f>20/60</f>
        <v>0.33333333333333331</v>
      </c>
      <c r="AK4">
        <v>2</v>
      </c>
      <c r="AL4" t="s">
        <v>5408</v>
      </c>
      <c r="AM4" t="s">
        <v>4334</v>
      </c>
      <c r="AO4">
        <v>6</v>
      </c>
      <c r="AP4">
        <v>29.651634000000001</v>
      </c>
      <c r="AQ4">
        <v>-82.324826000000002</v>
      </c>
      <c r="AR4">
        <v>74</v>
      </c>
      <c r="AT4">
        <v>35</v>
      </c>
      <c r="AU4">
        <v>700</v>
      </c>
      <c r="AV4" s="21">
        <v>2.8</v>
      </c>
      <c r="AW4" s="12"/>
      <c r="AX4" t="s">
        <v>5557</v>
      </c>
      <c r="AZ4" s="19" t="s">
        <v>5767</v>
      </c>
    </row>
    <row r="5" spans="1:52" x14ac:dyDescent="0.55000000000000004">
      <c r="A5" t="s">
        <v>4400</v>
      </c>
      <c r="B5" t="s">
        <v>4399</v>
      </c>
      <c r="C5">
        <v>1988</v>
      </c>
      <c r="D5" t="s">
        <v>2637</v>
      </c>
      <c r="E5">
        <v>86</v>
      </c>
      <c r="H5">
        <v>491</v>
      </c>
      <c r="I5">
        <v>496</v>
      </c>
      <c r="K5" s="2" t="s">
        <v>4401</v>
      </c>
      <c r="M5" t="s">
        <v>4402</v>
      </c>
      <c r="O5" t="s">
        <v>26</v>
      </c>
      <c r="P5" t="s">
        <v>4384</v>
      </c>
      <c r="Q5" t="s">
        <v>43</v>
      </c>
      <c r="R5" t="s">
        <v>43</v>
      </c>
      <c r="S5" t="s">
        <v>43</v>
      </c>
      <c r="T5" t="s">
        <v>28</v>
      </c>
      <c r="U5" t="s">
        <v>28</v>
      </c>
      <c r="V5" t="s">
        <v>28</v>
      </c>
      <c r="W5" s="5" t="s">
        <v>4336</v>
      </c>
      <c r="X5" t="s">
        <v>5624</v>
      </c>
      <c r="Y5" t="s">
        <v>5490</v>
      </c>
      <c r="Z5" t="s">
        <v>4358</v>
      </c>
      <c r="AA5" t="s">
        <v>5369</v>
      </c>
      <c r="AB5" t="s">
        <v>4403</v>
      </c>
      <c r="AC5" t="s">
        <v>4404</v>
      </c>
      <c r="AD5" t="s">
        <v>4405</v>
      </c>
      <c r="AF5" t="s">
        <v>5710</v>
      </c>
      <c r="AG5" t="s">
        <v>4367</v>
      </c>
      <c r="AH5" t="s">
        <v>4368</v>
      </c>
      <c r="AI5" t="s">
        <v>4343</v>
      </c>
      <c r="AJ5" s="11">
        <f>20/60</f>
        <v>0.33333333333333331</v>
      </c>
      <c r="AK5">
        <v>2</v>
      </c>
      <c r="AL5" t="s">
        <v>5408</v>
      </c>
      <c r="AM5" t="s">
        <v>4334</v>
      </c>
      <c r="AO5">
        <v>6</v>
      </c>
      <c r="AP5">
        <v>29.651634000000001</v>
      </c>
      <c r="AQ5">
        <v>-82.324826000000002</v>
      </c>
      <c r="AR5">
        <v>77</v>
      </c>
      <c r="AT5">
        <v>35</v>
      </c>
      <c r="AU5">
        <v>700</v>
      </c>
      <c r="AV5" s="21">
        <v>0.24</v>
      </c>
      <c r="AW5" s="12"/>
      <c r="AX5" t="s">
        <v>5558</v>
      </c>
      <c r="AZ5" s="19" t="s">
        <v>5679</v>
      </c>
    </row>
    <row r="6" spans="1:52" x14ac:dyDescent="0.55000000000000004">
      <c r="A6" t="s">
        <v>1941</v>
      </c>
      <c r="B6" t="s">
        <v>1942</v>
      </c>
      <c r="C6">
        <v>2015</v>
      </c>
      <c r="D6" t="s">
        <v>68</v>
      </c>
      <c r="E6">
        <v>208</v>
      </c>
      <c r="F6">
        <v>1</v>
      </c>
      <c r="H6">
        <v>280</v>
      </c>
      <c r="I6">
        <v>293</v>
      </c>
      <c r="K6" s="2" t="s">
        <v>1943</v>
      </c>
      <c r="L6" s="2" t="s">
        <v>1944</v>
      </c>
      <c r="M6" t="s">
        <v>1945</v>
      </c>
      <c r="N6" t="s">
        <v>1946</v>
      </c>
      <c r="O6" t="s">
        <v>26</v>
      </c>
      <c r="P6" t="s">
        <v>27</v>
      </c>
      <c r="Q6" t="s">
        <v>43</v>
      </c>
      <c r="R6" t="s">
        <v>28</v>
      </c>
      <c r="S6" t="s">
        <v>43</v>
      </c>
      <c r="T6" t="s">
        <v>43</v>
      </c>
      <c r="U6" t="s">
        <v>43</v>
      </c>
      <c r="V6" t="s">
        <v>43</v>
      </c>
      <c r="W6" s="16" t="s">
        <v>5629</v>
      </c>
      <c r="X6" t="s">
        <v>5624</v>
      </c>
      <c r="Y6" t="s">
        <v>4500</v>
      </c>
      <c r="Z6" t="s">
        <v>4360</v>
      </c>
      <c r="AA6" t="s">
        <v>4360</v>
      </c>
      <c r="AB6" s="3"/>
      <c r="AF6" t="s">
        <v>5710</v>
      </c>
      <c r="AG6" t="s">
        <v>4419</v>
      </c>
      <c r="AH6" t="s">
        <v>4420</v>
      </c>
      <c r="AI6" t="s">
        <v>4415</v>
      </c>
      <c r="AL6" t="s">
        <v>5408</v>
      </c>
      <c r="AM6" t="s">
        <v>4355</v>
      </c>
      <c r="AO6">
        <v>7</v>
      </c>
    </row>
    <row r="7" spans="1:52" x14ac:dyDescent="0.55000000000000004">
      <c r="A7" t="s">
        <v>177</v>
      </c>
      <c r="B7" t="s">
        <v>178</v>
      </c>
      <c r="C7">
        <v>2022</v>
      </c>
      <c r="D7" t="s">
        <v>179</v>
      </c>
      <c r="K7" s="2" t="s">
        <v>180</v>
      </c>
      <c r="L7" s="2" t="s">
        <v>181</v>
      </c>
      <c r="M7" t="s">
        <v>182</v>
      </c>
      <c r="N7" t="s">
        <v>183</v>
      </c>
      <c r="O7" t="s">
        <v>26</v>
      </c>
      <c r="P7" t="s">
        <v>27</v>
      </c>
      <c r="Q7" t="s">
        <v>43</v>
      </c>
      <c r="R7" t="s">
        <v>43</v>
      </c>
      <c r="S7" t="s">
        <v>28</v>
      </c>
      <c r="T7" t="s">
        <v>28</v>
      </c>
      <c r="U7" t="s">
        <v>28</v>
      </c>
      <c r="V7" t="s">
        <v>28</v>
      </c>
      <c r="W7" s="16" t="s">
        <v>5629</v>
      </c>
      <c r="X7" t="s">
        <v>5624</v>
      </c>
      <c r="Y7" t="s">
        <v>4497</v>
      </c>
      <c r="Z7" t="s">
        <v>4385</v>
      </c>
      <c r="AA7" t="s">
        <v>4360</v>
      </c>
      <c r="AB7" t="s">
        <v>4501</v>
      </c>
      <c r="AC7" t="s">
        <v>4502</v>
      </c>
      <c r="AF7" t="s">
        <v>5710</v>
      </c>
      <c r="AG7" t="s">
        <v>4504</v>
      </c>
      <c r="AH7" t="s">
        <v>4390</v>
      </c>
      <c r="AI7" t="s">
        <v>4357</v>
      </c>
      <c r="AJ7">
        <v>9</v>
      </c>
      <c r="AK7">
        <v>0</v>
      </c>
      <c r="AL7" t="s">
        <v>5408</v>
      </c>
      <c r="AM7" t="s">
        <v>4334</v>
      </c>
      <c r="AO7">
        <v>3</v>
      </c>
      <c r="AP7">
        <v>39.998013</v>
      </c>
      <c r="AQ7">
        <v>116.348645</v>
      </c>
      <c r="AR7">
        <f>AVERAGE(77,81)</f>
        <v>79</v>
      </c>
      <c r="AS7" t="s">
        <v>4503</v>
      </c>
      <c r="AT7" s="10">
        <f>AVERAGE(41,38,37)</f>
        <v>38.666666666666664</v>
      </c>
      <c r="AV7" s="21">
        <v>0.11899999999999999</v>
      </c>
      <c r="AW7" s="12"/>
      <c r="AX7" t="s">
        <v>5509</v>
      </c>
    </row>
    <row r="8" spans="1:52" x14ac:dyDescent="0.55000000000000004">
      <c r="A8" t="s">
        <v>452</v>
      </c>
      <c r="B8" t="s">
        <v>453</v>
      </c>
      <c r="C8">
        <v>2021</v>
      </c>
      <c r="D8" t="s">
        <v>441</v>
      </c>
      <c r="E8">
        <v>3</v>
      </c>
      <c r="F8">
        <v>5</v>
      </c>
      <c r="H8">
        <v>553</v>
      </c>
      <c r="I8">
        <v>566</v>
      </c>
      <c r="K8" s="2" t="s">
        <v>454</v>
      </c>
      <c r="L8" s="2" t="s">
        <v>455</v>
      </c>
      <c r="M8" t="s">
        <v>456</v>
      </c>
      <c r="N8" t="s">
        <v>457</v>
      </c>
      <c r="O8" t="s">
        <v>26</v>
      </c>
      <c r="P8" t="s">
        <v>27</v>
      </c>
      <c r="Q8" t="s">
        <v>43</v>
      </c>
      <c r="R8" t="s">
        <v>43</v>
      </c>
      <c r="S8" t="s">
        <v>28</v>
      </c>
      <c r="T8" t="s">
        <v>43</v>
      </c>
      <c r="U8" t="s">
        <v>28</v>
      </c>
      <c r="V8" t="s">
        <v>28</v>
      </c>
      <c r="W8" s="16" t="s">
        <v>5629</v>
      </c>
      <c r="X8" t="s">
        <v>5624</v>
      </c>
      <c r="Y8" t="s">
        <v>4497</v>
      </c>
      <c r="Z8" t="s">
        <v>4385</v>
      </c>
      <c r="AA8" t="s">
        <v>4360</v>
      </c>
      <c r="AB8" t="s">
        <v>4512</v>
      </c>
      <c r="AC8" t="s">
        <v>4513</v>
      </c>
      <c r="AD8" t="s">
        <v>4341</v>
      </c>
      <c r="AF8" t="s">
        <v>5710</v>
      </c>
      <c r="AG8" t="s">
        <v>4367</v>
      </c>
      <c r="AH8" t="s">
        <v>4368</v>
      </c>
      <c r="AI8" t="s">
        <v>4343</v>
      </c>
      <c r="AJ8" s="2">
        <v>22</v>
      </c>
      <c r="AK8" s="2">
        <v>22</v>
      </c>
      <c r="AL8" t="s">
        <v>5408</v>
      </c>
      <c r="AM8" t="s">
        <v>4334</v>
      </c>
      <c r="AO8">
        <v>12</v>
      </c>
      <c r="AP8" s="2">
        <v>53.806680999999998</v>
      </c>
      <c r="AQ8" s="2">
        <v>-1.5550330000000001</v>
      </c>
      <c r="AR8" s="2">
        <v>18</v>
      </c>
      <c r="AS8" s="1"/>
      <c r="AT8" s="2">
        <v>20</v>
      </c>
      <c r="AU8" s="2">
        <v>225</v>
      </c>
      <c r="AV8" s="21">
        <v>0.20306650003152979</v>
      </c>
      <c r="AW8" s="13"/>
      <c r="AX8" t="s">
        <v>5510</v>
      </c>
    </row>
    <row r="9" spans="1:52" x14ac:dyDescent="0.55000000000000004">
      <c r="A9" t="s">
        <v>452</v>
      </c>
      <c r="B9" t="s">
        <v>453</v>
      </c>
      <c r="C9">
        <v>2021</v>
      </c>
      <c r="D9" t="s">
        <v>441</v>
      </c>
      <c r="E9">
        <v>3</v>
      </c>
      <c r="F9">
        <v>5</v>
      </c>
      <c r="H9">
        <v>553</v>
      </c>
      <c r="I9">
        <v>566</v>
      </c>
      <c r="K9" s="2" t="s">
        <v>454</v>
      </c>
      <c r="L9" s="2" t="s">
        <v>455</v>
      </c>
      <c r="M9" t="s">
        <v>456</v>
      </c>
      <c r="N9" t="s">
        <v>457</v>
      </c>
      <c r="O9" t="s">
        <v>26</v>
      </c>
      <c r="P9" t="s">
        <v>27</v>
      </c>
      <c r="Q9" t="s">
        <v>43</v>
      </c>
      <c r="R9" t="s">
        <v>43</v>
      </c>
      <c r="S9" t="s">
        <v>28</v>
      </c>
      <c r="T9" t="s">
        <v>43</v>
      </c>
      <c r="U9" t="s">
        <v>28</v>
      </c>
      <c r="V9" t="s">
        <v>28</v>
      </c>
      <c r="W9" s="16" t="s">
        <v>5629</v>
      </c>
      <c r="X9" t="s">
        <v>5624</v>
      </c>
      <c r="Y9" t="s">
        <v>4497</v>
      </c>
      <c r="Z9" t="s">
        <v>4385</v>
      </c>
      <c r="AA9" t="s">
        <v>4360</v>
      </c>
      <c r="AB9" t="s">
        <v>4512</v>
      </c>
      <c r="AC9" t="s">
        <v>4513</v>
      </c>
      <c r="AD9" t="s">
        <v>4552</v>
      </c>
      <c r="AF9" t="s">
        <v>5710</v>
      </c>
      <c r="AG9" t="s">
        <v>4367</v>
      </c>
      <c r="AH9" t="s">
        <v>4368</v>
      </c>
      <c r="AI9" t="s">
        <v>4343</v>
      </c>
      <c r="AJ9" s="2">
        <v>22</v>
      </c>
      <c r="AK9" s="2">
        <v>22</v>
      </c>
      <c r="AL9" t="s">
        <v>5408</v>
      </c>
      <c r="AM9" t="s">
        <v>4334</v>
      </c>
      <c r="AO9">
        <v>12</v>
      </c>
      <c r="AP9" s="2">
        <v>53.806680999999998</v>
      </c>
      <c r="AQ9" s="2">
        <v>-1.5550330000000001</v>
      </c>
      <c r="AR9" s="2">
        <v>10</v>
      </c>
      <c r="AS9" s="1"/>
      <c r="AT9" s="2">
        <v>20</v>
      </c>
      <c r="AU9" s="2">
        <v>225</v>
      </c>
      <c r="AV9" s="21">
        <v>9.1660390852017548E-2</v>
      </c>
      <c r="AW9" s="13"/>
      <c r="AX9" t="s">
        <v>5510</v>
      </c>
    </row>
    <row r="10" spans="1:52" x14ac:dyDescent="0.55000000000000004">
      <c r="A10" s="2" t="s">
        <v>458</v>
      </c>
      <c r="B10" t="s">
        <v>459</v>
      </c>
      <c r="C10">
        <v>2021</v>
      </c>
      <c r="D10" t="s">
        <v>38</v>
      </c>
      <c r="E10">
        <v>781</v>
      </c>
      <c r="G10">
        <v>146748</v>
      </c>
      <c r="K10" s="2" t="s">
        <v>460</v>
      </c>
      <c r="L10" s="2" t="s">
        <v>461</v>
      </c>
      <c r="M10" t="s">
        <v>462</v>
      </c>
      <c r="N10" t="s">
        <v>463</v>
      </c>
      <c r="O10" t="s">
        <v>26</v>
      </c>
      <c r="P10" t="s">
        <v>27</v>
      </c>
      <c r="Q10" t="s">
        <v>43</v>
      </c>
      <c r="R10" t="s">
        <v>43</v>
      </c>
      <c r="S10" t="s">
        <v>28</v>
      </c>
      <c r="T10" t="s">
        <v>43</v>
      </c>
      <c r="U10" t="s">
        <v>28</v>
      </c>
      <c r="V10" t="s">
        <v>43</v>
      </c>
      <c r="W10" s="16" t="s">
        <v>5629</v>
      </c>
      <c r="X10" t="s">
        <v>5624</v>
      </c>
      <c r="Y10" t="s">
        <v>4496</v>
      </c>
      <c r="Z10" t="s">
        <v>4359</v>
      </c>
      <c r="AA10" t="s">
        <v>5369</v>
      </c>
      <c r="AB10" t="s">
        <v>4536</v>
      </c>
      <c r="AC10" t="s">
        <v>4537</v>
      </c>
      <c r="AF10" t="s">
        <v>5710</v>
      </c>
      <c r="AG10" t="s">
        <v>4419</v>
      </c>
      <c r="AH10" t="s">
        <v>4420</v>
      </c>
      <c r="AI10" t="s">
        <v>4357</v>
      </c>
      <c r="AJ10">
        <v>1</v>
      </c>
      <c r="AK10">
        <v>22</v>
      </c>
      <c r="AL10" t="s">
        <v>5408</v>
      </c>
      <c r="AM10" t="s">
        <v>4355</v>
      </c>
      <c r="AO10">
        <v>4</v>
      </c>
      <c r="AP10">
        <v>-32.96</v>
      </c>
      <c r="AQ10">
        <v>-71.06</v>
      </c>
      <c r="AR10">
        <v>23</v>
      </c>
      <c r="AT10">
        <v>15.5</v>
      </c>
      <c r="AV10" s="21">
        <v>0.43400000000000005</v>
      </c>
      <c r="AW10" s="12"/>
      <c r="AX10" t="s">
        <v>4583</v>
      </c>
    </row>
    <row r="11" spans="1:52" x14ac:dyDescent="0.55000000000000004">
      <c r="A11" s="2" t="s">
        <v>458</v>
      </c>
      <c r="B11" t="s">
        <v>459</v>
      </c>
      <c r="C11">
        <v>2021</v>
      </c>
      <c r="D11" t="s">
        <v>38</v>
      </c>
      <c r="E11">
        <v>781</v>
      </c>
      <c r="G11">
        <v>146748</v>
      </c>
      <c r="K11" s="2" t="s">
        <v>460</v>
      </c>
      <c r="L11" s="2" t="s">
        <v>461</v>
      </c>
      <c r="M11" t="s">
        <v>462</v>
      </c>
      <c r="N11" t="s">
        <v>463</v>
      </c>
      <c r="O11" t="s">
        <v>26</v>
      </c>
      <c r="P11" t="s">
        <v>27</v>
      </c>
      <c r="Q11" t="s">
        <v>43</v>
      </c>
      <c r="R11" t="s">
        <v>43</v>
      </c>
      <c r="S11" t="s">
        <v>28</v>
      </c>
      <c r="T11" t="s">
        <v>43</v>
      </c>
      <c r="U11" t="s">
        <v>28</v>
      </c>
      <c r="V11" t="s">
        <v>43</v>
      </c>
      <c r="W11" s="16" t="s">
        <v>5629</v>
      </c>
      <c r="X11" t="s">
        <v>5624</v>
      </c>
      <c r="Y11" t="s">
        <v>4495</v>
      </c>
      <c r="Z11" t="s">
        <v>4358</v>
      </c>
      <c r="AA11" t="s">
        <v>5369</v>
      </c>
      <c r="AB11" t="s">
        <v>4538</v>
      </c>
      <c r="AC11" t="s">
        <v>4539</v>
      </c>
      <c r="AF11" t="s">
        <v>5710</v>
      </c>
      <c r="AG11" t="s">
        <v>4419</v>
      </c>
      <c r="AH11" t="s">
        <v>4420</v>
      </c>
      <c r="AI11" t="s">
        <v>4357</v>
      </c>
      <c r="AJ11">
        <f>180/60</f>
        <v>3</v>
      </c>
      <c r="AK11">
        <v>22</v>
      </c>
      <c r="AL11" t="s">
        <v>5408</v>
      </c>
      <c r="AM11" t="s">
        <v>4355</v>
      </c>
      <c r="AO11">
        <v>4</v>
      </c>
      <c r="AP11">
        <v>-37.81</v>
      </c>
      <c r="AQ11">
        <v>-73.010000000000005</v>
      </c>
      <c r="AR11">
        <v>44</v>
      </c>
      <c r="AT11">
        <v>7</v>
      </c>
      <c r="AV11" s="21">
        <v>0.18099999999999999</v>
      </c>
      <c r="AW11" s="12"/>
      <c r="AX11" t="s">
        <v>5554</v>
      </c>
    </row>
    <row r="12" spans="1:52" x14ac:dyDescent="0.55000000000000004">
      <c r="A12" s="2" t="s">
        <v>458</v>
      </c>
      <c r="B12" t="s">
        <v>459</v>
      </c>
      <c r="C12">
        <v>2021</v>
      </c>
      <c r="D12" t="s">
        <v>38</v>
      </c>
      <c r="E12">
        <v>781</v>
      </c>
      <c r="G12">
        <v>146748</v>
      </c>
      <c r="K12" s="2" t="s">
        <v>460</v>
      </c>
      <c r="L12" s="2" t="s">
        <v>461</v>
      </c>
      <c r="M12" t="s">
        <v>462</v>
      </c>
      <c r="N12" t="s">
        <v>463</v>
      </c>
      <c r="O12" t="s">
        <v>26</v>
      </c>
      <c r="P12" t="s">
        <v>27</v>
      </c>
      <c r="Q12" t="s">
        <v>43</v>
      </c>
      <c r="R12" t="s">
        <v>43</v>
      </c>
      <c r="S12" t="s">
        <v>28</v>
      </c>
      <c r="T12" t="s">
        <v>43</v>
      </c>
      <c r="U12" t="s">
        <v>28</v>
      </c>
      <c r="V12" t="s">
        <v>43</v>
      </c>
      <c r="W12" s="16" t="s">
        <v>5629</v>
      </c>
      <c r="X12" t="s">
        <v>5624</v>
      </c>
      <c r="Y12" t="s">
        <v>4496</v>
      </c>
      <c r="Z12" t="s">
        <v>4359</v>
      </c>
      <c r="AA12" t="s">
        <v>5369</v>
      </c>
      <c r="AB12" t="s">
        <v>4534</v>
      </c>
      <c r="AC12" t="s">
        <v>4535</v>
      </c>
      <c r="AF12" t="s">
        <v>5710</v>
      </c>
      <c r="AG12" t="s">
        <v>4419</v>
      </c>
      <c r="AH12" t="s">
        <v>4420</v>
      </c>
      <c r="AI12" t="s">
        <v>4357</v>
      </c>
      <c r="AJ12">
        <f>90/60</f>
        <v>1.5</v>
      </c>
      <c r="AK12">
        <v>22</v>
      </c>
      <c r="AL12" t="s">
        <v>5408</v>
      </c>
      <c r="AM12" t="s">
        <v>4355</v>
      </c>
      <c r="AO12">
        <v>4</v>
      </c>
      <c r="AP12">
        <v>-30.05</v>
      </c>
      <c r="AQ12">
        <v>-71.09</v>
      </c>
      <c r="AR12">
        <v>22</v>
      </c>
      <c r="AT12">
        <v>15.7</v>
      </c>
      <c r="AV12" s="21">
        <v>5.3900000000000003E-2</v>
      </c>
      <c r="AW12" s="12"/>
      <c r="AX12" t="s">
        <v>4584</v>
      </c>
    </row>
    <row r="13" spans="1:52" x14ac:dyDescent="0.55000000000000004">
      <c r="A13" t="s">
        <v>518</v>
      </c>
      <c r="B13" t="s">
        <v>519</v>
      </c>
      <c r="C13">
        <v>2021</v>
      </c>
      <c r="D13" t="s">
        <v>186</v>
      </c>
      <c r="E13">
        <v>462</v>
      </c>
      <c r="F13" s="4">
        <v>44563</v>
      </c>
      <c r="H13">
        <v>245</v>
      </c>
      <c r="I13">
        <v>255</v>
      </c>
      <c r="K13" s="2" t="s">
        <v>520</v>
      </c>
      <c r="L13" s="2" t="s">
        <v>521</v>
      </c>
      <c r="M13" t="s">
        <v>522</v>
      </c>
      <c r="N13" t="s">
        <v>523</v>
      </c>
      <c r="O13" t="s">
        <v>26</v>
      </c>
      <c r="P13" t="s">
        <v>27</v>
      </c>
      <c r="Q13" t="s">
        <v>43</v>
      </c>
      <c r="R13" t="s">
        <v>43</v>
      </c>
      <c r="S13" t="s">
        <v>28</v>
      </c>
      <c r="T13" t="s">
        <v>28</v>
      </c>
      <c r="U13" t="s">
        <v>28</v>
      </c>
      <c r="V13" t="s">
        <v>28</v>
      </c>
      <c r="W13" s="16" t="s">
        <v>5629</v>
      </c>
      <c r="X13" t="s">
        <v>5624</v>
      </c>
      <c r="Y13" t="s">
        <v>4498</v>
      </c>
      <c r="Z13" t="s">
        <v>4385</v>
      </c>
      <c r="AA13" t="s">
        <v>4360</v>
      </c>
      <c r="AB13" t="s">
        <v>4419</v>
      </c>
      <c r="AC13" t="s">
        <v>4420</v>
      </c>
      <c r="AF13" t="s">
        <v>5710</v>
      </c>
      <c r="AG13" t="s">
        <v>4419</v>
      </c>
      <c r="AH13" t="s">
        <v>4420</v>
      </c>
      <c r="AI13" t="s">
        <v>4357</v>
      </c>
      <c r="AJ13">
        <v>2</v>
      </c>
      <c r="AK13">
        <f>25*5</f>
        <v>125</v>
      </c>
      <c r="AL13" t="s">
        <v>5408</v>
      </c>
      <c r="AM13" t="s">
        <v>4355</v>
      </c>
      <c r="AO13">
        <v>6</v>
      </c>
      <c r="AP13">
        <v>55.7</v>
      </c>
      <c r="AQ13">
        <v>14.16667</v>
      </c>
      <c r="AV13" s="21">
        <v>5.2</v>
      </c>
      <c r="AW13" s="12"/>
      <c r="AX13" t="s">
        <v>5511</v>
      </c>
    </row>
    <row r="14" spans="1:52" x14ac:dyDescent="0.55000000000000004">
      <c r="A14" t="s">
        <v>518</v>
      </c>
      <c r="B14" t="s">
        <v>519</v>
      </c>
      <c r="C14">
        <v>2021</v>
      </c>
      <c r="D14" t="s">
        <v>186</v>
      </c>
      <c r="E14">
        <v>462</v>
      </c>
      <c r="F14" s="4">
        <v>44563</v>
      </c>
      <c r="H14">
        <v>245</v>
      </c>
      <c r="I14">
        <v>255</v>
      </c>
      <c r="K14" s="2" t="s">
        <v>520</v>
      </c>
      <c r="L14" s="2" t="s">
        <v>521</v>
      </c>
      <c r="M14" t="s">
        <v>522</v>
      </c>
      <c r="N14" t="s">
        <v>523</v>
      </c>
      <c r="O14" t="s">
        <v>26</v>
      </c>
      <c r="P14" t="s">
        <v>27</v>
      </c>
      <c r="Q14" t="s">
        <v>43</v>
      </c>
      <c r="R14" t="s">
        <v>43</v>
      </c>
      <c r="S14" t="s">
        <v>28</v>
      </c>
      <c r="T14" t="s">
        <v>28</v>
      </c>
      <c r="U14" t="s">
        <v>28</v>
      </c>
      <c r="V14" t="s">
        <v>28</v>
      </c>
      <c r="W14" s="16" t="s">
        <v>5629</v>
      </c>
      <c r="X14" t="s">
        <v>5624</v>
      </c>
      <c r="Y14" t="s">
        <v>4498</v>
      </c>
      <c r="Z14" t="s">
        <v>4385</v>
      </c>
      <c r="AA14" t="s">
        <v>4360</v>
      </c>
      <c r="AB14" t="s">
        <v>4419</v>
      </c>
      <c r="AC14" t="s">
        <v>4420</v>
      </c>
      <c r="AF14" t="s">
        <v>5710</v>
      </c>
      <c r="AG14" t="s">
        <v>4419</v>
      </c>
      <c r="AH14" t="s">
        <v>4420</v>
      </c>
      <c r="AI14" t="s">
        <v>4357</v>
      </c>
      <c r="AJ14">
        <v>2</v>
      </c>
      <c r="AK14">
        <f>25*5</f>
        <v>125</v>
      </c>
      <c r="AL14" t="s">
        <v>5408</v>
      </c>
      <c r="AM14" t="s">
        <v>4355</v>
      </c>
      <c r="AO14">
        <v>6</v>
      </c>
      <c r="AP14">
        <v>55.7</v>
      </c>
      <c r="AQ14">
        <v>14.16667</v>
      </c>
      <c r="AV14" s="21">
        <v>27.6</v>
      </c>
      <c r="AW14" s="12"/>
      <c r="AX14" t="s">
        <v>5512</v>
      </c>
    </row>
    <row r="15" spans="1:52" x14ac:dyDescent="0.55000000000000004">
      <c r="A15" t="s">
        <v>518</v>
      </c>
      <c r="B15" t="s">
        <v>519</v>
      </c>
      <c r="C15">
        <v>2021</v>
      </c>
      <c r="D15" t="s">
        <v>186</v>
      </c>
      <c r="E15">
        <v>462</v>
      </c>
      <c r="F15" s="4">
        <v>44563</v>
      </c>
      <c r="H15">
        <v>245</v>
      </c>
      <c r="I15">
        <v>255</v>
      </c>
      <c r="K15" s="2" t="s">
        <v>520</v>
      </c>
      <c r="L15" s="2" t="s">
        <v>521</v>
      </c>
      <c r="M15" t="s">
        <v>522</v>
      </c>
      <c r="N15" t="s">
        <v>523</v>
      </c>
      <c r="O15" t="s">
        <v>26</v>
      </c>
      <c r="P15" t="s">
        <v>27</v>
      </c>
      <c r="Q15" t="s">
        <v>43</v>
      </c>
      <c r="R15" t="s">
        <v>43</v>
      </c>
      <c r="S15" t="s">
        <v>28</v>
      </c>
      <c r="T15" t="s">
        <v>28</v>
      </c>
      <c r="U15" t="s">
        <v>28</v>
      </c>
      <c r="V15" t="s">
        <v>28</v>
      </c>
      <c r="W15" s="16" t="s">
        <v>5629</v>
      </c>
      <c r="X15" t="s">
        <v>5624</v>
      </c>
      <c r="Y15" t="s">
        <v>4498</v>
      </c>
      <c r="Z15" t="s">
        <v>4385</v>
      </c>
      <c r="AA15" t="s">
        <v>4360</v>
      </c>
      <c r="AB15" t="s">
        <v>4419</v>
      </c>
      <c r="AC15" t="s">
        <v>4420</v>
      </c>
      <c r="AF15" t="s">
        <v>5710</v>
      </c>
      <c r="AG15" t="s">
        <v>4419</v>
      </c>
      <c r="AH15" t="s">
        <v>4420</v>
      </c>
      <c r="AI15" t="s">
        <v>4357</v>
      </c>
      <c r="AJ15">
        <v>2</v>
      </c>
      <c r="AK15">
        <f>25*5</f>
        <v>125</v>
      </c>
      <c r="AL15" t="s">
        <v>5408</v>
      </c>
      <c r="AM15" t="s">
        <v>4355</v>
      </c>
      <c r="AO15">
        <v>6</v>
      </c>
      <c r="AP15">
        <v>55.7</v>
      </c>
      <c r="AQ15">
        <v>14.16667</v>
      </c>
      <c r="AV15" s="21">
        <v>46.6</v>
      </c>
      <c r="AW15" s="12"/>
      <c r="AX15" t="s">
        <v>5513</v>
      </c>
    </row>
    <row r="16" spans="1:52" x14ac:dyDescent="0.55000000000000004">
      <c r="A16" t="s">
        <v>518</v>
      </c>
      <c r="B16" t="s">
        <v>519</v>
      </c>
      <c r="C16">
        <v>2021</v>
      </c>
      <c r="D16" t="s">
        <v>186</v>
      </c>
      <c r="E16">
        <v>462</v>
      </c>
      <c r="F16" s="4">
        <v>44563</v>
      </c>
      <c r="H16">
        <v>245</v>
      </c>
      <c r="I16">
        <v>255</v>
      </c>
      <c r="K16" s="2" t="s">
        <v>520</v>
      </c>
      <c r="L16" s="2" t="s">
        <v>521</v>
      </c>
      <c r="M16" t="s">
        <v>522</v>
      </c>
      <c r="N16" t="s">
        <v>523</v>
      </c>
      <c r="O16" t="s">
        <v>26</v>
      </c>
      <c r="P16" t="s">
        <v>27</v>
      </c>
      <c r="Q16" t="s">
        <v>43</v>
      </c>
      <c r="R16" t="s">
        <v>43</v>
      </c>
      <c r="S16" t="s">
        <v>28</v>
      </c>
      <c r="T16" t="s">
        <v>28</v>
      </c>
      <c r="U16" t="s">
        <v>28</v>
      </c>
      <c r="V16" t="s">
        <v>28</v>
      </c>
      <c r="W16" s="16" t="s">
        <v>5629</v>
      </c>
      <c r="X16" t="s">
        <v>5624</v>
      </c>
      <c r="Y16" t="s">
        <v>4498</v>
      </c>
      <c r="Z16" t="s">
        <v>4385</v>
      </c>
      <c r="AA16" t="s">
        <v>4360</v>
      </c>
      <c r="AB16" t="s">
        <v>4419</v>
      </c>
      <c r="AC16" t="s">
        <v>4420</v>
      </c>
      <c r="AF16" t="s">
        <v>5710</v>
      </c>
      <c r="AG16" t="s">
        <v>4419</v>
      </c>
      <c r="AH16" t="s">
        <v>4420</v>
      </c>
      <c r="AI16" t="s">
        <v>4357</v>
      </c>
      <c r="AJ16">
        <v>2</v>
      </c>
      <c r="AK16">
        <f>25*5</f>
        <v>125</v>
      </c>
      <c r="AL16" t="s">
        <v>5408</v>
      </c>
      <c r="AM16" t="s">
        <v>4355</v>
      </c>
      <c r="AO16">
        <v>6</v>
      </c>
      <c r="AP16">
        <v>55.7</v>
      </c>
      <c r="AQ16">
        <v>14.16667</v>
      </c>
      <c r="AV16" s="21">
        <v>18.600000000000001</v>
      </c>
      <c r="AW16" s="12"/>
      <c r="AX16" t="s">
        <v>5514</v>
      </c>
    </row>
    <row r="17" spans="1:50" x14ac:dyDescent="0.55000000000000004">
      <c r="A17" t="s">
        <v>518</v>
      </c>
      <c r="B17" t="s">
        <v>519</v>
      </c>
      <c r="C17">
        <v>2021</v>
      </c>
      <c r="D17" t="s">
        <v>186</v>
      </c>
      <c r="E17">
        <v>462</v>
      </c>
      <c r="F17" s="4">
        <v>44563</v>
      </c>
      <c r="H17">
        <v>245</v>
      </c>
      <c r="I17">
        <v>255</v>
      </c>
      <c r="K17" s="2" t="s">
        <v>520</v>
      </c>
      <c r="L17" s="2" t="s">
        <v>521</v>
      </c>
      <c r="M17" t="s">
        <v>522</v>
      </c>
      <c r="N17" t="s">
        <v>523</v>
      </c>
      <c r="O17" t="s">
        <v>26</v>
      </c>
      <c r="P17" t="s">
        <v>27</v>
      </c>
      <c r="Q17" t="s">
        <v>43</v>
      </c>
      <c r="R17" t="s">
        <v>43</v>
      </c>
      <c r="S17" t="s">
        <v>28</v>
      </c>
      <c r="T17" t="s">
        <v>28</v>
      </c>
      <c r="U17" t="s">
        <v>28</v>
      </c>
      <c r="V17" t="s">
        <v>28</v>
      </c>
      <c r="W17" s="16" t="s">
        <v>5629</v>
      </c>
      <c r="X17" t="s">
        <v>5624</v>
      </c>
      <c r="Y17" t="s">
        <v>4498</v>
      </c>
      <c r="Z17" t="s">
        <v>4385</v>
      </c>
      <c r="AA17" t="s">
        <v>4360</v>
      </c>
      <c r="AB17" t="s">
        <v>4419</v>
      </c>
      <c r="AC17" t="s">
        <v>4420</v>
      </c>
      <c r="AF17" t="s">
        <v>5710</v>
      </c>
      <c r="AG17" t="s">
        <v>4419</v>
      </c>
      <c r="AH17" t="s">
        <v>4420</v>
      </c>
      <c r="AI17" t="s">
        <v>4357</v>
      </c>
      <c r="AJ17">
        <v>2</v>
      </c>
      <c r="AK17">
        <f>25*5</f>
        <v>125</v>
      </c>
      <c r="AL17" t="s">
        <v>5408</v>
      </c>
      <c r="AM17" t="s">
        <v>4355</v>
      </c>
      <c r="AO17">
        <v>6</v>
      </c>
      <c r="AP17">
        <v>55.7</v>
      </c>
      <c r="AQ17">
        <v>14.16667</v>
      </c>
      <c r="AV17" s="21">
        <v>13.2</v>
      </c>
      <c r="AW17" s="12"/>
      <c r="AX17" t="s">
        <v>5515</v>
      </c>
    </row>
    <row r="18" spans="1:50" x14ac:dyDescent="0.55000000000000004">
      <c r="A18" t="s">
        <v>518</v>
      </c>
      <c r="B18" t="s">
        <v>519</v>
      </c>
      <c r="C18">
        <v>2021</v>
      </c>
      <c r="D18" t="s">
        <v>186</v>
      </c>
      <c r="E18">
        <v>462</v>
      </c>
      <c r="F18" s="4">
        <v>44563</v>
      </c>
      <c r="H18">
        <v>245</v>
      </c>
      <c r="I18">
        <v>255</v>
      </c>
      <c r="K18" s="2" t="s">
        <v>520</v>
      </c>
      <c r="L18" s="2" t="s">
        <v>521</v>
      </c>
      <c r="M18" t="s">
        <v>522</v>
      </c>
      <c r="N18" t="s">
        <v>523</v>
      </c>
      <c r="O18" t="s">
        <v>26</v>
      </c>
      <c r="P18" t="s">
        <v>27</v>
      </c>
      <c r="Q18" t="s">
        <v>43</v>
      </c>
      <c r="R18" t="s">
        <v>43</v>
      </c>
      <c r="S18" t="s">
        <v>28</v>
      </c>
      <c r="T18" t="s">
        <v>28</v>
      </c>
      <c r="U18" t="s">
        <v>28</v>
      </c>
      <c r="V18" t="s">
        <v>28</v>
      </c>
      <c r="W18" s="16" t="s">
        <v>5629</v>
      </c>
      <c r="X18" t="s">
        <v>5624</v>
      </c>
      <c r="Y18" t="s">
        <v>4498</v>
      </c>
      <c r="Z18" t="s">
        <v>4385</v>
      </c>
      <c r="AA18" t="s">
        <v>4360</v>
      </c>
      <c r="AB18" t="s">
        <v>4419</v>
      </c>
      <c r="AC18" t="s">
        <v>4420</v>
      </c>
      <c r="AF18" t="s">
        <v>5710</v>
      </c>
      <c r="AG18" t="s">
        <v>4419</v>
      </c>
      <c r="AH18" t="s">
        <v>4420</v>
      </c>
      <c r="AI18" t="s">
        <v>4357</v>
      </c>
      <c r="AJ18">
        <v>2</v>
      </c>
      <c r="AK18">
        <f>24*9</f>
        <v>216</v>
      </c>
      <c r="AL18" t="s">
        <v>5408</v>
      </c>
      <c r="AM18" t="s">
        <v>4355</v>
      </c>
      <c r="AO18">
        <v>6</v>
      </c>
      <c r="AP18">
        <v>55.7</v>
      </c>
      <c r="AQ18">
        <v>14.16667</v>
      </c>
      <c r="AV18" s="21">
        <v>5.8</v>
      </c>
      <c r="AW18" s="12"/>
      <c r="AX18" t="s">
        <v>5516</v>
      </c>
    </row>
    <row r="19" spans="1:50" x14ac:dyDescent="0.55000000000000004">
      <c r="A19" t="s">
        <v>518</v>
      </c>
      <c r="B19" t="s">
        <v>519</v>
      </c>
      <c r="C19">
        <v>2021</v>
      </c>
      <c r="D19" t="s">
        <v>186</v>
      </c>
      <c r="E19">
        <v>462</v>
      </c>
      <c r="F19" s="4">
        <v>44563</v>
      </c>
      <c r="H19">
        <v>245</v>
      </c>
      <c r="I19">
        <v>255</v>
      </c>
      <c r="K19" s="2" t="s">
        <v>520</v>
      </c>
      <c r="L19" s="2" t="s">
        <v>521</v>
      </c>
      <c r="M19" t="s">
        <v>522</v>
      </c>
      <c r="N19" t="s">
        <v>523</v>
      </c>
      <c r="O19" t="s">
        <v>26</v>
      </c>
      <c r="P19" t="s">
        <v>27</v>
      </c>
      <c r="Q19" t="s">
        <v>43</v>
      </c>
      <c r="R19" t="s">
        <v>43</v>
      </c>
      <c r="S19" t="s">
        <v>28</v>
      </c>
      <c r="T19" t="s">
        <v>28</v>
      </c>
      <c r="U19" t="s">
        <v>28</v>
      </c>
      <c r="V19" t="s">
        <v>28</v>
      </c>
      <c r="W19" s="16" t="s">
        <v>5629</v>
      </c>
      <c r="X19" t="s">
        <v>5624</v>
      </c>
      <c r="Y19" t="s">
        <v>4498</v>
      </c>
      <c r="Z19" t="s">
        <v>4385</v>
      </c>
      <c r="AA19" t="s">
        <v>4360</v>
      </c>
      <c r="AB19" t="s">
        <v>4419</v>
      </c>
      <c r="AC19" t="s">
        <v>4420</v>
      </c>
      <c r="AF19" t="s">
        <v>5710</v>
      </c>
      <c r="AG19" t="s">
        <v>4419</v>
      </c>
      <c r="AH19" t="s">
        <v>4420</v>
      </c>
      <c r="AI19" t="s">
        <v>4357</v>
      </c>
      <c r="AJ19">
        <v>2</v>
      </c>
      <c r="AK19">
        <f>24*9</f>
        <v>216</v>
      </c>
      <c r="AL19" t="s">
        <v>5408</v>
      </c>
      <c r="AM19" t="s">
        <v>4355</v>
      </c>
      <c r="AO19">
        <v>6</v>
      </c>
      <c r="AP19">
        <v>55.7</v>
      </c>
      <c r="AQ19">
        <v>14.16667</v>
      </c>
      <c r="AV19" s="21">
        <v>44.2</v>
      </c>
      <c r="AW19" s="12"/>
      <c r="AX19" t="s">
        <v>5517</v>
      </c>
    </row>
    <row r="20" spans="1:50" x14ac:dyDescent="0.55000000000000004">
      <c r="A20" t="s">
        <v>518</v>
      </c>
      <c r="B20" t="s">
        <v>519</v>
      </c>
      <c r="C20">
        <v>2021</v>
      </c>
      <c r="D20" t="s">
        <v>186</v>
      </c>
      <c r="E20">
        <v>462</v>
      </c>
      <c r="F20" s="4">
        <v>44563</v>
      </c>
      <c r="H20">
        <v>245</v>
      </c>
      <c r="I20">
        <v>255</v>
      </c>
      <c r="K20" s="2" t="s">
        <v>520</v>
      </c>
      <c r="L20" s="2" t="s">
        <v>521</v>
      </c>
      <c r="M20" t="s">
        <v>522</v>
      </c>
      <c r="N20" t="s">
        <v>523</v>
      </c>
      <c r="O20" t="s">
        <v>26</v>
      </c>
      <c r="P20" t="s">
        <v>27</v>
      </c>
      <c r="Q20" t="s">
        <v>43</v>
      </c>
      <c r="R20" t="s">
        <v>43</v>
      </c>
      <c r="S20" t="s">
        <v>28</v>
      </c>
      <c r="T20" t="s">
        <v>28</v>
      </c>
      <c r="U20" t="s">
        <v>28</v>
      </c>
      <c r="V20" t="s">
        <v>28</v>
      </c>
      <c r="W20" s="16" t="s">
        <v>5629</v>
      </c>
      <c r="X20" t="s">
        <v>5624</v>
      </c>
      <c r="Y20" t="s">
        <v>4498</v>
      </c>
      <c r="Z20" t="s">
        <v>4385</v>
      </c>
      <c r="AA20" t="s">
        <v>4360</v>
      </c>
      <c r="AB20" t="s">
        <v>4419</v>
      </c>
      <c r="AC20" t="s">
        <v>4420</v>
      </c>
      <c r="AF20" t="s">
        <v>5710</v>
      </c>
      <c r="AG20" t="s">
        <v>4419</v>
      </c>
      <c r="AH20" t="s">
        <v>4420</v>
      </c>
      <c r="AI20" t="s">
        <v>4357</v>
      </c>
      <c r="AJ20">
        <v>2</v>
      </c>
      <c r="AK20">
        <f>24*9</f>
        <v>216</v>
      </c>
      <c r="AL20" t="s">
        <v>5408</v>
      </c>
      <c r="AM20" t="s">
        <v>4355</v>
      </c>
      <c r="AO20">
        <v>6</v>
      </c>
      <c r="AP20">
        <v>55.7</v>
      </c>
      <c r="AQ20">
        <v>14.16667</v>
      </c>
      <c r="AV20" s="21">
        <v>50.8</v>
      </c>
      <c r="AW20" s="12"/>
      <c r="AX20" t="s">
        <v>5518</v>
      </c>
    </row>
    <row r="21" spans="1:50" x14ac:dyDescent="0.55000000000000004">
      <c r="A21" t="s">
        <v>518</v>
      </c>
      <c r="B21" t="s">
        <v>519</v>
      </c>
      <c r="C21">
        <v>2021</v>
      </c>
      <c r="D21" t="s">
        <v>186</v>
      </c>
      <c r="E21">
        <v>462</v>
      </c>
      <c r="F21" s="4">
        <v>44563</v>
      </c>
      <c r="H21">
        <v>245</v>
      </c>
      <c r="I21">
        <v>255</v>
      </c>
      <c r="K21" s="2" t="s">
        <v>520</v>
      </c>
      <c r="L21" s="2" t="s">
        <v>521</v>
      </c>
      <c r="M21" t="s">
        <v>522</v>
      </c>
      <c r="N21" t="s">
        <v>523</v>
      </c>
      <c r="O21" t="s">
        <v>26</v>
      </c>
      <c r="P21" t="s">
        <v>27</v>
      </c>
      <c r="Q21" t="s">
        <v>43</v>
      </c>
      <c r="R21" t="s">
        <v>43</v>
      </c>
      <c r="S21" t="s">
        <v>28</v>
      </c>
      <c r="T21" t="s">
        <v>28</v>
      </c>
      <c r="U21" t="s">
        <v>28</v>
      </c>
      <c r="V21" t="s">
        <v>28</v>
      </c>
      <c r="W21" s="16" t="s">
        <v>5629</v>
      </c>
      <c r="X21" t="s">
        <v>5624</v>
      </c>
      <c r="Y21" t="s">
        <v>4498</v>
      </c>
      <c r="Z21" t="s">
        <v>4385</v>
      </c>
      <c r="AA21" t="s">
        <v>4360</v>
      </c>
      <c r="AB21" t="s">
        <v>4419</v>
      </c>
      <c r="AC21" t="s">
        <v>4420</v>
      </c>
      <c r="AF21" t="s">
        <v>5710</v>
      </c>
      <c r="AG21" t="s">
        <v>4419</v>
      </c>
      <c r="AH21" t="s">
        <v>4420</v>
      </c>
      <c r="AI21" t="s">
        <v>4357</v>
      </c>
      <c r="AJ21">
        <v>2</v>
      </c>
      <c r="AK21">
        <f>24*9</f>
        <v>216</v>
      </c>
      <c r="AL21" t="s">
        <v>5408</v>
      </c>
      <c r="AM21" t="s">
        <v>4355</v>
      </c>
      <c r="AO21">
        <v>6</v>
      </c>
      <c r="AP21">
        <v>55.7</v>
      </c>
      <c r="AQ21">
        <v>14.16667</v>
      </c>
      <c r="AV21" s="21">
        <v>17.2</v>
      </c>
      <c r="AW21" s="12"/>
      <c r="AX21" t="s">
        <v>5519</v>
      </c>
    </row>
    <row r="22" spans="1:50" x14ac:dyDescent="0.55000000000000004">
      <c r="A22" t="s">
        <v>518</v>
      </c>
      <c r="B22" t="s">
        <v>519</v>
      </c>
      <c r="C22">
        <v>2021</v>
      </c>
      <c r="D22" t="s">
        <v>186</v>
      </c>
      <c r="E22">
        <v>462</v>
      </c>
      <c r="F22" s="4">
        <v>44563</v>
      </c>
      <c r="H22">
        <v>245</v>
      </c>
      <c r="I22">
        <v>255</v>
      </c>
      <c r="K22" s="2" t="s">
        <v>520</v>
      </c>
      <c r="L22" s="2" t="s">
        <v>521</v>
      </c>
      <c r="M22" t="s">
        <v>522</v>
      </c>
      <c r="N22" t="s">
        <v>523</v>
      </c>
      <c r="O22" t="s">
        <v>26</v>
      </c>
      <c r="P22" t="s">
        <v>27</v>
      </c>
      <c r="Q22" t="s">
        <v>43</v>
      </c>
      <c r="R22" t="s">
        <v>43</v>
      </c>
      <c r="S22" t="s">
        <v>28</v>
      </c>
      <c r="T22" t="s">
        <v>28</v>
      </c>
      <c r="U22" t="s">
        <v>28</v>
      </c>
      <c r="V22" t="s">
        <v>28</v>
      </c>
      <c r="W22" s="16" t="s">
        <v>5629</v>
      </c>
      <c r="X22" t="s">
        <v>5624</v>
      </c>
      <c r="Y22" t="s">
        <v>4498</v>
      </c>
      <c r="Z22" t="s">
        <v>4385</v>
      </c>
      <c r="AA22" t="s">
        <v>4360</v>
      </c>
      <c r="AB22" t="s">
        <v>4419</v>
      </c>
      <c r="AC22" t="s">
        <v>4420</v>
      </c>
      <c r="AF22" t="s">
        <v>5710</v>
      </c>
      <c r="AG22" t="s">
        <v>4419</v>
      </c>
      <c r="AH22" t="s">
        <v>4420</v>
      </c>
      <c r="AI22" t="s">
        <v>4357</v>
      </c>
      <c r="AJ22">
        <v>2</v>
      </c>
      <c r="AK22">
        <f>24*9</f>
        <v>216</v>
      </c>
      <c r="AL22" t="s">
        <v>5408</v>
      </c>
      <c r="AM22" t="s">
        <v>4355</v>
      </c>
      <c r="AO22">
        <v>6</v>
      </c>
      <c r="AP22">
        <v>55.7</v>
      </c>
      <c r="AQ22">
        <v>14.16667</v>
      </c>
      <c r="AV22" s="21">
        <v>12.2</v>
      </c>
      <c r="AW22" s="12"/>
      <c r="AX22" t="s">
        <v>5520</v>
      </c>
    </row>
    <row r="23" spans="1:50" x14ac:dyDescent="0.55000000000000004">
      <c r="A23" t="s">
        <v>948</v>
      </c>
      <c r="B23" t="s">
        <v>949</v>
      </c>
      <c r="C23">
        <v>2020</v>
      </c>
      <c r="D23" t="s">
        <v>807</v>
      </c>
      <c r="E23">
        <v>26</v>
      </c>
      <c r="F23">
        <v>3</v>
      </c>
      <c r="H23">
        <v>1725</v>
      </c>
      <c r="I23">
        <v>1738</v>
      </c>
      <c r="K23" s="2" t="s">
        <v>950</v>
      </c>
      <c r="L23" s="14" t="s">
        <v>951</v>
      </c>
      <c r="M23" t="s">
        <v>952</v>
      </c>
      <c r="N23" t="s">
        <v>953</v>
      </c>
      <c r="O23" t="s">
        <v>26</v>
      </c>
      <c r="P23" t="s">
        <v>27</v>
      </c>
      <c r="Q23" t="s">
        <v>43</v>
      </c>
      <c r="R23" t="s">
        <v>43</v>
      </c>
      <c r="S23" t="s">
        <v>28</v>
      </c>
      <c r="T23" t="s">
        <v>43</v>
      </c>
      <c r="U23" t="s">
        <v>43</v>
      </c>
      <c r="V23" t="s">
        <v>28</v>
      </c>
      <c r="W23" s="16" t="s">
        <v>5629</v>
      </c>
      <c r="X23" t="s">
        <v>5624</v>
      </c>
      <c r="Y23" t="s">
        <v>4497</v>
      </c>
      <c r="Z23" t="s">
        <v>4385</v>
      </c>
      <c r="AA23" t="s">
        <v>4360</v>
      </c>
      <c r="AB23" t="s">
        <v>4514</v>
      </c>
      <c r="AC23" t="s">
        <v>4515</v>
      </c>
      <c r="AD23" t="s">
        <v>4337</v>
      </c>
      <c r="AF23" t="s">
        <v>5710</v>
      </c>
      <c r="AG23" t="s">
        <v>4367</v>
      </c>
      <c r="AH23" t="s">
        <v>4368</v>
      </c>
      <c r="AI23" t="s">
        <v>4343</v>
      </c>
      <c r="AJ23">
        <v>22</v>
      </c>
      <c r="AK23">
        <v>22</v>
      </c>
      <c r="AL23" t="s">
        <v>5408</v>
      </c>
      <c r="AM23" t="s">
        <v>4334</v>
      </c>
      <c r="AO23">
        <v>12</v>
      </c>
      <c r="AP23">
        <v>53.806680999999998</v>
      </c>
      <c r="AQ23">
        <v>-1.5550330000000001</v>
      </c>
      <c r="AR23">
        <v>70</v>
      </c>
      <c r="AS23">
        <v>56</v>
      </c>
      <c r="AT23">
        <v>20</v>
      </c>
      <c r="AU23">
        <v>225</v>
      </c>
      <c r="AV23" s="21">
        <v>6.0295833333333338E-4</v>
      </c>
      <c r="AW23" s="12">
        <v>2.0354659188855125E-4</v>
      </c>
      <c r="AX23" t="s">
        <v>5521</v>
      </c>
    </row>
    <row r="24" spans="1:50" x14ac:dyDescent="0.55000000000000004">
      <c r="A24" t="s">
        <v>948</v>
      </c>
      <c r="B24" t="s">
        <v>949</v>
      </c>
      <c r="C24">
        <v>2020</v>
      </c>
      <c r="D24" t="s">
        <v>807</v>
      </c>
      <c r="E24">
        <v>26</v>
      </c>
      <c r="F24">
        <v>3</v>
      </c>
      <c r="H24">
        <v>1725</v>
      </c>
      <c r="I24">
        <v>1738</v>
      </c>
      <c r="K24" s="2" t="s">
        <v>950</v>
      </c>
      <c r="L24" s="14" t="s">
        <v>951</v>
      </c>
      <c r="M24" t="s">
        <v>952</v>
      </c>
      <c r="N24" t="s">
        <v>953</v>
      </c>
      <c r="O24" t="s">
        <v>26</v>
      </c>
      <c r="P24" t="s">
        <v>27</v>
      </c>
      <c r="Q24" t="s">
        <v>43</v>
      </c>
      <c r="R24" t="s">
        <v>43</v>
      </c>
      <c r="S24" t="s">
        <v>28</v>
      </c>
      <c r="T24" t="s">
        <v>43</v>
      </c>
      <c r="U24" t="s">
        <v>43</v>
      </c>
      <c r="V24" t="s">
        <v>28</v>
      </c>
      <c r="W24" s="16" t="s">
        <v>5629</v>
      </c>
      <c r="X24" t="s">
        <v>5624</v>
      </c>
      <c r="Y24" t="s">
        <v>4497</v>
      </c>
      <c r="Z24" t="s">
        <v>4385</v>
      </c>
      <c r="AA24" t="s">
        <v>4360</v>
      </c>
      <c r="AB24" t="s">
        <v>4514</v>
      </c>
      <c r="AC24" t="s">
        <v>4515</v>
      </c>
      <c r="AD24" t="s">
        <v>4338</v>
      </c>
      <c r="AF24" t="s">
        <v>5710</v>
      </c>
      <c r="AG24" t="s">
        <v>4367</v>
      </c>
      <c r="AH24" t="s">
        <v>4368</v>
      </c>
      <c r="AI24" t="s">
        <v>4343</v>
      </c>
      <c r="AJ24">
        <v>22</v>
      </c>
      <c r="AK24">
        <v>22</v>
      </c>
      <c r="AL24" t="s">
        <v>5408</v>
      </c>
      <c r="AM24" t="s">
        <v>4334</v>
      </c>
      <c r="AO24">
        <v>12</v>
      </c>
      <c r="AP24">
        <v>53.806680999999998</v>
      </c>
      <c r="AQ24">
        <v>-1.5550330000000001</v>
      </c>
      <c r="AR24">
        <v>68</v>
      </c>
      <c r="AS24">
        <v>35</v>
      </c>
      <c r="AT24">
        <v>20</v>
      </c>
      <c r="AU24">
        <v>225</v>
      </c>
      <c r="AV24" s="21">
        <v>6.4730666666666659E-3</v>
      </c>
      <c r="AW24" s="12">
        <v>2.8348122770495954E-3</v>
      </c>
      <c r="AX24" t="s">
        <v>5521</v>
      </c>
    </row>
    <row r="25" spans="1:50" x14ac:dyDescent="0.55000000000000004">
      <c r="A25" t="s">
        <v>948</v>
      </c>
      <c r="B25" t="s">
        <v>949</v>
      </c>
      <c r="C25">
        <v>2020</v>
      </c>
      <c r="D25" t="s">
        <v>807</v>
      </c>
      <c r="E25">
        <v>26</v>
      </c>
      <c r="F25">
        <v>3</v>
      </c>
      <c r="H25">
        <v>1725</v>
      </c>
      <c r="I25">
        <v>1738</v>
      </c>
      <c r="K25" s="2" t="s">
        <v>950</v>
      </c>
      <c r="L25" s="14" t="s">
        <v>951</v>
      </c>
      <c r="M25" t="s">
        <v>952</v>
      </c>
      <c r="N25" t="s">
        <v>953</v>
      </c>
      <c r="O25" t="s">
        <v>26</v>
      </c>
      <c r="P25" t="s">
        <v>27</v>
      </c>
      <c r="Q25" t="s">
        <v>43</v>
      </c>
      <c r="R25" t="s">
        <v>43</v>
      </c>
      <c r="S25" t="s">
        <v>28</v>
      </c>
      <c r="T25" t="s">
        <v>43</v>
      </c>
      <c r="U25" t="s">
        <v>43</v>
      </c>
      <c r="V25" t="s">
        <v>28</v>
      </c>
      <c r="W25" s="16" t="s">
        <v>5629</v>
      </c>
      <c r="X25" t="s">
        <v>5624</v>
      </c>
      <c r="Y25" t="s">
        <v>4497</v>
      </c>
      <c r="Z25" t="s">
        <v>4385</v>
      </c>
      <c r="AA25" t="s">
        <v>4360</v>
      </c>
      <c r="AB25" t="s">
        <v>4514</v>
      </c>
      <c r="AC25" t="s">
        <v>4515</v>
      </c>
      <c r="AD25" t="s">
        <v>4339</v>
      </c>
      <c r="AF25" t="s">
        <v>5710</v>
      </c>
      <c r="AG25" t="s">
        <v>4367</v>
      </c>
      <c r="AH25" t="s">
        <v>4368</v>
      </c>
      <c r="AI25" t="s">
        <v>4343</v>
      </c>
      <c r="AJ25">
        <v>22</v>
      </c>
      <c r="AK25">
        <v>22</v>
      </c>
      <c r="AL25" t="s">
        <v>5408</v>
      </c>
      <c r="AM25" t="s">
        <v>4334</v>
      </c>
      <c r="AO25">
        <v>12</v>
      </c>
      <c r="AP25">
        <v>53.806680999999998</v>
      </c>
      <c r="AQ25">
        <v>-1.5550330000000001</v>
      </c>
      <c r="AR25">
        <v>55</v>
      </c>
      <c r="AS25">
        <v>35</v>
      </c>
      <c r="AT25">
        <v>20</v>
      </c>
      <c r="AU25">
        <v>225</v>
      </c>
      <c r="AV25" s="21">
        <v>3.3803333333333333E-4</v>
      </c>
      <c r="AW25" s="12">
        <v>5.4196705889684196E-5</v>
      </c>
      <c r="AX25" t="s">
        <v>5521</v>
      </c>
    </row>
    <row r="26" spans="1:50" x14ac:dyDescent="0.55000000000000004">
      <c r="A26" t="s">
        <v>1094</v>
      </c>
      <c r="B26" t="s">
        <v>1095</v>
      </c>
      <c r="C26">
        <v>2019</v>
      </c>
      <c r="D26" t="s">
        <v>807</v>
      </c>
      <c r="E26">
        <v>25</v>
      </c>
      <c r="F26">
        <v>10</v>
      </c>
      <c r="H26">
        <v>3549</v>
      </c>
      <c r="I26">
        <v>3561</v>
      </c>
      <c r="K26" s="2" t="s">
        <v>1096</v>
      </c>
      <c r="L26" s="2" t="s">
        <v>1097</v>
      </c>
      <c r="M26" t="s">
        <v>4612</v>
      </c>
      <c r="N26" t="s">
        <v>4613</v>
      </c>
      <c r="O26" t="s">
        <v>26</v>
      </c>
      <c r="P26" t="s">
        <v>27</v>
      </c>
      <c r="Q26" t="s">
        <v>43</v>
      </c>
      <c r="R26" t="s">
        <v>43</v>
      </c>
      <c r="S26" t="s">
        <v>28</v>
      </c>
      <c r="T26" t="s">
        <v>28</v>
      </c>
      <c r="U26" t="s">
        <v>28</v>
      </c>
      <c r="V26" t="s">
        <v>28</v>
      </c>
      <c r="W26" s="16" t="s">
        <v>5629</v>
      </c>
      <c r="X26" t="s">
        <v>5624</v>
      </c>
      <c r="Y26" t="s">
        <v>4498</v>
      </c>
      <c r="Z26" t="s">
        <v>4385</v>
      </c>
      <c r="AA26" t="s">
        <v>4360</v>
      </c>
      <c r="AB26" t="s">
        <v>4614</v>
      </c>
      <c r="AC26" t="s">
        <v>4615</v>
      </c>
      <c r="AF26" t="s">
        <v>5710</v>
      </c>
      <c r="AG26" t="s">
        <v>4419</v>
      </c>
      <c r="AH26" t="s">
        <v>4420</v>
      </c>
      <c r="AI26" t="s">
        <v>4357</v>
      </c>
      <c r="AJ26">
        <v>7</v>
      </c>
      <c r="AK26">
        <v>72</v>
      </c>
      <c r="AL26" t="s">
        <v>5408</v>
      </c>
      <c r="AM26" t="s">
        <v>4334</v>
      </c>
      <c r="AO26">
        <v>6</v>
      </c>
      <c r="AP26">
        <v>56.893889999999999</v>
      </c>
      <c r="AQ26">
        <v>2.5413890000000001</v>
      </c>
      <c r="AR26">
        <v>59.8</v>
      </c>
      <c r="AT26">
        <v>18</v>
      </c>
      <c r="AV26" s="21">
        <v>9.44</v>
      </c>
      <c r="AW26" s="12"/>
      <c r="AX26" t="s">
        <v>5522</v>
      </c>
    </row>
    <row r="27" spans="1:50" x14ac:dyDescent="0.55000000000000004">
      <c r="A27" t="s">
        <v>1094</v>
      </c>
      <c r="B27" t="s">
        <v>1095</v>
      </c>
      <c r="C27">
        <v>2019</v>
      </c>
      <c r="D27" t="s">
        <v>807</v>
      </c>
      <c r="E27">
        <v>25</v>
      </c>
      <c r="F27">
        <v>10</v>
      </c>
      <c r="H27">
        <v>3549</v>
      </c>
      <c r="I27">
        <v>3561</v>
      </c>
      <c r="K27" s="2" t="s">
        <v>1096</v>
      </c>
      <c r="L27" s="2" t="s">
        <v>1097</v>
      </c>
      <c r="M27" t="s">
        <v>4612</v>
      </c>
      <c r="N27" t="s">
        <v>4613</v>
      </c>
      <c r="O27" t="s">
        <v>26</v>
      </c>
      <c r="P27" t="s">
        <v>27</v>
      </c>
      <c r="Q27" t="s">
        <v>43</v>
      </c>
      <c r="R27" t="s">
        <v>43</v>
      </c>
      <c r="S27" t="s">
        <v>28</v>
      </c>
      <c r="T27" t="s">
        <v>28</v>
      </c>
      <c r="U27" t="s">
        <v>28</v>
      </c>
      <c r="V27" t="s">
        <v>28</v>
      </c>
      <c r="W27" s="16" t="s">
        <v>5629</v>
      </c>
      <c r="X27" t="s">
        <v>5624</v>
      </c>
      <c r="Y27" t="s">
        <v>4498</v>
      </c>
      <c r="Z27" t="s">
        <v>4385</v>
      </c>
      <c r="AA27" t="s">
        <v>4360</v>
      </c>
      <c r="AB27" t="s">
        <v>4614</v>
      </c>
      <c r="AC27" t="s">
        <v>4615</v>
      </c>
      <c r="AF27" t="s">
        <v>5710</v>
      </c>
      <c r="AG27" t="s">
        <v>4419</v>
      </c>
      <c r="AH27" t="s">
        <v>4420</v>
      </c>
      <c r="AI27" t="s">
        <v>4357</v>
      </c>
      <c r="AJ27">
        <v>7</v>
      </c>
      <c r="AK27">
        <v>72</v>
      </c>
      <c r="AL27" t="s">
        <v>5408</v>
      </c>
      <c r="AM27" t="s">
        <v>4334</v>
      </c>
      <c r="AO27">
        <v>6</v>
      </c>
      <c r="AP27">
        <v>56.893889999999999</v>
      </c>
      <c r="AQ27">
        <v>2.5413890000000001</v>
      </c>
      <c r="AR27">
        <v>57.03</v>
      </c>
      <c r="AT27">
        <v>18</v>
      </c>
      <c r="AV27" s="21">
        <v>13.43</v>
      </c>
      <c r="AW27" s="12"/>
      <c r="AX27" t="s">
        <v>5523</v>
      </c>
    </row>
    <row r="28" spans="1:50" x14ac:dyDescent="0.55000000000000004">
      <c r="A28" t="s">
        <v>1094</v>
      </c>
      <c r="B28" t="s">
        <v>1095</v>
      </c>
      <c r="C28">
        <v>2019</v>
      </c>
      <c r="D28" t="s">
        <v>807</v>
      </c>
      <c r="E28">
        <v>25</v>
      </c>
      <c r="F28">
        <v>10</v>
      </c>
      <c r="H28">
        <v>3549</v>
      </c>
      <c r="I28">
        <v>3561</v>
      </c>
      <c r="K28" s="2" t="s">
        <v>1096</v>
      </c>
      <c r="L28" s="2" t="s">
        <v>1097</v>
      </c>
      <c r="M28" t="s">
        <v>4612</v>
      </c>
      <c r="N28" t="s">
        <v>4613</v>
      </c>
      <c r="O28" t="s">
        <v>26</v>
      </c>
      <c r="P28" t="s">
        <v>27</v>
      </c>
      <c r="Q28" t="s">
        <v>43</v>
      </c>
      <c r="R28" t="s">
        <v>43</v>
      </c>
      <c r="S28" t="s">
        <v>28</v>
      </c>
      <c r="T28" t="s">
        <v>28</v>
      </c>
      <c r="U28" t="s">
        <v>28</v>
      </c>
      <c r="V28" t="s">
        <v>28</v>
      </c>
      <c r="W28" s="16" t="s">
        <v>5629</v>
      </c>
      <c r="X28" t="s">
        <v>5624</v>
      </c>
      <c r="Y28" t="s">
        <v>4498</v>
      </c>
      <c r="Z28" t="s">
        <v>4385</v>
      </c>
      <c r="AA28" t="s">
        <v>4360</v>
      </c>
      <c r="AB28" t="s">
        <v>4614</v>
      </c>
      <c r="AC28" t="s">
        <v>4615</v>
      </c>
      <c r="AF28" t="s">
        <v>5710</v>
      </c>
      <c r="AG28" t="s">
        <v>4419</v>
      </c>
      <c r="AH28" t="s">
        <v>4420</v>
      </c>
      <c r="AI28" t="s">
        <v>4357</v>
      </c>
      <c r="AJ28">
        <v>7</v>
      </c>
      <c r="AK28">
        <v>72</v>
      </c>
      <c r="AL28" t="s">
        <v>5408</v>
      </c>
      <c r="AM28" t="s">
        <v>4334</v>
      </c>
      <c r="AO28">
        <v>6</v>
      </c>
      <c r="AP28">
        <v>56.893889999999999</v>
      </c>
      <c r="AQ28">
        <v>2.5413890000000001</v>
      </c>
      <c r="AR28">
        <v>65.8</v>
      </c>
      <c r="AT28">
        <v>18</v>
      </c>
      <c r="AV28" s="21">
        <v>9.75</v>
      </c>
      <c r="AW28" s="12"/>
      <c r="AX28" t="s">
        <v>5524</v>
      </c>
    </row>
    <row r="29" spans="1:50" x14ac:dyDescent="0.55000000000000004">
      <c r="A29" t="s">
        <v>1094</v>
      </c>
      <c r="B29" t="s">
        <v>1095</v>
      </c>
      <c r="C29">
        <v>2019</v>
      </c>
      <c r="D29" t="s">
        <v>807</v>
      </c>
      <c r="E29">
        <v>25</v>
      </c>
      <c r="F29">
        <v>10</v>
      </c>
      <c r="H29">
        <v>3549</v>
      </c>
      <c r="I29">
        <v>3561</v>
      </c>
      <c r="K29" s="2" t="s">
        <v>1096</v>
      </c>
      <c r="L29" s="2" t="s">
        <v>1097</v>
      </c>
      <c r="M29" t="s">
        <v>4612</v>
      </c>
      <c r="N29" t="s">
        <v>4613</v>
      </c>
      <c r="O29" t="s">
        <v>26</v>
      </c>
      <c r="P29" t="s">
        <v>27</v>
      </c>
      <c r="Q29" t="s">
        <v>43</v>
      </c>
      <c r="R29" t="s">
        <v>43</v>
      </c>
      <c r="S29" t="s">
        <v>28</v>
      </c>
      <c r="T29" t="s">
        <v>28</v>
      </c>
      <c r="U29" t="s">
        <v>28</v>
      </c>
      <c r="V29" t="s">
        <v>28</v>
      </c>
      <c r="W29" s="16" t="s">
        <v>5629</v>
      </c>
      <c r="X29" t="s">
        <v>5624</v>
      </c>
      <c r="Y29" t="s">
        <v>4498</v>
      </c>
      <c r="Z29" t="s">
        <v>4385</v>
      </c>
      <c r="AA29" t="s">
        <v>4360</v>
      </c>
      <c r="AB29" t="s">
        <v>4614</v>
      </c>
      <c r="AC29" t="s">
        <v>4615</v>
      </c>
      <c r="AF29" t="s">
        <v>5710</v>
      </c>
      <c r="AG29" t="s">
        <v>4419</v>
      </c>
      <c r="AH29" t="s">
        <v>4420</v>
      </c>
      <c r="AI29" t="s">
        <v>4357</v>
      </c>
      <c r="AJ29">
        <v>7</v>
      </c>
      <c r="AK29">
        <v>72</v>
      </c>
      <c r="AL29" t="s">
        <v>5408</v>
      </c>
      <c r="AM29" t="s">
        <v>4334</v>
      </c>
      <c r="AO29">
        <v>6</v>
      </c>
      <c r="AP29">
        <v>56.893889999999999</v>
      </c>
      <c r="AQ29">
        <v>2.5413890000000001</v>
      </c>
      <c r="AR29">
        <v>56.22</v>
      </c>
      <c r="AT29">
        <v>18</v>
      </c>
      <c r="AV29" s="21">
        <v>5.66</v>
      </c>
      <c r="AW29" s="12"/>
      <c r="AX29" t="s">
        <v>5525</v>
      </c>
    </row>
    <row r="30" spans="1:50" x14ac:dyDescent="0.55000000000000004">
      <c r="A30" t="s">
        <v>1094</v>
      </c>
      <c r="B30" t="s">
        <v>1095</v>
      </c>
      <c r="C30">
        <v>2019</v>
      </c>
      <c r="D30" t="s">
        <v>807</v>
      </c>
      <c r="E30">
        <v>25</v>
      </c>
      <c r="F30">
        <v>10</v>
      </c>
      <c r="H30">
        <v>3549</v>
      </c>
      <c r="I30">
        <v>3561</v>
      </c>
      <c r="K30" s="2" t="s">
        <v>1096</v>
      </c>
      <c r="L30" s="2" t="s">
        <v>1097</v>
      </c>
      <c r="M30" t="s">
        <v>4612</v>
      </c>
      <c r="N30" t="s">
        <v>4613</v>
      </c>
      <c r="O30" t="s">
        <v>26</v>
      </c>
      <c r="P30" t="s">
        <v>27</v>
      </c>
      <c r="Q30" t="s">
        <v>43</v>
      </c>
      <c r="R30" t="s">
        <v>43</v>
      </c>
      <c r="S30" t="s">
        <v>28</v>
      </c>
      <c r="T30" t="s">
        <v>28</v>
      </c>
      <c r="U30" t="s">
        <v>28</v>
      </c>
      <c r="V30" t="s">
        <v>28</v>
      </c>
      <c r="W30" s="16" t="s">
        <v>5629</v>
      </c>
      <c r="X30" t="s">
        <v>5624</v>
      </c>
      <c r="Y30" t="s">
        <v>4498</v>
      </c>
      <c r="Z30" t="s">
        <v>4385</v>
      </c>
      <c r="AA30" t="s">
        <v>4360</v>
      </c>
      <c r="AB30" t="s">
        <v>4614</v>
      </c>
      <c r="AC30" t="s">
        <v>4615</v>
      </c>
      <c r="AF30" t="s">
        <v>5710</v>
      </c>
      <c r="AG30" t="s">
        <v>4419</v>
      </c>
      <c r="AH30" t="s">
        <v>4420</v>
      </c>
      <c r="AI30" t="s">
        <v>4357</v>
      </c>
      <c r="AJ30">
        <v>7</v>
      </c>
      <c r="AK30">
        <v>72</v>
      </c>
      <c r="AL30" t="s">
        <v>5408</v>
      </c>
      <c r="AM30" t="s">
        <v>4334</v>
      </c>
      <c r="AO30">
        <v>6</v>
      </c>
      <c r="AP30">
        <v>56.893889999999999</v>
      </c>
      <c r="AQ30">
        <v>2.5413890000000001</v>
      </c>
      <c r="AR30">
        <v>60.23</v>
      </c>
      <c r="AT30">
        <v>18</v>
      </c>
      <c r="AV30" s="21">
        <v>9.23</v>
      </c>
      <c r="AW30" s="12"/>
      <c r="AX30" t="s">
        <v>5526</v>
      </c>
    </row>
    <row r="31" spans="1:50" x14ac:dyDescent="0.55000000000000004">
      <c r="A31" t="s">
        <v>1094</v>
      </c>
      <c r="B31" t="s">
        <v>1095</v>
      </c>
      <c r="C31">
        <v>2019</v>
      </c>
      <c r="D31" t="s">
        <v>807</v>
      </c>
      <c r="E31">
        <v>25</v>
      </c>
      <c r="F31">
        <v>10</v>
      </c>
      <c r="H31">
        <v>3549</v>
      </c>
      <c r="I31">
        <v>3561</v>
      </c>
      <c r="K31" s="2" t="s">
        <v>1096</v>
      </c>
      <c r="L31" s="2" t="s">
        <v>1097</v>
      </c>
      <c r="M31" t="s">
        <v>4612</v>
      </c>
      <c r="N31" t="s">
        <v>4613</v>
      </c>
      <c r="O31" t="s">
        <v>26</v>
      </c>
      <c r="P31" t="s">
        <v>27</v>
      </c>
      <c r="Q31" t="s">
        <v>43</v>
      </c>
      <c r="R31" t="s">
        <v>43</v>
      </c>
      <c r="S31" t="s">
        <v>28</v>
      </c>
      <c r="T31" t="s">
        <v>28</v>
      </c>
      <c r="U31" t="s">
        <v>28</v>
      </c>
      <c r="V31" t="s">
        <v>28</v>
      </c>
      <c r="W31" s="16" t="s">
        <v>5629</v>
      </c>
      <c r="X31" t="s">
        <v>5624</v>
      </c>
      <c r="Y31" t="s">
        <v>4498</v>
      </c>
      <c r="Z31" t="s">
        <v>4385</v>
      </c>
      <c r="AA31" t="s">
        <v>4360</v>
      </c>
      <c r="AB31" t="s">
        <v>4614</v>
      </c>
      <c r="AC31" t="s">
        <v>4615</v>
      </c>
      <c r="AF31" t="s">
        <v>5710</v>
      </c>
      <c r="AG31" t="s">
        <v>4419</v>
      </c>
      <c r="AH31" t="s">
        <v>4420</v>
      </c>
      <c r="AI31" t="s">
        <v>4357</v>
      </c>
      <c r="AJ31">
        <v>7</v>
      </c>
      <c r="AK31">
        <v>72</v>
      </c>
      <c r="AL31" t="s">
        <v>5408</v>
      </c>
      <c r="AM31" t="s">
        <v>4334</v>
      </c>
      <c r="AO31">
        <v>6</v>
      </c>
      <c r="AP31">
        <v>56.893889999999999</v>
      </c>
      <c r="AQ31">
        <v>2.5413890000000001</v>
      </c>
      <c r="AR31">
        <v>61.39</v>
      </c>
      <c r="AT31">
        <v>18</v>
      </c>
      <c r="AV31" s="21">
        <v>6.87</v>
      </c>
      <c r="AW31" s="12"/>
      <c r="AX31" t="s">
        <v>5527</v>
      </c>
    </row>
    <row r="32" spans="1:50" x14ac:dyDescent="0.55000000000000004">
      <c r="A32" t="s">
        <v>4697</v>
      </c>
      <c r="B32" t="s">
        <v>5630</v>
      </c>
      <c r="C32">
        <v>2017</v>
      </c>
      <c r="D32" t="s">
        <v>4526</v>
      </c>
      <c r="E32">
        <v>419</v>
      </c>
      <c r="H32">
        <v>319</v>
      </c>
      <c r="I32">
        <v>333</v>
      </c>
      <c r="K32" s="2" t="s">
        <v>1462</v>
      </c>
      <c r="L32" s="2" t="s">
        <v>4527</v>
      </c>
      <c r="O32" t="s">
        <v>26</v>
      </c>
      <c r="P32" t="s">
        <v>4384</v>
      </c>
      <c r="Q32" t="s">
        <v>43</v>
      </c>
      <c r="R32" t="s">
        <v>43</v>
      </c>
      <c r="S32" t="s">
        <v>28</v>
      </c>
      <c r="T32" t="s">
        <v>28</v>
      </c>
      <c r="U32" t="s">
        <v>28</v>
      </c>
      <c r="V32" t="s">
        <v>28</v>
      </c>
      <c r="W32" t="s">
        <v>4336</v>
      </c>
      <c r="X32" t="s">
        <v>5624</v>
      </c>
      <c r="Y32" t="s">
        <v>4497</v>
      </c>
      <c r="Z32" s="2" t="s">
        <v>5380</v>
      </c>
      <c r="AA32" t="s">
        <v>4360</v>
      </c>
      <c r="AB32" t="s">
        <v>4528</v>
      </c>
      <c r="AC32" t="s">
        <v>4529</v>
      </c>
      <c r="AF32" t="s">
        <v>5710</v>
      </c>
      <c r="AG32" t="s">
        <v>4531</v>
      </c>
      <c r="AH32" t="s">
        <v>5367</v>
      </c>
      <c r="AI32" t="s">
        <v>4357</v>
      </c>
      <c r="AJ32">
        <v>120</v>
      </c>
      <c r="AK32">
        <v>0</v>
      </c>
      <c r="AL32" t="s">
        <v>5408</v>
      </c>
      <c r="AM32" t="s">
        <v>4334</v>
      </c>
      <c r="AO32">
        <v>5</v>
      </c>
      <c r="AP32">
        <v>50.087111</v>
      </c>
      <c r="AQ32">
        <v>14.423489</v>
      </c>
      <c r="AR32">
        <v>65</v>
      </c>
      <c r="AU32">
        <v>700</v>
      </c>
      <c r="AV32" s="21">
        <v>0.9</v>
      </c>
      <c r="AW32" s="12"/>
      <c r="AX32" t="s">
        <v>5504</v>
      </c>
    </row>
    <row r="33" spans="1:52" x14ac:dyDescent="0.55000000000000004">
      <c r="A33" t="s">
        <v>4697</v>
      </c>
      <c r="B33" t="s">
        <v>5630</v>
      </c>
      <c r="C33">
        <v>2017</v>
      </c>
      <c r="D33" t="s">
        <v>4526</v>
      </c>
      <c r="E33">
        <v>419</v>
      </c>
      <c r="H33">
        <v>319</v>
      </c>
      <c r="I33">
        <v>333</v>
      </c>
      <c r="K33" s="2" t="s">
        <v>1462</v>
      </c>
      <c r="L33" s="2" t="s">
        <v>4527</v>
      </c>
      <c r="O33" t="s">
        <v>26</v>
      </c>
      <c r="P33" t="s">
        <v>4384</v>
      </c>
      <c r="Q33" t="s">
        <v>43</v>
      </c>
      <c r="R33" t="s">
        <v>43</v>
      </c>
      <c r="S33" t="s">
        <v>28</v>
      </c>
      <c r="T33" t="s">
        <v>28</v>
      </c>
      <c r="U33" t="s">
        <v>28</v>
      </c>
      <c r="V33" t="s">
        <v>28</v>
      </c>
      <c r="W33" t="s">
        <v>4336</v>
      </c>
      <c r="X33" t="s">
        <v>5624</v>
      </c>
      <c r="Y33" t="s">
        <v>4497</v>
      </c>
      <c r="Z33" t="s">
        <v>5470</v>
      </c>
      <c r="AA33" t="s">
        <v>4360</v>
      </c>
      <c r="AB33" t="s">
        <v>4530</v>
      </c>
      <c r="AC33" t="s">
        <v>4427</v>
      </c>
      <c r="AF33" t="s">
        <v>5710</v>
      </c>
      <c r="AG33" t="s">
        <v>4531</v>
      </c>
      <c r="AH33" t="s">
        <v>5367</v>
      </c>
      <c r="AI33" t="s">
        <v>4357</v>
      </c>
      <c r="AJ33">
        <v>120</v>
      </c>
      <c r="AK33">
        <v>120</v>
      </c>
      <c r="AL33" t="s">
        <v>5408</v>
      </c>
      <c r="AM33" t="s">
        <v>4334</v>
      </c>
      <c r="AO33">
        <v>5</v>
      </c>
      <c r="AP33">
        <v>50.087111</v>
      </c>
      <c r="AQ33">
        <v>14.423489</v>
      </c>
      <c r="AR33">
        <v>67</v>
      </c>
      <c r="AU33">
        <v>700</v>
      </c>
      <c r="AV33" s="21">
        <v>10.5</v>
      </c>
      <c r="AW33" s="12"/>
      <c r="AX33" t="s">
        <v>5505</v>
      </c>
    </row>
    <row r="34" spans="1:52" x14ac:dyDescent="0.55000000000000004">
      <c r="A34" t="s">
        <v>4697</v>
      </c>
      <c r="B34" t="s">
        <v>5630</v>
      </c>
      <c r="C34">
        <v>2017</v>
      </c>
      <c r="D34" t="s">
        <v>4526</v>
      </c>
      <c r="E34">
        <v>419</v>
      </c>
      <c r="H34">
        <v>319</v>
      </c>
      <c r="I34">
        <v>333</v>
      </c>
      <c r="K34" s="2" t="s">
        <v>1462</v>
      </c>
      <c r="L34" s="2" t="s">
        <v>4527</v>
      </c>
      <c r="O34" t="s">
        <v>26</v>
      </c>
      <c r="P34" t="s">
        <v>4384</v>
      </c>
      <c r="Q34" t="s">
        <v>43</v>
      </c>
      <c r="R34" t="s">
        <v>43</v>
      </c>
      <c r="S34" t="s">
        <v>28</v>
      </c>
      <c r="T34" t="s">
        <v>28</v>
      </c>
      <c r="U34" t="s">
        <v>28</v>
      </c>
      <c r="V34" t="s">
        <v>28</v>
      </c>
      <c r="W34" t="s">
        <v>4336</v>
      </c>
      <c r="X34" t="s">
        <v>5624</v>
      </c>
      <c r="Y34" t="s">
        <v>4497</v>
      </c>
      <c r="Z34" t="s">
        <v>4385</v>
      </c>
      <c r="AA34" t="s">
        <v>4360</v>
      </c>
      <c r="AB34" t="s">
        <v>4445</v>
      </c>
      <c r="AC34" t="s">
        <v>4446</v>
      </c>
      <c r="AF34" t="s">
        <v>5710</v>
      </c>
      <c r="AG34" t="s">
        <v>4531</v>
      </c>
      <c r="AH34" t="s">
        <v>5367</v>
      </c>
      <c r="AI34" t="s">
        <v>4357</v>
      </c>
      <c r="AJ34">
        <v>120</v>
      </c>
      <c r="AK34">
        <v>120</v>
      </c>
      <c r="AL34" t="s">
        <v>5408</v>
      </c>
      <c r="AM34" t="s">
        <v>4334</v>
      </c>
      <c r="AO34">
        <v>5</v>
      </c>
      <c r="AP34">
        <v>50.087111</v>
      </c>
      <c r="AQ34">
        <v>14.423489</v>
      </c>
      <c r="AR34">
        <v>31</v>
      </c>
      <c r="AU34">
        <v>700</v>
      </c>
      <c r="AV34" s="21">
        <v>4</v>
      </c>
      <c r="AW34" s="12"/>
      <c r="AX34" t="s">
        <v>5506</v>
      </c>
    </row>
    <row r="35" spans="1:52" x14ac:dyDescent="0.55000000000000004">
      <c r="A35" t="s">
        <v>4697</v>
      </c>
      <c r="B35" t="s">
        <v>5630</v>
      </c>
      <c r="C35">
        <v>2017</v>
      </c>
      <c r="D35" t="s">
        <v>4526</v>
      </c>
      <c r="E35">
        <v>419</v>
      </c>
      <c r="H35">
        <v>319</v>
      </c>
      <c r="I35">
        <v>333</v>
      </c>
      <c r="K35" s="2" t="s">
        <v>1462</v>
      </c>
      <c r="L35" s="2" t="s">
        <v>4527</v>
      </c>
      <c r="O35" t="s">
        <v>26</v>
      </c>
      <c r="P35" t="s">
        <v>4384</v>
      </c>
      <c r="Q35" t="s">
        <v>43</v>
      </c>
      <c r="R35" t="s">
        <v>43</v>
      </c>
      <c r="S35" t="s">
        <v>28</v>
      </c>
      <c r="T35" t="s">
        <v>28</v>
      </c>
      <c r="U35" t="s">
        <v>28</v>
      </c>
      <c r="V35" t="s">
        <v>28</v>
      </c>
      <c r="W35" t="s">
        <v>4336</v>
      </c>
      <c r="X35" t="s">
        <v>5624</v>
      </c>
      <c r="Y35" t="s">
        <v>4498</v>
      </c>
      <c r="Z35" t="s">
        <v>4385</v>
      </c>
      <c r="AA35" t="s">
        <v>4360</v>
      </c>
      <c r="AB35" t="s">
        <v>4445</v>
      </c>
      <c r="AC35" t="s">
        <v>4446</v>
      </c>
      <c r="AF35" t="s">
        <v>5710</v>
      </c>
      <c r="AG35" t="s">
        <v>4531</v>
      </c>
      <c r="AH35" t="s">
        <v>5367</v>
      </c>
      <c r="AI35" t="s">
        <v>4357</v>
      </c>
      <c r="AJ35">
        <v>120</v>
      </c>
      <c r="AK35">
        <v>120</v>
      </c>
      <c r="AL35" t="s">
        <v>5408</v>
      </c>
      <c r="AM35" t="s">
        <v>4334</v>
      </c>
      <c r="AO35">
        <v>5</v>
      </c>
      <c r="AP35">
        <v>50.087111</v>
      </c>
      <c r="AQ35">
        <v>14.423489</v>
      </c>
      <c r="AR35">
        <v>31</v>
      </c>
      <c r="AU35">
        <v>700</v>
      </c>
      <c r="AV35" s="21">
        <v>4</v>
      </c>
      <c r="AW35" s="12"/>
      <c r="AX35" t="s">
        <v>5506</v>
      </c>
    </row>
    <row r="36" spans="1:52" x14ac:dyDescent="0.55000000000000004">
      <c r="A36" t="s">
        <v>5357</v>
      </c>
      <c r="B36" t="s">
        <v>1669</v>
      </c>
      <c r="C36">
        <v>2017</v>
      </c>
      <c r="D36" t="s">
        <v>513</v>
      </c>
      <c r="E36">
        <v>27</v>
      </c>
      <c r="F36">
        <v>1</v>
      </c>
      <c r="H36">
        <v>35</v>
      </c>
      <c r="I36">
        <v>51</v>
      </c>
      <c r="K36" s="2" t="s">
        <v>1670</v>
      </c>
      <c r="L36" s="2" t="s">
        <v>4532</v>
      </c>
      <c r="M36" t="s">
        <v>4759</v>
      </c>
      <c r="O36" t="s">
        <v>26</v>
      </c>
      <c r="P36" t="s">
        <v>4384</v>
      </c>
      <c r="Q36" t="s">
        <v>43</v>
      </c>
      <c r="R36" t="s">
        <v>43</v>
      </c>
      <c r="S36" t="s">
        <v>28</v>
      </c>
      <c r="T36" t="s">
        <v>28</v>
      </c>
      <c r="U36" t="s">
        <v>28</v>
      </c>
      <c r="V36" t="s">
        <v>28</v>
      </c>
      <c r="W36" t="s">
        <v>4336</v>
      </c>
      <c r="X36" t="s">
        <v>5624</v>
      </c>
      <c r="Y36" t="s">
        <v>4497</v>
      </c>
      <c r="Z36" t="s">
        <v>5470</v>
      </c>
      <c r="AA36" t="s">
        <v>4360</v>
      </c>
      <c r="AB36" t="s">
        <v>4530</v>
      </c>
      <c r="AC36" t="s">
        <v>4427</v>
      </c>
      <c r="AD36" t="s">
        <v>4533</v>
      </c>
      <c r="AF36" t="s">
        <v>5710</v>
      </c>
      <c r="AG36" t="s">
        <v>4367</v>
      </c>
      <c r="AH36" t="s">
        <v>4368</v>
      </c>
      <c r="AI36" t="s">
        <v>4357</v>
      </c>
      <c r="AJ36">
        <v>1</v>
      </c>
      <c r="AK36">
        <v>144</v>
      </c>
      <c r="AL36" t="s">
        <v>5408</v>
      </c>
      <c r="AM36" t="s">
        <v>4334</v>
      </c>
      <c r="AO36">
        <v>4</v>
      </c>
      <c r="AP36">
        <v>50.081538999999999</v>
      </c>
      <c r="AQ36">
        <v>14.414192999999999</v>
      </c>
      <c r="AR36">
        <v>59</v>
      </c>
      <c r="AU36">
        <v>1300</v>
      </c>
      <c r="AV36" s="21">
        <f>2.3*0.93</f>
        <v>2.1389999999999998</v>
      </c>
      <c r="AW36" s="12"/>
      <c r="AX36" t="s">
        <v>5507</v>
      </c>
      <c r="AY36" t="s">
        <v>43</v>
      </c>
    </row>
    <row r="37" spans="1:52" x14ac:dyDescent="0.55000000000000004">
      <c r="A37" t="s">
        <v>5468</v>
      </c>
      <c r="B37" t="s">
        <v>1792</v>
      </c>
      <c r="C37">
        <v>2016</v>
      </c>
      <c r="D37" t="s">
        <v>466</v>
      </c>
      <c r="E37">
        <v>19</v>
      </c>
      <c r="F37">
        <v>6</v>
      </c>
      <c r="H37">
        <v>648</v>
      </c>
      <c r="I37">
        <v>656</v>
      </c>
      <c r="K37" s="2" t="s">
        <v>1793</v>
      </c>
      <c r="L37" s="2" t="s">
        <v>1794</v>
      </c>
      <c r="M37" t="s">
        <v>4788</v>
      </c>
      <c r="N37" t="s">
        <v>1795</v>
      </c>
      <c r="O37" t="s">
        <v>496</v>
      </c>
      <c r="P37" t="s">
        <v>27</v>
      </c>
      <c r="Q37" t="s">
        <v>43</v>
      </c>
      <c r="R37" t="s">
        <v>28</v>
      </c>
      <c r="S37" t="s">
        <v>43</v>
      </c>
      <c r="T37" t="s">
        <v>43</v>
      </c>
      <c r="U37" t="s">
        <v>28</v>
      </c>
      <c r="V37" t="s">
        <v>28</v>
      </c>
      <c r="W37" s="16" t="s">
        <v>5629</v>
      </c>
      <c r="X37" t="s">
        <v>5624</v>
      </c>
      <c r="Y37" t="s">
        <v>4498</v>
      </c>
      <c r="Z37" t="s">
        <v>5469</v>
      </c>
      <c r="AA37" t="s">
        <v>4360</v>
      </c>
      <c r="AB37" t="s">
        <v>5471</v>
      </c>
      <c r="AC37" t="s">
        <v>5472</v>
      </c>
      <c r="AF37" t="s">
        <v>5710</v>
      </c>
      <c r="AG37" t="s">
        <v>4424</v>
      </c>
      <c r="AH37" t="s">
        <v>5475</v>
      </c>
      <c r="AI37" t="s">
        <v>4343</v>
      </c>
      <c r="AJ37">
        <f>112</f>
        <v>112</v>
      </c>
      <c r="AK37">
        <v>112</v>
      </c>
      <c r="AL37" t="s">
        <v>5408</v>
      </c>
      <c r="AM37" t="s">
        <v>4334</v>
      </c>
      <c r="AO37">
        <v>16</v>
      </c>
      <c r="AP37">
        <v>47.375355999999996</v>
      </c>
      <c r="AQ37">
        <v>8.5493050000000004</v>
      </c>
      <c r="AT37">
        <f>AVERAGE(21,16)</f>
        <v>18.5</v>
      </c>
      <c r="AU37">
        <v>400</v>
      </c>
      <c r="AV37" s="21"/>
      <c r="AW37" s="12"/>
      <c r="AX37" t="s">
        <v>5494</v>
      </c>
      <c r="AZ37" s="19" t="s">
        <v>5486</v>
      </c>
    </row>
    <row r="38" spans="1:52" x14ac:dyDescent="0.55000000000000004">
      <c r="A38" t="s">
        <v>5468</v>
      </c>
      <c r="B38" t="s">
        <v>1792</v>
      </c>
      <c r="C38">
        <v>2016</v>
      </c>
      <c r="D38" t="s">
        <v>466</v>
      </c>
      <c r="E38">
        <v>19</v>
      </c>
      <c r="F38">
        <v>6</v>
      </c>
      <c r="H38">
        <v>648</v>
      </c>
      <c r="I38">
        <v>656</v>
      </c>
      <c r="K38" s="2" t="s">
        <v>1793</v>
      </c>
      <c r="L38" s="2" t="s">
        <v>1794</v>
      </c>
      <c r="M38" t="s">
        <v>4788</v>
      </c>
      <c r="N38" t="s">
        <v>1795</v>
      </c>
      <c r="O38" t="s">
        <v>496</v>
      </c>
      <c r="P38" t="s">
        <v>27</v>
      </c>
      <c r="Q38" t="s">
        <v>43</v>
      </c>
      <c r="R38" t="s">
        <v>28</v>
      </c>
      <c r="S38" t="s">
        <v>43</v>
      </c>
      <c r="T38" t="s">
        <v>43</v>
      </c>
      <c r="U38" t="s">
        <v>28</v>
      </c>
      <c r="V38" t="s">
        <v>28</v>
      </c>
      <c r="W38" s="16" t="s">
        <v>5629</v>
      </c>
      <c r="X38" t="s">
        <v>5624</v>
      </c>
      <c r="Y38" t="s">
        <v>4498</v>
      </c>
      <c r="Z38" t="s">
        <v>5470</v>
      </c>
      <c r="AA38" t="s">
        <v>4360</v>
      </c>
      <c r="AB38" t="s">
        <v>5473</v>
      </c>
      <c r="AC38" t="s">
        <v>5474</v>
      </c>
      <c r="AF38" t="s">
        <v>5710</v>
      </c>
      <c r="AG38" t="s">
        <v>4424</v>
      </c>
      <c r="AH38" t="s">
        <v>5475</v>
      </c>
      <c r="AI38" t="s">
        <v>4343</v>
      </c>
      <c r="AJ38">
        <v>112</v>
      </c>
      <c r="AK38">
        <v>11</v>
      </c>
      <c r="AL38" t="s">
        <v>5408</v>
      </c>
      <c r="AM38" t="s">
        <v>4334</v>
      </c>
      <c r="AO38">
        <v>16</v>
      </c>
      <c r="AP38">
        <v>47.375355999999996</v>
      </c>
      <c r="AQ38">
        <v>8.5493050000000004</v>
      </c>
      <c r="AT38">
        <f>AVERAGE(21,16)</f>
        <v>18.5</v>
      </c>
      <c r="AU38">
        <v>400</v>
      </c>
      <c r="AV38" s="21"/>
      <c r="AW38" s="12"/>
      <c r="AX38" t="s">
        <v>5493</v>
      </c>
    </row>
    <row r="39" spans="1:52" x14ac:dyDescent="0.55000000000000004">
      <c r="A39" t="s">
        <v>1801</v>
      </c>
      <c r="B39" t="s">
        <v>1802</v>
      </c>
      <c r="C39">
        <v>2016</v>
      </c>
      <c r="D39" t="s">
        <v>571</v>
      </c>
      <c r="E39">
        <v>7</v>
      </c>
      <c r="F39">
        <v>5</v>
      </c>
      <c r="G39" t="s">
        <v>1803</v>
      </c>
      <c r="K39" s="2" t="s">
        <v>1804</v>
      </c>
      <c r="L39" s="2" t="s">
        <v>1805</v>
      </c>
      <c r="M39" t="s">
        <v>4789</v>
      </c>
      <c r="N39" t="s">
        <v>1806</v>
      </c>
      <c r="O39" t="s">
        <v>26</v>
      </c>
      <c r="P39" t="s">
        <v>27</v>
      </c>
      <c r="Q39" t="s">
        <v>43</v>
      </c>
      <c r="R39" t="s">
        <v>28</v>
      </c>
      <c r="S39" t="s">
        <v>43</v>
      </c>
      <c r="T39" t="s">
        <v>28</v>
      </c>
      <c r="U39" t="s">
        <v>28</v>
      </c>
      <c r="V39" t="s">
        <v>28</v>
      </c>
      <c r="W39" s="16" t="s">
        <v>5629</v>
      </c>
      <c r="X39" t="s">
        <v>5624</v>
      </c>
      <c r="Y39" t="s">
        <v>4497</v>
      </c>
      <c r="Z39" s="2" t="s">
        <v>5380</v>
      </c>
      <c r="AA39" t="s">
        <v>4360</v>
      </c>
      <c r="AB39" t="s">
        <v>4528</v>
      </c>
      <c r="AC39" t="s">
        <v>5487</v>
      </c>
      <c r="AF39" t="s">
        <v>5710</v>
      </c>
      <c r="AG39" t="s">
        <v>5488</v>
      </c>
      <c r="AH39" t="s">
        <v>5489</v>
      </c>
      <c r="AI39" t="s">
        <v>4343</v>
      </c>
      <c r="AL39" t="s">
        <v>5408</v>
      </c>
      <c r="AM39" t="s">
        <v>4334</v>
      </c>
      <c r="AO39">
        <v>6</v>
      </c>
      <c r="AP39" s="2">
        <v>36.001426000000002</v>
      </c>
      <c r="AQ39">
        <v>-78.938229000000007</v>
      </c>
      <c r="AV39" s="21"/>
      <c r="AW39" s="12"/>
      <c r="AX39" t="s">
        <v>5492</v>
      </c>
      <c r="AZ39" s="19" t="s">
        <v>5682</v>
      </c>
    </row>
    <row r="40" spans="1:52" x14ac:dyDescent="0.55000000000000004">
      <c r="A40" t="s">
        <v>4837</v>
      </c>
      <c r="B40" t="s">
        <v>1993</v>
      </c>
      <c r="C40">
        <v>2015</v>
      </c>
      <c r="D40" t="s">
        <v>1994</v>
      </c>
      <c r="E40">
        <v>179</v>
      </c>
      <c r="H40">
        <v>83</v>
      </c>
      <c r="I40">
        <v>89</v>
      </c>
      <c r="K40" s="2" t="s">
        <v>1995</v>
      </c>
      <c r="L40" s="2" t="s">
        <v>1996</v>
      </c>
      <c r="M40" t="s">
        <v>4838</v>
      </c>
      <c r="N40" t="s">
        <v>1997</v>
      </c>
      <c r="O40" t="s">
        <v>26</v>
      </c>
      <c r="P40" t="s">
        <v>27</v>
      </c>
      <c r="Q40" t="s">
        <v>43</v>
      </c>
      <c r="R40" t="s">
        <v>43</v>
      </c>
      <c r="S40" t="s">
        <v>28</v>
      </c>
      <c r="T40" t="s">
        <v>28</v>
      </c>
      <c r="U40" t="s">
        <v>28</v>
      </c>
      <c r="V40" t="s">
        <v>28</v>
      </c>
      <c r="W40" s="16" t="s">
        <v>5629</v>
      </c>
      <c r="X40" t="s">
        <v>5624</v>
      </c>
      <c r="Y40" t="s">
        <v>4497</v>
      </c>
      <c r="Z40" t="s">
        <v>5469</v>
      </c>
      <c r="AA40" t="s">
        <v>4360</v>
      </c>
      <c r="AB40" t="s">
        <v>4421</v>
      </c>
      <c r="AC40" t="s">
        <v>4422</v>
      </c>
      <c r="AD40" t="s">
        <v>4423</v>
      </c>
      <c r="AF40" t="s">
        <v>5710</v>
      </c>
      <c r="AG40" t="s">
        <v>4424</v>
      </c>
      <c r="AH40" t="s">
        <v>4425</v>
      </c>
      <c r="AI40" t="s">
        <v>4357</v>
      </c>
      <c r="AJ40">
        <v>6</v>
      </c>
      <c r="AK40">
        <v>24</v>
      </c>
      <c r="AL40" t="s">
        <v>5408</v>
      </c>
      <c r="AM40" t="s">
        <v>4334</v>
      </c>
      <c r="AO40">
        <v>14</v>
      </c>
      <c r="AP40">
        <v>46.498454000000002</v>
      </c>
      <c r="AQ40">
        <v>11.350709999999999</v>
      </c>
      <c r="AR40">
        <v>29</v>
      </c>
      <c r="AT40">
        <v>20.5</v>
      </c>
      <c r="AU40">
        <v>300</v>
      </c>
      <c r="AV40" s="21">
        <f>4.34*0.93</f>
        <v>4.0362</v>
      </c>
      <c r="AW40" s="12"/>
      <c r="AX40" t="s">
        <v>5491</v>
      </c>
      <c r="AY40" t="s">
        <v>43</v>
      </c>
    </row>
    <row r="41" spans="1:52" x14ac:dyDescent="0.55000000000000004">
      <c r="A41" t="s">
        <v>4837</v>
      </c>
      <c r="B41" t="s">
        <v>1993</v>
      </c>
      <c r="C41">
        <v>2015</v>
      </c>
      <c r="D41" t="s">
        <v>1994</v>
      </c>
      <c r="E41">
        <v>179</v>
      </c>
      <c r="H41">
        <v>83</v>
      </c>
      <c r="I41">
        <v>89</v>
      </c>
      <c r="K41" s="2" t="s">
        <v>1995</v>
      </c>
      <c r="L41" s="2" t="s">
        <v>1996</v>
      </c>
      <c r="M41" t="s">
        <v>4838</v>
      </c>
      <c r="N41" t="s">
        <v>1997</v>
      </c>
      <c r="O41" t="s">
        <v>26</v>
      </c>
      <c r="P41" t="s">
        <v>27</v>
      </c>
      <c r="Q41" t="s">
        <v>43</v>
      </c>
      <c r="R41" t="s">
        <v>43</v>
      </c>
      <c r="S41" t="s">
        <v>28</v>
      </c>
      <c r="T41" t="s">
        <v>28</v>
      </c>
      <c r="U41" t="s">
        <v>28</v>
      </c>
      <c r="V41" t="s">
        <v>28</v>
      </c>
      <c r="W41" s="16" t="s">
        <v>5629</v>
      </c>
      <c r="X41" t="s">
        <v>5624</v>
      </c>
      <c r="Y41" t="s">
        <v>4497</v>
      </c>
      <c r="Z41" t="s">
        <v>5469</v>
      </c>
      <c r="AA41" t="s">
        <v>4360</v>
      </c>
      <c r="AB41" t="s">
        <v>4421</v>
      </c>
      <c r="AC41" t="s">
        <v>4422</v>
      </c>
      <c r="AD41" t="s">
        <v>4423</v>
      </c>
      <c r="AF41" t="s">
        <v>5710</v>
      </c>
      <c r="AG41" t="s">
        <v>4424</v>
      </c>
      <c r="AH41" t="s">
        <v>4425</v>
      </c>
      <c r="AI41" t="s">
        <v>4357</v>
      </c>
      <c r="AJ41">
        <v>6</v>
      </c>
      <c r="AK41">
        <v>168</v>
      </c>
      <c r="AL41" t="s">
        <v>5408</v>
      </c>
      <c r="AM41" t="s">
        <v>4334</v>
      </c>
      <c r="AO41">
        <v>14</v>
      </c>
      <c r="AP41">
        <v>46.498454000000002</v>
      </c>
      <c r="AQ41">
        <v>11.350709999999999</v>
      </c>
      <c r="AR41">
        <v>29</v>
      </c>
      <c r="AT41">
        <v>20.5</v>
      </c>
      <c r="AU41">
        <v>300</v>
      </c>
      <c r="AV41" s="21">
        <f>1.79*0.93</f>
        <v>1.6647000000000001</v>
      </c>
      <c r="AW41" s="12"/>
      <c r="AX41" t="s">
        <v>5491</v>
      </c>
      <c r="AY41" t="s">
        <v>43</v>
      </c>
    </row>
    <row r="42" spans="1:52" x14ac:dyDescent="0.55000000000000004">
      <c r="A42" t="s">
        <v>4517</v>
      </c>
      <c r="B42" t="s">
        <v>4518</v>
      </c>
      <c r="C42">
        <v>2010</v>
      </c>
      <c r="D42" t="s">
        <v>2612</v>
      </c>
      <c r="E42">
        <v>107</v>
      </c>
      <c r="H42">
        <v>10938</v>
      </c>
      <c r="I42">
        <v>10942</v>
      </c>
      <c r="K42" s="2" t="s">
        <v>4520</v>
      </c>
      <c r="L42" s="2" t="s">
        <v>4519</v>
      </c>
      <c r="M42" t="s">
        <v>4889</v>
      </c>
      <c r="N42" t="s">
        <v>4521</v>
      </c>
      <c r="O42" t="s">
        <v>26</v>
      </c>
      <c r="P42" t="s">
        <v>4384</v>
      </c>
      <c r="Q42" t="s">
        <v>43</v>
      </c>
      <c r="R42" t="s">
        <v>43</v>
      </c>
      <c r="S42" t="s">
        <v>43</v>
      </c>
      <c r="T42" t="s">
        <v>43</v>
      </c>
      <c r="U42" t="s">
        <v>28</v>
      </c>
      <c r="V42" t="s">
        <v>43</v>
      </c>
      <c r="W42" t="s">
        <v>4336</v>
      </c>
      <c r="X42" t="s">
        <v>5624</v>
      </c>
      <c r="Y42" t="s">
        <v>4498</v>
      </c>
      <c r="Z42" t="s">
        <v>4385</v>
      </c>
      <c r="AA42" t="s">
        <v>4360</v>
      </c>
      <c r="AB42" t="s">
        <v>4386</v>
      </c>
      <c r="AC42" t="s">
        <v>4516</v>
      </c>
      <c r="AF42" t="s">
        <v>5710</v>
      </c>
      <c r="AG42" t="s">
        <v>4419</v>
      </c>
      <c r="AH42" t="s">
        <v>4420</v>
      </c>
      <c r="AI42" t="s">
        <v>4357</v>
      </c>
      <c r="AJ42">
        <v>24</v>
      </c>
      <c r="AK42">
        <v>504</v>
      </c>
      <c r="AL42" t="s">
        <v>5408</v>
      </c>
      <c r="AM42" t="s">
        <v>4334</v>
      </c>
      <c r="AO42">
        <v>6</v>
      </c>
      <c r="AP42">
        <v>51.858710000000002</v>
      </c>
      <c r="AQ42">
        <v>5.6694060000000004</v>
      </c>
      <c r="AT42">
        <v>19.25</v>
      </c>
      <c r="AU42">
        <v>250</v>
      </c>
      <c r="AV42" s="21">
        <v>30</v>
      </c>
      <c r="AW42" s="12"/>
      <c r="AX42" t="s">
        <v>5495</v>
      </c>
    </row>
    <row r="43" spans="1:52" x14ac:dyDescent="0.55000000000000004">
      <c r="A43" t="s">
        <v>2378</v>
      </c>
      <c r="B43" t="s">
        <v>2379</v>
      </c>
      <c r="C43">
        <v>2013</v>
      </c>
      <c r="D43" t="s">
        <v>53</v>
      </c>
      <c r="E43">
        <v>58</v>
      </c>
      <c r="H43">
        <v>207</v>
      </c>
      <c r="I43">
        <v>215</v>
      </c>
      <c r="K43" s="2" t="s">
        <v>2380</v>
      </c>
      <c r="L43" s="2" t="s">
        <v>2381</v>
      </c>
      <c r="M43" t="s">
        <v>4931</v>
      </c>
      <c r="N43" t="s">
        <v>2382</v>
      </c>
      <c r="O43" t="s">
        <v>26</v>
      </c>
      <c r="P43" t="s">
        <v>27</v>
      </c>
      <c r="Q43" t="s">
        <v>43</v>
      </c>
      <c r="R43" t="s">
        <v>43</v>
      </c>
      <c r="S43" t="s">
        <v>28</v>
      </c>
      <c r="T43" t="s">
        <v>28</v>
      </c>
      <c r="U43" t="s">
        <v>28</v>
      </c>
      <c r="V43" t="s">
        <v>28</v>
      </c>
      <c r="W43" s="16" t="s">
        <v>5629</v>
      </c>
      <c r="X43" t="s">
        <v>5624</v>
      </c>
      <c r="Y43" t="s">
        <v>4497</v>
      </c>
      <c r="Z43" t="s">
        <v>4385</v>
      </c>
      <c r="AA43" t="s">
        <v>4360</v>
      </c>
      <c r="AB43" t="s">
        <v>4545</v>
      </c>
      <c r="AC43" t="s">
        <v>4546</v>
      </c>
      <c r="AD43" t="s">
        <v>4547</v>
      </c>
      <c r="AF43" t="s">
        <v>5710</v>
      </c>
      <c r="AG43" t="s">
        <v>4419</v>
      </c>
      <c r="AH43" t="s">
        <v>4420</v>
      </c>
      <c r="AI43" t="s">
        <v>4357</v>
      </c>
      <c r="AJ43">
        <v>5</v>
      </c>
      <c r="AK43">
        <v>0</v>
      </c>
      <c r="AL43" t="s">
        <v>5408</v>
      </c>
      <c r="AM43" t="s">
        <v>4355</v>
      </c>
      <c r="AO43">
        <v>2</v>
      </c>
      <c r="AP43">
        <v>62.5</v>
      </c>
      <c r="AQ43">
        <v>30.5</v>
      </c>
      <c r="AV43" s="21">
        <v>2</v>
      </c>
      <c r="AW43" s="12"/>
      <c r="AX43" t="s">
        <v>5499</v>
      </c>
    </row>
    <row r="44" spans="1:52" x14ac:dyDescent="0.55000000000000004">
      <c r="A44" t="s">
        <v>2378</v>
      </c>
      <c r="B44" t="s">
        <v>2379</v>
      </c>
      <c r="C44">
        <v>2013</v>
      </c>
      <c r="D44" t="s">
        <v>53</v>
      </c>
      <c r="E44">
        <v>58</v>
      </c>
      <c r="H44">
        <v>207</v>
      </c>
      <c r="I44">
        <v>215</v>
      </c>
      <c r="K44" s="2" t="s">
        <v>2380</v>
      </c>
      <c r="L44" s="2" t="s">
        <v>2381</v>
      </c>
      <c r="M44" t="s">
        <v>4931</v>
      </c>
      <c r="N44" t="s">
        <v>2382</v>
      </c>
      <c r="O44" t="s">
        <v>26</v>
      </c>
      <c r="P44" t="s">
        <v>27</v>
      </c>
      <c r="Q44" t="s">
        <v>43</v>
      </c>
      <c r="R44" t="s">
        <v>43</v>
      </c>
      <c r="S44" t="s">
        <v>28</v>
      </c>
      <c r="T44" t="s">
        <v>28</v>
      </c>
      <c r="U44" t="s">
        <v>28</v>
      </c>
      <c r="V44" t="s">
        <v>28</v>
      </c>
      <c r="W44" s="16" t="s">
        <v>5629</v>
      </c>
      <c r="X44" t="s">
        <v>5624</v>
      </c>
      <c r="Y44" t="s">
        <v>4497</v>
      </c>
      <c r="Z44" t="s">
        <v>4385</v>
      </c>
      <c r="AA44" t="s">
        <v>4360</v>
      </c>
      <c r="AB44" t="s">
        <v>4545</v>
      </c>
      <c r="AC44" t="s">
        <v>4546</v>
      </c>
      <c r="AD44" t="s">
        <v>4547</v>
      </c>
      <c r="AF44" t="s">
        <v>5710</v>
      </c>
      <c r="AG44" t="s">
        <v>4419</v>
      </c>
      <c r="AH44" t="s">
        <v>4420</v>
      </c>
      <c r="AI44" t="s">
        <v>4357</v>
      </c>
      <c r="AJ44">
        <v>5</v>
      </c>
      <c r="AK44">
        <v>0</v>
      </c>
      <c r="AL44" t="s">
        <v>5408</v>
      </c>
      <c r="AM44" t="s">
        <v>4355</v>
      </c>
      <c r="AO44">
        <v>2</v>
      </c>
      <c r="AP44">
        <v>62.5</v>
      </c>
      <c r="AQ44">
        <v>30.5</v>
      </c>
      <c r="AV44" s="21">
        <v>1</v>
      </c>
      <c r="AW44" s="12"/>
      <c r="AX44" t="s">
        <v>5500</v>
      </c>
    </row>
    <row r="45" spans="1:52" x14ac:dyDescent="0.55000000000000004">
      <c r="A45" t="s">
        <v>2378</v>
      </c>
      <c r="B45" t="s">
        <v>2379</v>
      </c>
      <c r="C45">
        <v>2013</v>
      </c>
      <c r="D45" t="s">
        <v>53</v>
      </c>
      <c r="E45">
        <v>58</v>
      </c>
      <c r="H45">
        <v>207</v>
      </c>
      <c r="I45">
        <v>215</v>
      </c>
      <c r="K45" s="2" t="s">
        <v>2380</v>
      </c>
      <c r="L45" s="2" t="s">
        <v>2381</v>
      </c>
      <c r="M45" t="s">
        <v>4931</v>
      </c>
      <c r="N45" t="s">
        <v>2382</v>
      </c>
      <c r="O45" t="s">
        <v>26</v>
      </c>
      <c r="P45" t="s">
        <v>27</v>
      </c>
      <c r="Q45" t="s">
        <v>43</v>
      </c>
      <c r="R45" t="s">
        <v>43</v>
      </c>
      <c r="S45" t="s">
        <v>28</v>
      </c>
      <c r="T45" t="s">
        <v>28</v>
      </c>
      <c r="U45" t="s">
        <v>28</v>
      </c>
      <c r="V45" t="s">
        <v>28</v>
      </c>
      <c r="W45" s="16" t="s">
        <v>5629</v>
      </c>
      <c r="X45" t="s">
        <v>5624</v>
      </c>
      <c r="Y45" t="s">
        <v>4497</v>
      </c>
      <c r="Z45" t="s">
        <v>4385</v>
      </c>
      <c r="AA45" t="s">
        <v>4360</v>
      </c>
      <c r="AB45" t="s">
        <v>4545</v>
      </c>
      <c r="AC45" t="s">
        <v>4546</v>
      </c>
      <c r="AD45" t="s">
        <v>4547</v>
      </c>
      <c r="AF45" t="s">
        <v>5710</v>
      </c>
      <c r="AG45" t="s">
        <v>4419</v>
      </c>
      <c r="AH45" t="s">
        <v>4420</v>
      </c>
      <c r="AI45" t="s">
        <v>4357</v>
      </c>
      <c r="AJ45">
        <v>5</v>
      </c>
      <c r="AK45">
        <v>8760</v>
      </c>
      <c r="AL45" t="s">
        <v>5408</v>
      </c>
      <c r="AM45" t="s">
        <v>4355</v>
      </c>
      <c r="AO45">
        <v>2</v>
      </c>
      <c r="AP45">
        <v>62.5</v>
      </c>
      <c r="AQ45">
        <v>30.5</v>
      </c>
      <c r="AV45" s="21">
        <v>2</v>
      </c>
      <c r="AW45" s="12"/>
      <c r="AX45" t="s">
        <v>5501</v>
      </c>
    </row>
    <row r="46" spans="1:52" x14ac:dyDescent="0.55000000000000004">
      <c r="A46" t="s">
        <v>2378</v>
      </c>
      <c r="B46" t="s">
        <v>2379</v>
      </c>
      <c r="C46">
        <v>2013</v>
      </c>
      <c r="D46" t="s">
        <v>53</v>
      </c>
      <c r="E46">
        <v>58</v>
      </c>
      <c r="H46">
        <v>207</v>
      </c>
      <c r="I46">
        <v>215</v>
      </c>
      <c r="K46" s="2" t="s">
        <v>2380</v>
      </c>
      <c r="L46" s="2" t="s">
        <v>2381</v>
      </c>
      <c r="M46" t="s">
        <v>4931</v>
      </c>
      <c r="N46" t="s">
        <v>2382</v>
      </c>
      <c r="O46" t="s">
        <v>26</v>
      </c>
      <c r="P46" t="s">
        <v>27</v>
      </c>
      <c r="Q46" t="s">
        <v>43</v>
      </c>
      <c r="R46" t="s">
        <v>43</v>
      </c>
      <c r="S46" t="s">
        <v>28</v>
      </c>
      <c r="T46" t="s">
        <v>28</v>
      </c>
      <c r="U46" t="s">
        <v>28</v>
      </c>
      <c r="V46" t="s">
        <v>28</v>
      </c>
      <c r="W46" s="16" t="s">
        <v>5629</v>
      </c>
      <c r="X46" t="s">
        <v>5624</v>
      </c>
      <c r="Y46" t="s">
        <v>4497</v>
      </c>
      <c r="Z46" t="s">
        <v>4385</v>
      </c>
      <c r="AA46" t="s">
        <v>4360</v>
      </c>
      <c r="AB46" t="s">
        <v>4545</v>
      </c>
      <c r="AC46" t="s">
        <v>4546</v>
      </c>
      <c r="AD46" t="s">
        <v>4547</v>
      </c>
      <c r="AF46" t="s">
        <v>5710</v>
      </c>
      <c r="AG46" t="s">
        <v>4419</v>
      </c>
      <c r="AH46" t="s">
        <v>4420</v>
      </c>
      <c r="AI46" t="s">
        <v>4357</v>
      </c>
      <c r="AJ46">
        <v>5</v>
      </c>
      <c r="AK46">
        <v>8760</v>
      </c>
      <c r="AL46" t="s">
        <v>5408</v>
      </c>
      <c r="AM46" t="s">
        <v>4355</v>
      </c>
      <c r="AO46">
        <v>2</v>
      </c>
      <c r="AP46">
        <v>62.5</v>
      </c>
      <c r="AQ46">
        <v>30.5</v>
      </c>
      <c r="AV46" s="21">
        <v>2.5</v>
      </c>
      <c r="AW46" s="12"/>
      <c r="AX46" t="s">
        <v>5502</v>
      </c>
    </row>
    <row r="47" spans="1:52" x14ac:dyDescent="0.55000000000000004">
      <c r="A47" t="s">
        <v>2388</v>
      </c>
      <c r="B47" t="s">
        <v>2389</v>
      </c>
      <c r="C47">
        <v>2013</v>
      </c>
      <c r="D47" t="s">
        <v>807</v>
      </c>
      <c r="E47">
        <v>19</v>
      </c>
      <c r="F47">
        <v>2</v>
      </c>
      <c r="H47">
        <v>621</v>
      </c>
      <c r="I47">
        <v>636</v>
      </c>
      <c r="K47" s="2" t="s">
        <v>2390</v>
      </c>
      <c r="L47" s="2" t="s">
        <v>2391</v>
      </c>
      <c r="M47" t="s">
        <v>2392</v>
      </c>
      <c r="N47" t="s">
        <v>2393</v>
      </c>
      <c r="O47" t="s">
        <v>26</v>
      </c>
      <c r="P47" t="s">
        <v>27</v>
      </c>
      <c r="Q47" t="s">
        <v>43</v>
      </c>
      <c r="R47" t="s">
        <v>43</v>
      </c>
      <c r="S47" t="s">
        <v>28</v>
      </c>
      <c r="T47" t="s">
        <v>28</v>
      </c>
      <c r="U47" t="s">
        <v>28</v>
      </c>
      <c r="V47" t="s">
        <v>28</v>
      </c>
      <c r="W47" s="16" t="s">
        <v>5629</v>
      </c>
      <c r="X47" t="s">
        <v>5624</v>
      </c>
      <c r="Y47" t="s">
        <v>4498</v>
      </c>
      <c r="Z47" t="s">
        <v>4385</v>
      </c>
      <c r="AA47" t="s">
        <v>4360</v>
      </c>
      <c r="AB47" t="s">
        <v>4386</v>
      </c>
      <c r="AC47" t="s">
        <v>4516</v>
      </c>
      <c r="AF47" t="s">
        <v>5710</v>
      </c>
      <c r="AG47" t="s">
        <v>4419</v>
      </c>
      <c r="AH47" t="s">
        <v>4420</v>
      </c>
      <c r="AI47" t="s">
        <v>4357</v>
      </c>
      <c r="AJ47">
        <v>24</v>
      </c>
      <c r="AK47">
        <v>504</v>
      </c>
      <c r="AL47" t="s">
        <v>5408</v>
      </c>
      <c r="AM47" t="s">
        <v>4334</v>
      </c>
      <c r="AO47">
        <v>6</v>
      </c>
      <c r="AP47">
        <v>51.858710000000002</v>
      </c>
      <c r="AQ47">
        <v>5.6694060000000004</v>
      </c>
      <c r="AT47">
        <v>19.25</v>
      </c>
      <c r="AU47">
        <v>250</v>
      </c>
      <c r="AV47" s="21">
        <v>6</v>
      </c>
      <c r="AW47" s="12"/>
      <c r="AX47" t="s">
        <v>5503</v>
      </c>
    </row>
    <row r="48" spans="1:52" x14ac:dyDescent="0.55000000000000004">
      <c r="A48" t="s">
        <v>2388</v>
      </c>
      <c r="B48" t="s">
        <v>2389</v>
      </c>
      <c r="C48">
        <v>2013</v>
      </c>
      <c r="D48" t="s">
        <v>807</v>
      </c>
      <c r="E48">
        <v>19</v>
      </c>
      <c r="F48">
        <v>2</v>
      </c>
      <c r="H48">
        <v>621</v>
      </c>
      <c r="I48">
        <v>636</v>
      </c>
      <c r="K48" s="2" t="s">
        <v>2390</v>
      </c>
      <c r="L48" s="2" t="s">
        <v>2391</v>
      </c>
      <c r="M48" t="s">
        <v>2392</v>
      </c>
      <c r="N48" t="s">
        <v>2393</v>
      </c>
      <c r="O48" t="s">
        <v>26</v>
      </c>
      <c r="P48" t="s">
        <v>27</v>
      </c>
      <c r="Q48" t="s">
        <v>43</v>
      </c>
      <c r="R48" t="s">
        <v>43</v>
      </c>
      <c r="S48" t="s">
        <v>28</v>
      </c>
      <c r="T48" t="s">
        <v>28</v>
      </c>
      <c r="U48" t="s">
        <v>28</v>
      </c>
      <c r="V48" t="s">
        <v>28</v>
      </c>
      <c r="W48" s="16" t="s">
        <v>5629</v>
      </c>
      <c r="X48" t="s">
        <v>5624</v>
      </c>
      <c r="Y48" t="s">
        <v>4498</v>
      </c>
      <c r="Z48" t="s">
        <v>4385</v>
      </c>
      <c r="AA48" t="s">
        <v>4360</v>
      </c>
      <c r="AB48" t="s">
        <v>4386</v>
      </c>
      <c r="AC48" t="s">
        <v>4516</v>
      </c>
      <c r="AF48" t="s">
        <v>5710</v>
      </c>
      <c r="AG48" t="s">
        <v>4419</v>
      </c>
      <c r="AH48" t="s">
        <v>4420</v>
      </c>
      <c r="AI48" t="s">
        <v>4357</v>
      </c>
      <c r="AJ48">
        <v>24</v>
      </c>
      <c r="AK48">
        <v>504</v>
      </c>
      <c r="AL48" t="s">
        <v>5408</v>
      </c>
      <c r="AM48" t="s">
        <v>4334</v>
      </c>
      <c r="AO48">
        <v>6</v>
      </c>
      <c r="AP48">
        <v>51.858710000000002</v>
      </c>
      <c r="AQ48">
        <v>5.6694060000000004</v>
      </c>
      <c r="AT48">
        <v>19.25</v>
      </c>
      <c r="AU48">
        <v>250</v>
      </c>
      <c r="AV48" s="21">
        <v>6</v>
      </c>
      <c r="AW48" s="12"/>
      <c r="AX48" t="s">
        <v>5496</v>
      </c>
    </row>
    <row r="49" spans="1:51" x14ac:dyDescent="0.55000000000000004">
      <c r="A49" t="s">
        <v>2388</v>
      </c>
      <c r="B49" t="s">
        <v>2389</v>
      </c>
      <c r="C49">
        <v>2013</v>
      </c>
      <c r="D49" t="s">
        <v>807</v>
      </c>
      <c r="E49">
        <v>19</v>
      </c>
      <c r="F49">
        <v>2</v>
      </c>
      <c r="H49">
        <v>621</v>
      </c>
      <c r="I49">
        <v>636</v>
      </c>
      <c r="K49" s="2" t="s">
        <v>2390</v>
      </c>
      <c r="L49" s="2" t="s">
        <v>2391</v>
      </c>
      <c r="M49" t="s">
        <v>2392</v>
      </c>
      <c r="N49" t="s">
        <v>2393</v>
      </c>
      <c r="O49" t="s">
        <v>26</v>
      </c>
      <c r="P49" t="s">
        <v>27</v>
      </c>
      <c r="Q49" t="s">
        <v>43</v>
      </c>
      <c r="R49" t="s">
        <v>43</v>
      </c>
      <c r="S49" t="s">
        <v>28</v>
      </c>
      <c r="T49" t="s">
        <v>28</v>
      </c>
      <c r="U49" t="s">
        <v>28</v>
      </c>
      <c r="V49" t="s">
        <v>28</v>
      </c>
      <c r="W49" s="16" t="s">
        <v>5629</v>
      </c>
      <c r="X49" t="s">
        <v>5624</v>
      </c>
      <c r="Y49" t="s">
        <v>4498</v>
      </c>
      <c r="Z49" t="s">
        <v>4385</v>
      </c>
      <c r="AA49" t="s">
        <v>4360</v>
      </c>
      <c r="AB49" t="s">
        <v>4386</v>
      </c>
      <c r="AC49" t="s">
        <v>4516</v>
      </c>
      <c r="AF49" t="s">
        <v>5710</v>
      </c>
      <c r="AG49" t="s">
        <v>4419</v>
      </c>
      <c r="AH49" t="s">
        <v>4420</v>
      </c>
      <c r="AI49" t="s">
        <v>4357</v>
      </c>
      <c r="AJ49">
        <v>24</v>
      </c>
      <c r="AK49">
        <v>504</v>
      </c>
      <c r="AL49" t="s">
        <v>5408</v>
      </c>
      <c r="AM49" t="s">
        <v>4334</v>
      </c>
      <c r="AO49">
        <v>6</v>
      </c>
      <c r="AP49">
        <v>51.858710000000002</v>
      </c>
      <c r="AQ49">
        <v>5.6694060000000004</v>
      </c>
      <c r="AT49">
        <v>19.25</v>
      </c>
      <c r="AU49">
        <v>250</v>
      </c>
      <c r="AV49" s="21">
        <v>6</v>
      </c>
      <c r="AW49" s="12"/>
      <c r="AX49" t="s">
        <v>5497</v>
      </c>
    </row>
    <row r="50" spans="1:51" x14ac:dyDescent="0.55000000000000004">
      <c r="A50" t="s">
        <v>2388</v>
      </c>
      <c r="B50" t="s">
        <v>2389</v>
      </c>
      <c r="C50">
        <v>2013</v>
      </c>
      <c r="D50" t="s">
        <v>807</v>
      </c>
      <c r="E50">
        <v>19</v>
      </c>
      <c r="F50">
        <v>2</v>
      </c>
      <c r="H50">
        <v>621</v>
      </c>
      <c r="I50">
        <v>636</v>
      </c>
      <c r="K50" s="2" t="s">
        <v>2390</v>
      </c>
      <c r="L50" s="2" t="s">
        <v>2391</v>
      </c>
      <c r="M50" t="s">
        <v>2392</v>
      </c>
      <c r="N50" t="s">
        <v>2393</v>
      </c>
      <c r="O50" t="s">
        <v>26</v>
      </c>
      <c r="P50" t="s">
        <v>27</v>
      </c>
      <c r="Q50" t="s">
        <v>43</v>
      </c>
      <c r="R50" t="s">
        <v>43</v>
      </c>
      <c r="S50" t="s">
        <v>28</v>
      </c>
      <c r="T50" t="s">
        <v>28</v>
      </c>
      <c r="U50" t="s">
        <v>28</v>
      </c>
      <c r="V50" t="s">
        <v>28</v>
      </c>
      <c r="W50" s="16" t="s">
        <v>5629</v>
      </c>
      <c r="X50" t="s">
        <v>5624</v>
      </c>
      <c r="Y50" t="s">
        <v>4498</v>
      </c>
      <c r="Z50" t="s">
        <v>4385</v>
      </c>
      <c r="AA50" t="s">
        <v>4360</v>
      </c>
      <c r="AB50" t="s">
        <v>4386</v>
      </c>
      <c r="AC50" t="s">
        <v>4516</v>
      </c>
      <c r="AF50" t="s">
        <v>5710</v>
      </c>
      <c r="AG50" t="s">
        <v>4419</v>
      </c>
      <c r="AH50" t="s">
        <v>4420</v>
      </c>
      <c r="AI50" t="s">
        <v>4357</v>
      </c>
      <c r="AJ50">
        <v>24</v>
      </c>
      <c r="AK50">
        <v>504</v>
      </c>
      <c r="AL50" t="s">
        <v>5408</v>
      </c>
      <c r="AM50" t="s">
        <v>4334</v>
      </c>
      <c r="AO50">
        <v>6</v>
      </c>
      <c r="AP50">
        <v>51.858710000000002</v>
      </c>
      <c r="AQ50">
        <v>5.6694060000000004</v>
      </c>
      <c r="AT50">
        <v>19.25</v>
      </c>
      <c r="AU50">
        <v>250</v>
      </c>
      <c r="AV50" s="21">
        <v>6</v>
      </c>
      <c r="AW50" s="12"/>
      <c r="AX50" t="s">
        <v>5498</v>
      </c>
    </row>
    <row r="51" spans="1:51" x14ac:dyDescent="0.55000000000000004">
      <c r="A51" t="s">
        <v>5622</v>
      </c>
      <c r="B51" t="s">
        <v>5481</v>
      </c>
      <c r="C51">
        <v>2012</v>
      </c>
      <c r="D51" t="s">
        <v>53</v>
      </c>
      <c r="E51">
        <v>76</v>
      </c>
      <c r="H51">
        <v>1614</v>
      </c>
      <c r="I51">
        <v>1623</v>
      </c>
      <c r="K51" s="2" t="s">
        <v>2483</v>
      </c>
      <c r="L51" s="2" t="s">
        <v>4522</v>
      </c>
      <c r="O51" t="s">
        <v>26</v>
      </c>
      <c r="P51" t="s">
        <v>4384</v>
      </c>
      <c r="Q51" t="s">
        <v>43</v>
      </c>
      <c r="R51" t="s">
        <v>43</v>
      </c>
      <c r="S51" t="s">
        <v>28</v>
      </c>
      <c r="T51" t="s">
        <v>28</v>
      </c>
      <c r="U51" t="s">
        <v>28</v>
      </c>
      <c r="V51" t="s">
        <v>28</v>
      </c>
      <c r="W51" t="s">
        <v>4336</v>
      </c>
      <c r="X51" t="s">
        <v>5624</v>
      </c>
      <c r="Y51" t="s">
        <v>4497</v>
      </c>
      <c r="Z51" t="s">
        <v>4385</v>
      </c>
      <c r="AA51" t="s">
        <v>4360</v>
      </c>
      <c r="AB51" t="s">
        <v>4523</v>
      </c>
      <c r="AC51" t="s">
        <v>4524</v>
      </c>
      <c r="AF51" t="s">
        <v>5710</v>
      </c>
      <c r="AG51" t="s">
        <v>4393</v>
      </c>
      <c r="AH51" t="s">
        <v>4525</v>
      </c>
      <c r="AI51" t="s">
        <v>4343</v>
      </c>
      <c r="AJ51">
        <v>3</v>
      </c>
      <c r="AK51">
        <v>576</v>
      </c>
      <c r="AL51" t="s">
        <v>5408</v>
      </c>
      <c r="AM51" t="s">
        <v>4334</v>
      </c>
      <c r="AO51">
        <v>4</v>
      </c>
      <c r="AP51">
        <v>40.152897000000003</v>
      </c>
      <c r="AQ51">
        <v>-103.135741</v>
      </c>
      <c r="AR51">
        <v>44</v>
      </c>
      <c r="AT51">
        <v>26</v>
      </c>
      <c r="AU51">
        <v>725</v>
      </c>
      <c r="AV51" s="21">
        <f>3.9*0.93</f>
        <v>3.6270000000000002</v>
      </c>
      <c r="AW51" s="12"/>
      <c r="AX51" t="s">
        <v>5528</v>
      </c>
      <c r="AY51" t="s">
        <v>43</v>
      </c>
    </row>
    <row r="52" spans="1:51" x14ac:dyDescent="0.55000000000000004">
      <c r="A52" t="s">
        <v>5622</v>
      </c>
      <c r="B52" t="s">
        <v>5481</v>
      </c>
      <c r="C52">
        <v>2012</v>
      </c>
      <c r="D52" t="s">
        <v>53</v>
      </c>
      <c r="E52">
        <v>76</v>
      </c>
      <c r="H52">
        <v>1614</v>
      </c>
      <c r="I52">
        <v>1623</v>
      </c>
      <c r="K52" s="2" t="s">
        <v>2483</v>
      </c>
      <c r="L52" s="2" t="s">
        <v>4522</v>
      </c>
      <c r="O52" t="s">
        <v>26</v>
      </c>
      <c r="P52" t="s">
        <v>4384</v>
      </c>
      <c r="Q52" t="s">
        <v>43</v>
      </c>
      <c r="R52" t="s">
        <v>43</v>
      </c>
      <c r="S52" t="s">
        <v>28</v>
      </c>
      <c r="T52" t="s">
        <v>28</v>
      </c>
      <c r="U52" t="s">
        <v>28</v>
      </c>
      <c r="V52" t="s">
        <v>28</v>
      </c>
      <c r="W52" t="s">
        <v>4336</v>
      </c>
      <c r="X52" t="s">
        <v>5624</v>
      </c>
      <c r="Y52" t="s">
        <v>4497</v>
      </c>
      <c r="Z52" t="s">
        <v>4385</v>
      </c>
      <c r="AA52" t="s">
        <v>4360</v>
      </c>
      <c r="AB52" t="s">
        <v>4523</v>
      </c>
      <c r="AC52" t="s">
        <v>4524</v>
      </c>
      <c r="AF52" t="s">
        <v>5710</v>
      </c>
      <c r="AG52" t="s">
        <v>4393</v>
      </c>
      <c r="AH52" t="s">
        <v>4525</v>
      </c>
      <c r="AI52" t="s">
        <v>4343</v>
      </c>
      <c r="AJ52">
        <v>3</v>
      </c>
      <c r="AK52">
        <v>1248</v>
      </c>
      <c r="AL52" t="s">
        <v>5408</v>
      </c>
      <c r="AM52" t="s">
        <v>4334</v>
      </c>
      <c r="AO52">
        <v>4</v>
      </c>
      <c r="AP52">
        <v>40.152897000000003</v>
      </c>
      <c r="AQ52">
        <v>-103.135741</v>
      </c>
      <c r="AR52">
        <v>44</v>
      </c>
      <c r="AT52">
        <v>26</v>
      </c>
      <c r="AU52">
        <v>725</v>
      </c>
      <c r="AV52" s="21">
        <f>1.9*0.93</f>
        <v>1.7669999999999999</v>
      </c>
      <c r="AW52" s="12"/>
      <c r="AX52" t="s">
        <v>5528</v>
      </c>
      <c r="AY52" t="s">
        <v>43</v>
      </c>
    </row>
    <row r="53" spans="1:51" x14ac:dyDescent="0.55000000000000004">
      <c r="A53" t="s">
        <v>5622</v>
      </c>
      <c r="B53" t="s">
        <v>5481</v>
      </c>
      <c r="C53">
        <v>2012</v>
      </c>
      <c r="D53" t="s">
        <v>53</v>
      </c>
      <c r="E53">
        <v>76</v>
      </c>
      <c r="H53">
        <v>1614</v>
      </c>
      <c r="I53">
        <v>1623</v>
      </c>
      <c r="K53" s="2" t="s">
        <v>2483</v>
      </c>
      <c r="L53" s="2" t="s">
        <v>4522</v>
      </c>
      <c r="O53" t="s">
        <v>26</v>
      </c>
      <c r="P53" t="s">
        <v>4384</v>
      </c>
      <c r="Q53" t="s">
        <v>43</v>
      </c>
      <c r="R53" t="s">
        <v>43</v>
      </c>
      <c r="S53" t="s">
        <v>28</v>
      </c>
      <c r="T53" t="s">
        <v>28</v>
      </c>
      <c r="U53" t="s">
        <v>28</v>
      </c>
      <c r="V53" t="s">
        <v>28</v>
      </c>
      <c r="W53" t="s">
        <v>4336</v>
      </c>
      <c r="X53" t="s">
        <v>5624</v>
      </c>
      <c r="Y53" t="s">
        <v>4497</v>
      </c>
      <c r="Z53" t="s">
        <v>4385</v>
      </c>
      <c r="AA53" t="s">
        <v>4360</v>
      </c>
      <c r="AB53" t="s">
        <v>4523</v>
      </c>
      <c r="AC53" t="s">
        <v>4524</v>
      </c>
      <c r="AF53" t="s">
        <v>5710</v>
      </c>
      <c r="AG53" t="s">
        <v>4393</v>
      </c>
      <c r="AH53" t="s">
        <v>4525</v>
      </c>
      <c r="AI53" t="s">
        <v>4343</v>
      </c>
      <c r="AJ53">
        <v>3</v>
      </c>
      <c r="AK53">
        <v>1296</v>
      </c>
      <c r="AL53" t="s">
        <v>5408</v>
      </c>
      <c r="AM53" t="s">
        <v>4334</v>
      </c>
      <c r="AO53">
        <v>4</v>
      </c>
      <c r="AP53">
        <v>40.152897000000003</v>
      </c>
      <c r="AQ53">
        <v>-103.135741</v>
      </c>
      <c r="AR53">
        <v>44</v>
      </c>
      <c r="AT53">
        <v>26</v>
      </c>
      <c r="AU53">
        <v>725</v>
      </c>
      <c r="AV53" s="21">
        <f>1.2*0.93</f>
        <v>1.1160000000000001</v>
      </c>
      <c r="AW53" s="12"/>
      <c r="AX53" t="s">
        <v>5528</v>
      </c>
      <c r="AY53" t="s">
        <v>43</v>
      </c>
    </row>
    <row r="54" spans="1:51" x14ac:dyDescent="0.55000000000000004">
      <c r="A54" t="s">
        <v>5622</v>
      </c>
      <c r="B54" t="s">
        <v>5481</v>
      </c>
      <c r="C54">
        <v>2012</v>
      </c>
      <c r="D54" t="s">
        <v>53</v>
      </c>
      <c r="E54">
        <v>76</v>
      </c>
      <c r="H54">
        <v>1614</v>
      </c>
      <c r="I54">
        <v>1623</v>
      </c>
      <c r="K54" s="2" t="s">
        <v>2483</v>
      </c>
      <c r="L54" s="2" t="s">
        <v>4522</v>
      </c>
      <c r="O54" t="s">
        <v>26</v>
      </c>
      <c r="P54" t="s">
        <v>4384</v>
      </c>
      <c r="Q54" t="s">
        <v>43</v>
      </c>
      <c r="R54" t="s">
        <v>43</v>
      </c>
      <c r="S54" t="s">
        <v>28</v>
      </c>
      <c r="T54" t="s">
        <v>28</v>
      </c>
      <c r="U54" t="s">
        <v>28</v>
      </c>
      <c r="V54" t="s">
        <v>28</v>
      </c>
      <c r="W54" t="s">
        <v>4336</v>
      </c>
      <c r="X54" t="s">
        <v>5624</v>
      </c>
      <c r="Y54" t="s">
        <v>4497</v>
      </c>
      <c r="Z54" t="s">
        <v>4385</v>
      </c>
      <c r="AA54" t="s">
        <v>4360</v>
      </c>
      <c r="AB54" t="s">
        <v>4523</v>
      </c>
      <c r="AC54" t="s">
        <v>4524</v>
      </c>
      <c r="AF54" t="s">
        <v>5710</v>
      </c>
      <c r="AG54" t="s">
        <v>4393</v>
      </c>
      <c r="AH54" t="s">
        <v>4525</v>
      </c>
      <c r="AI54" t="s">
        <v>4343</v>
      </c>
      <c r="AJ54">
        <v>3</v>
      </c>
      <c r="AK54">
        <v>1368</v>
      </c>
      <c r="AL54" t="s">
        <v>5408</v>
      </c>
      <c r="AM54" t="s">
        <v>4334</v>
      </c>
      <c r="AO54">
        <v>4</v>
      </c>
      <c r="AP54">
        <v>40.152897000000003</v>
      </c>
      <c r="AQ54">
        <v>-103.135741</v>
      </c>
      <c r="AR54">
        <v>44</v>
      </c>
      <c r="AT54">
        <v>26</v>
      </c>
      <c r="AU54">
        <v>725</v>
      </c>
      <c r="AV54" s="21">
        <f>1.1*0.93</f>
        <v>1.0230000000000001</v>
      </c>
      <c r="AW54" s="12"/>
      <c r="AX54" t="s">
        <v>5528</v>
      </c>
      <c r="AY54" t="s">
        <v>43</v>
      </c>
    </row>
    <row r="55" spans="1:51" x14ac:dyDescent="0.55000000000000004">
      <c r="A55" t="s">
        <v>5622</v>
      </c>
      <c r="B55" t="s">
        <v>5481</v>
      </c>
      <c r="C55">
        <v>2012</v>
      </c>
      <c r="D55" t="s">
        <v>53</v>
      </c>
      <c r="E55">
        <v>76</v>
      </c>
      <c r="H55">
        <v>1614</v>
      </c>
      <c r="I55">
        <v>1623</v>
      </c>
      <c r="K55" s="2" t="s">
        <v>2483</v>
      </c>
      <c r="L55" s="2" t="s">
        <v>4522</v>
      </c>
      <c r="O55" t="s">
        <v>26</v>
      </c>
      <c r="P55" t="s">
        <v>4384</v>
      </c>
      <c r="Q55" t="s">
        <v>43</v>
      </c>
      <c r="R55" t="s">
        <v>43</v>
      </c>
      <c r="S55" t="s">
        <v>28</v>
      </c>
      <c r="T55" t="s">
        <v>28</v>
      </c>
      <c r="U55" t="s">
        <v>28</v>
      </c>
      <c r="V55" t="s">
        <v>28</v>
      </c>
      <c r="W55" t="s">
        <v>4336</v>
      </c>
      <c r="X55" t="s">
        <v>5624</v>
      </c>
      <c r="Y55" t="s">
        <v>4497</v>
      </c>
      <c r="Z55" t="s">
        <v>4385</v>
      </c>
      <c r="AA55" t="s">
        <v>4360</v>
      </c>
      <c r="AB55" t="s">
        <v>4523</v>
      </c>
      <c r="AC55" t="s">
        <v>4524</v>
      </c>
      <c r="AF55" t="s">
        <v>5710</v>
      </c>
      <c r="AG55" t="s">
        <v>4393</v>
      </c>
      <c r="AH55" t="s">
        <v>4525</v>
      </c>
      <c r="AI55" t="s">
        <v>4343</v>
      </c>
      <c r="AJ55">
        <v>3</v>
      </c>
      <c r="AK55">
        <v>1536</v>
      </c>
      <c r="AL55" t="s">
        <v>5408</v>
      </c>
      <c r="AM55" t="s">
        <v>4334</v>
      </c>
      <c r="AO55">
        <v>4</v>
      </c>
      <c r="AP55">
        <v>40.152897000000003</v>
      </c>
      <c r="AQ55">
        <v>-103.135741</v>
      </c>
      <c r="AR55">
        <v>44</v>
      </c>
      <c r="AT55">
        <v>26</v>
      </c>
      <c r="AU55">
        <v>725</v>
      </c>
      <c r="AV55" s="21">
        <f>0.7*0.93</f>
        <v>0.65100000000000002</v>
      </c>
      <c r="AW55" s="12"/>
      <c r="AX55" t="s">
        <v>5528</v>
      </c>
      <c r="AY55" t="s">
        <v>43</v>
      </c>
    </row>
    <row r="56" spans="1:51" x14ac:dyDescent="0.55000000000000004">
      <c r="A56" t="s">
        <v>5622</v>
      </c>
      <c r="B56" t="s">
        <v>5481</v>
      </c>
      <c r="C56">
        <v>2012</v>
      </c>
      <c r="D56" t="s">
        <v>53</v>
      </c>
      <c r="E56">
        <v>76</v>
      </c>
      <c r="H56">
        <v>1614</v>
      </c>
      <c r="I56">
        <v>1623</v>
      </c>
      <c r="K56" s="2" t="s">
        <v>2483</v>
      </c>
      <c r="L56" s="2" t="s">
        <v>4522</v>
      </c>
      <c r="O56" t="s">
        <v>26</v>
      </c>
      <c r="P56" t="s">
        <v>4384</v>
      </c>
      <c r="Q56" t="s">
        <v>43</v>
      </c>
      <c r="R56" t="s">
        <v>43</v>
      </c>
      <c r="S56" t="s">
        <v>28</v>
      </c>
      <c r="T56" t="s">
        <v>28</v>
      </c>
      <c r="U56" t="s">
        <v>28</v>
      </c>
      <c r="V56" t="s">
        <v>28</v>
      </c>
      <c r="W56" t="s">
        <v>4336</v>
      </c>
      <c r="X56" t="s">
        <v>5624</v>
      </c>
      <c r="Y56" t="s">
        <v>4497</v>
      </c>
      <c r="Z56" t="s">
        <v>4385</v>
      </c>
      <c r="AA56" t="s">
        <v>4360</v>
      </c>
      <c r="AB56" t="s">
        <v>4523</v>
      </c>
      <c r="AC56" t="s">
        <v>4524</v>
      </c>
      <c r="AF56" t="s">
        <v>5710</v>
      </c>
      <c r="AG56" t="s">
        <v>4393</v>
      </c>
      <c r="AH56" t="s">
        <v>4525</v>
      </c>
      <c r="AI56" t="s">
        <v>4343</v>
      </c>
      <c r="AJ56">
        <v>3</v>
      </c>
      <c r="AK56">
        <v>1824</v>
      </c>
      <c r="AL56" t="s">
        <v>5408</v>
      </c>
      <c r="AM56" t="s">
        <v>4334</v>
      </c>
      <c r="AO56">
        <v>4</v>
      </c>
      <c r="AP56">
        <v>40.152897000000003</v>
      </c>
      <c r="AQ56">
        <v>-103.135741</v>
      </c>
      <c r="AR56">
        <v>44</v>
      </c>
      <c r="AT56">
        <v>26</v>
      </c>
      <c r="AU56">
        <v>725</v>
      </c>
      <c r="AV56" s="21">
        <f>0*0.93</f>
        <v>0</v>
      </c>
      <c r="AW56" s="12"/>
      <c r="AX56" t="s">
        <v>5528</v>
      </c>
      <c r="AY56" t="s">
        <v>43</v>
      </c>
    </row>
    <row r="57" spans="1:51" x14ac:dyDescent="0.55000000000000004">
      <c r="A57" t="s">
        <v>2670</v>
      </c>
      <c r="B57" t="s">
        <v>2671</v>
      </c>
      <c r="C57">
        <v>2011</v>
      </c>
      <c r="D57" t="s">
        <v>513</v>
      </c>
      <c r="E57">
        <v>21</v>
      </c>
      <c r="F57">
        <v>8</v>
      </c>
      <c r="H57">
        <v>689</v>
      </c>
      <c r="I57">
        <v>702</v>
      </c>
      <c r="K57" s="2" t="s">
        <v>2672</v>
      </c>
      <c r="L57" s="2" t="s">
        <v>2673</v>
      </c>
      <c r="M57" t="s">
        <v>4997</v>
      </c>
      <c r="N57" t="s">
        <v>2674</v>
      </c>
      <c r="O57" t="s">
        <v>26</v>
      </c>
      <c r="P57" t="s">
        <v>27</v>
      </c>
      <c r="Q57" t="s">
        <v>43</v>
      </c>
      <c r="R57" t="s">
        <v>43</v>
      </c>
      <c r="S57" t="s">
        <v>28</v>
      </c>
      <c r="T57" t="s">
        <v>43</v>
      </c>
      <c r="U57" t="s">
        <v>28</v>
      </c>
      <c r="V57" t="s">
        <v>28</v>
      </c>
      <c r="W57" s="16" t="s">
        <v>5629</v>
      </c>
      <c r="X57" t="s">
        <v>5624</v>
      </c>
      <c r="Y57" t="s">
        <v>4497</v>
      </c>
      <c r="Z57" t="s">
        <v>5470</v>
      </c>
      <c r="AA57" t="s">
        <v>4360</v>
      </c>
      <c r="AB57" t="s">
        <v>4426</v>
      </c>
      <c r="AC57" t="s">
        <v>4427</v>
      </c>
      <c r="AF57" t="s">
        <v>5710</v>
      </c>
      <c r="AG57" t="s">
        <v>4393</v>
      </c>
      <c r="AH57" t="s">
        <v>4429</v>
      </c>
      <c r="AI57" t="s">
        <v>4357</v>
      </c>
      <c r="AJ57">
        <v>1</v>
      </c>
      <c r="AK57">
        <v>120</v>
      </c>
      <c r="AL57" t="s">
        <v>5408</v>
      </c>
      <c r="AM57" t="s">
        <v>4334</v>
      </c>
      <c r="AO57">
        <v>5</v>
      </c>
      <c r="AP57">
        <v>47.376389000000003</v>
      </c>
      <c r="AQ57">
        <v>8.5476290000000006</v>
      </c>
      <c r="AR57">
        <v>98</v>
      </c>
      <c r="AT57">
        <v>20</v>
      </c>
      <c r="AU57">
        <v>330</v>
      </c>
      <c r="AV57" s="19">
        <v>3.2</v>
      </c>
      <c r="AW57">
        <v>0.75</v>
      </c>
      <c r="AX57" t="s">
        <v>4432</v>
      </c>
    </row>
    <row r="58" spans="1:51" x14ac:dyDescent="0.55000000000000004">
      <c r="A58" t="s">
        <v>2670</v>
      </c>
      <c r="B58" t="s">
        <v>2671</v>
      </c>
      <c r="C58">
        <v>2011</v>
      </c>
      <c r="D58" t="s">
        <v>513</v>
      </c>
      <c r="E58">
        <v>21</v>
      </c>
      <c r="F58">
        <v>8</v>
      </c>
      <c r="H58">
        <v>689</v>
      </c>
      <c r="I58">
        <v>702</v>
      </c>
      <c r="K58" s="2" t="s">
        <v>2672</v>
      </c>
      <c r="L58" s="2" t="s">
        <v>2673</v>
      </c>
      <c r="M58" t="s">
        <v>4997</v>
      </c>
      <c r="N58" t="s">
        <v>2674</v>
      </c>
      <c r="O58" t="s">
        <v>26</v>
      </c>
      <c r="P58" t="s">
        <v>27</v>
      </c>
      <c r="Q58" t="s">
        <v>43</v>
      </c>
      <c r="R58" t="s">
        <v>43</v>
      </c>
      <c r="S58" t="s">
        <v>28</v>
      </c>
      <c r="T58" t="s">
        <v>43</v>
      </c>
      <c r="U58" t="s">
        <v>28</v>
      </c>
      <c r="V58" t="s">
        <v>28</v>
      </c>
      <c r="W58" s="16" t="s">
        <v>5629</v>
      </c>
      <c r="X58" t="s">
        <v>5624</v>
      </c>
      <c r="Y58" t="s">
        <v>4497</v>
      </c>
      <c r="Z58" t="s">
        <v>5470</v>
      </c>
      <c r="AA58" t="s">
        <v>4360</v>
      </c>
      <c r="AB58" t="s">
        <v>4426</v>
      </c>
      <c r="AC58" t="s">
        <v>4427</v>
      </c>
      <c r="AF58" t="s">
        <v>5710</v>
      </c>
      <c r="AG58" t="s">
        <v>4393</v>
      </c>
      <c r="AH58" t="s">
        <v>4430</v>
      </c>
      <c r="AI58" t="s">
        <v>4357</v>
      </c>
      <c r="AJ58">
        <v>1</v>
      </c>
      <c r="AK58">
        <v>120</v>
      </c>
      <c r="AL58" t="s">
        <v>5408</v>
      </c>
      <c r="AM58" t="s">
        <v>4334</v>
      </c>
      <c r="AO58">
        <v>5</v>
      </c>
      <c r="AP58">
        <v>47.376389000000003</v>
      </c>
      <c r="AQ58">
        <v>8.5476290000000006</v>
      </c>
      <c r="AR58">
        <v>32</v>
      </c>
      <c r="AT58">
        <v>20</v>
      </c>
      <c r="AU58">
        <v>330</v>
      </c>
      <c r="AV58" s="19">
        <v>2.94</v>
      </c>
      <c r="AW58">
        <v>0.64</v>
      </c>
      <c r="AX58" t="s">
        <v>4432</v>
      </c>
    </row>
    <row r="59" spans="1:51" x14ac:dyDescent="0.55000000000000004">
      <c r="A59" t="s">
        <v>2670</v>
      </c>
      <c r="B59" t="s">
        <v>2671</v>
      </c>
      <c r="C59">
        <v>2011</v>
      </c>
      <c r="D59" t="s">
        <v>513</v>
      </c>
      <c r="E59">
        <v>21</v>
      </c>
      <c r="F59">
        <v>8</v>
      </c>
      <c r="H59">
        <v>689</v>
      </c>
      <c r="I59">
        <v>702</v>
      </c>
      <c r="K59" s="2" t="s">
        <v>2672</v>
      </c>
      <c r="L59" s="2" t="s">
        <v>2673</v>
      </c>
      <c r="M59" t="s">
        <v>4997</v>
      </c>
      <c r="N59" t="s">
        <v>2674</v>
      </c>
      <c r="O59" t="s">
        <v>26</v>
      </c>
      <c r="P59" t="s">
        <v>27</v>
      </c>
      <c r="Q59" t="s">
        <v>43</v>
      </c>
      <c r="R59" t="s">
        <v>43</v>
      </c>
      <c r="S59" t="s">
        <v>28</v>
      </c>
      <c r="T59" t="s">
        <v>43</v>
      </c>
      <c r="U59" t="s">
        <v>28</v>
      </c>
      <c r="V59" t="s">
        <v>28</v>
      </c>
      <c r="W59" s="16" t="s">
        <v>5629</v>
      </c>
      <c r="X59" t="s">
        <v>5624</v>
      </c>
      <c r="Y59" t="s">
        <v>4497</v>
      </c>
      <c r="Z59" t="s">
        <v>5470</v>
      </c>
      <c r="AA59" t="s">
        <v>4360</v>
      </c>
      <c r="AB59" t="s">
        <v>4426</v>
      </c>
      <c r="AC59" t="s">
        <v>4427</v>
      </c>
      <c r="AF59" t="s">
        <v>5710</v>
      </c>
      <c r="AG59" t="s">
        <v>4428</v>
      </c>
      <c r="AH59" t="s">
        <v>4431</v>
      </c>
      <c r="AI59" t="s">
        <v>4357</v>
      </c>
      <c r="AJ59">
        <v>1</v>
      </c>
      <c r="AK59">
        <v>120</v>
      </c>
      <c r="AL59" t="s">
        <v>5408</v>
      </c>
      <c r="AM59" t="s">
        <v>4334</v>
      </c>
      <c r="AO59">
        <v>5</v>
      </c>
      <c r="AP59">
        <v>47.376389000000003</v>
      </c>
      <c r="AQ59">
        <v>8.5476290000000006</v>
      </c>
      <c r="AR59">
        <v>65</v>
      </c>
      <c r="AT59">
        <v>20</v>
      </c>
      <c r="AU59">
        <v>330</v>
      </c>
      <c r="AV59" s="19">
        <v>5.62</v>
      </c>
      <c r="AW59">
        <v>0.61</v>
      </c>
      <c r="AX59" t="s">
        <v>4432</v>
      </c>
    </row>
    <row r="60" spans="1:51" x14ac:dyDescent="0.55000000000000004">
      <c r="A60" t="s">
        <v>3332</v>
      </c>
      <c r="B60" t="s">
        <v>3333</v>
      </c>
      <c r="C60">
        <v>2005</v>
      </c>
      <c r="D60" t="s">
        <v>68</v>
      </c>
      <c r="E60">
        <v>168</v>
      </c>
      <c r="F60">
        <v>3</v>
      </c>
      <c r="H60">
        <v>677</v>
      </c>
      <c r="I60">
        <v>686</v>
      </c>
      <c r="K60" s="2" t="s">
        <v>3334</v>
      </c>
      <c r="L60" s="2" t="s">
        <v>3335</v>
      </c>
      <c r="M60" t="s">
        <v>5157</v>
      </c>
      <c r="N60" t="s">
        <v>3336</v>
      </c>
      <c r="O60" t="s">
        <v>26</v>
      </c>
      <c r="P60" t="s">
        <v>27</v>
      </c>
      <c r="Q60" t="s">
        <v>43</v>
      </c>
      <c r="R60" t="s">
        <v>43</v>
      </c>
      <c r="S60" t="s">
        <v>28</v>
      </c>
      <c r="T60" t="s">
        <v>28</v>
      </c>
      <c r="U60" t="s">
        <v>28</v>
      </c>
      <c r="V60" t="s">
        <v>28</v>
      </c>
      <c r="W60" s="16" t="s">
        <v>5629</v>
      </c>
      <c r="X60" t="s">
        <v>5624</v>
      </c>
      <c r="Y60" t="s">
        <v>4497</v>
      </c>
      <c r="Z60" t="s">
        <v>5469</v>
      </c>
      <c r="AA60" t="s">
        <v>4360</v>
      </c>
      <c r="AB60" t="s">
        <v>4371</v>
      </c>
      <c r="AC60" t="s">
        <v>4370</v>
      </c>
      <c r="AD60" t="s">
        <v>4439</v>
      </c>
      <c r="AF60" t="s">
        <v>5710</v>
      </c>
      <c r="AG60" t="s">
        <v>4393</v>
      </c>
      <c r="AH60" t="s">
        <v>4429</v>
      </c>
      <c r="AI60" t="s">
        <v>4357</v>
      </c>
      <c r="AJ60">
        <v>192</v>
      </c>
      <c r="AK60">
        <v>0</v>
      </c>
      <c r="AL60" t="s">
        <v>5408</v>
      </c>
      <c r="AM60" t="s">
        <v>4440</v>
      </c>
      <c r="AO60">
        <v>5</v>
      </c>
      <c r="AP60">
        <v>55.710757999999998</v>
      </c>
      <c r="AQ60">
        <v>13.208584999999999</v>
      </c>
      <c r="AT60">
        <v>24</v>
      </c>
      <c r="AU60">
        <v>0</v>
      </c>
      <c r="AV60" s="21">
        <v>2.2999999999999998</v>
      </c>
      <c r="AW60" s="12">
        <v>0.41</v>
      </c>
      <c r="AX60" t="s">
        <v>5530</v>
      </c>
    </row>
    <row r="61" spans="1:51" x14ac:dyDescent="0.55000000000000004">
      <c r="A61" t="s">
        <v>3332</v>
      </c>
      <c r="B61" t="s">
        <v>3333</v>
      </c>
      <c r="C61">
        <v>2005</v>
      </c>
      <c r="D61" t="s">
        <v>68</v>
      </c>
      <c r="E61">
        <v>168</v>
      </c>
      <c r="F61">
        <v>3</v>
      </c>
      <c r="H61">
        <v>677</v>
      </c>
      <c r="I61">
        <v>686</v>
      </c>
      <c r="K61" s="2" t="s">
        <v>3334</v>
      </c>
      <c r="L61" s="2" t="s">
        <v>3335</v>
      </c>
      <c r="M61" t="s">
        <v>5157</v>
      </c>
      <c r="N61" t="s">
        <v>3336</v>
      </c>
      <c r="O61" t="s">
        <v>26</v>
      </c>
      <c r="P61" t="s">
        <v>27</v>
      </c>
      <c r="Q61" t="s">
        <v>43</v>
      </c>
      <c r="R61" t="s">
        <v>43</v>
      </c>
      <c r="S61" t="s">
        <v>28</v>
      </c>
      <c r="T61" t="s">
        <v>28</v>
      </c>
      <c r="U61" t="s">
        <v>28</v>
      </c>
      <c r="V61" t="s">
        <v>28</v>
      </c>
      <c r="W61" s="16" t="s">
        <v>5629</v>
      </c>
      <c r="X61" t="s">
        <v>5624</v>
      </c>
      <c r="Y61" t="s">
        <v>4497</v>
      </c>
      <c r="Z61" t="s">
        <v>5469</v>
      </c>
      <c r="AA61" t="s">
        <v>4360</v>
      </c>
      <c r="AB61" t="s">
        <v>4371</v>
      </c>
      <c r="AC61" t="s">
        <v>4370</v>
      </c>
      <c r="AD61" t="s">
        <v>4439</v>
      </c>
      <c r="AF61" t="s">
        <v>5710</v>
      </c>
      <c r="AG61" t="s">
        <v>4393</v>
      </c>
      <c r="AH61" t="s">
        <v>4429</v>
      </c>
      <c r="AI61" t="s">
        <v>4357</v>
      </c>
      <c r="AJ61">
        <v>192</v>
      </c>
      <c r="AK61">
        <v>0</v>
      </c>
      <c r="AL61" t="s">
        <v>5408</v>
      </c>
      <c r="AM61" t="s">
        <v>4440</v>
      </c>
      <c r="AO61">
        <v>5</v>
      </c>
      <c r="AP61">
        <v>55.710757999999998</v>
      </c>
      <c r="AQ61">
        <v>13.208584999999999</v>
      </c>
      <c r="AT61">
        <v>24</v>
      </c>
      <c r="AU61">
        <v>0</v>
      </c>
      <c r="AV61" s="21">
        <v>2.9</v>
      </c>
      <c r="AW61" s="12">
        <v>0.62</v>
      </c>
      <c r="AX61" t="s">
        <v>5531</v>
      </c>
    </row>
    <row r="62" spans="1:51" x14ac:dyDescent="0.55000000000000004">
      <c r="A62" t="s">
        <v>3332</v>
      </c>
      <c r="B62" t="s">
        <v>3333</v>
      </c>
      <c r="C62">
        <v>2005</v>
      </c>
      <c r="D62" t="s">
        <v>68</v>
      </c>
      <c r="E62">
        <v>168</v>
      </c>
      <c r="F62">
        <v>3</v>
      </c>
      <c r="H62">
        <v>677</v>
      </c>
      <c r="I62">
        <v>686</v>
      </c>
      <c r="K62" s="2" t="s">
        <v>3334</v>
      </c>
      <c r="L62" s="2" t="s">
        <v>3335</v>
      </c>
      <c r="M62" t="s">
        <v>5157</v>
      </c>
      <c r="N62" t="s">
        <v>3336</v>
      </c>
      <c r="O62" t="s">
        <v>26</v>
      </c>
      <c r="P62" t="s">
        <v>27</v>
      </c>
      <c r="Q62" t="s">
        <v>43</v>
      </c>
      <c r="R62" t="s">
        <v>43</v>
      </c>
      <c r="S62" t="s">
        <v>28</v>
      </c>
      <c r="T62" t="s">
        <v>28</v>
      </c>
      <c r="U62" t="s">
        <v>28</v>
      </c>
      <c r="V62" t="s">
        <v>28</v>
      </c>
      <c r="W62" s="16" t="s">
        <v>5629</v>
      </c>
      <c r="X62" t="s">
        <v>5624</v>
      </c>
      <c r="Y62" t="s">
        <v>4497</v>
      </c>
      <c r="Z62" t="s">
        <v>5469</v>
      </c>
      <c r="AA62" t="s">
        <v>4360</v>
      </c>
      <c r="AB62" t="s">
        <v>4371</v>
      </c>
      <c r="AC62" t="s">
        <v>4370</v>
      </c>
      <c r="AD62" t="s">
        <v>4439</v>
      </c>
      <c r="AF62" t="s">
        <v>5710</v>
      </c>
      <c r="AG62" t="s">
        <v>4393</v>
      </c>
      <c r="AH62" t="s">
        <v>4429</v>
      </c>
      <c r="AI62" t="s">
        <v>4357</v>
      </c>
      <c r="AJ62">
        <v>192</v>
      </c>
      <c r="AK62">
        <v>0</v>
      </c>
      <c r="AL62" t="s">
        <v>5408</v>
      </c>
      <c r="AM62" t="s">
        <v>4440</v>
      </c>
      <c r="AO62">
        <v>5</v>
      </c>
      <c r="AP62">
        <v>55.710757999999998</v>
      </c>
      <c r="AQ62">
        <v>13.208584999999999</v>
      </c>
      <c r="AT62">
        <v>24</v>
      </c>
      <c r="AU62">
        <v>0</v>
      </c>
      <c r="AV62" s="21">
        <v>1.2</v>
      </c>
      <c r="AW62" s="12">
        <v>0.27</v>
      </c>
      <c r="AX62" t="s">
        <v>5532</v>
      </c>
    </row>
    <row r="63" spans="1:51" x14ac:dyDescent="0.55000000000000004">
      <c r="A63" t="s">
        <v>3332</v>
      </c>
      <c r="B63" t="s">
        <v>3333</v>
      </c>
      <c r="C63">
        <v>2005</v>
      </c>
      <c r="D63" t="s">
        <v>68</v>
      </c>
      <c r="E63">
        <v>168</v>
      </c>
      <c r="F63">
        <v>3</v>
      </c>
      <c r="H63">
        <v>677</v>
      </c>
      <c r="I63">
        <v>686</v>
      </c>
      <c r="K63" s="2" t="s">
        <v>3334</v>
      </c>
      <c r="L63" s="2" t="s">
        <v>3335</v>
      </c>
      <c r="M63" t="s">
        <v>5157</v>
      </c>
      <c r="N63" t="s">
        <v>3336</v>
      </c>
      <c r="O63" t="s">
        <v>26</v>
      </c>
      <c r="P63" t="s">
        <v>27</v>
      </c>
      <c r="Q63" t="s">
        <v>43</v>
      </c>
      <c r="R63" t="s">
        <v>43</v>
      </c>
      <c r="S63" t="s">
        <v>28</v>
      </c>
      <c r="T63" t="s">
        <v>28</v>
      </c>
      <c r="U63" t="s">
        <v>28</v>
      </c>
      <c r="V63" t="s">
        <v>28</v>
      </c>
      <c r="W63" s="16" t="s">
        <v>5629</v>
      </c>
      <c r="X63" t="s">
        <v>5624</v>
      </c>
      <c r="Y63" t="s">
        <v>4497</v>
      </c>
      <c r="Z63" t="s">
        <v>5469</v>
      </c>
      <c r="AA63" t="s">
        <v>4360</v>
      </c>
      <c r="AB63" t="s">
        <v>4371</v>
      </c>
      <c r="AC63" t="s">
        <v>4370</v>
      </c>
      <c r="AD63" t="s">
        <v>4439</v>
      </c>
      <c r="AF63" t="s">
        <v>5710</v>
      </c>
      <c r="AG63" t="s">
        <v>4393</v>
      </c>
      <c r="AH63" t="s">
        <v>4429</v>
      </c>
      <c r="AI63" t="s">
        <v>4357</v>
      </c>
      <c r="AJ63">
        <v>192</v>
      </c>
      <c r="AK63">
        <v>0</v>
      </c>
      <c r="AL63" t="s">
        <v>5408</v>
      </c>
      <c r="AM63" t="s">
        <v>4440</v>
      </c>
      <c r="AO63">
        <v>5</v>
      </c>
      <c r="AP63">
        <v>55.710757999999998</v>
      </c>
      <c r="AQ63">
        <v>13.208584999999999</v>
      </c>
      <c r="AT63">
        <v>24</v>
      </c>
      <c r="AU63">
        <v>0</v>
      </c>
      <c r="AV63" s="21">
        <v>1.6</v>
      </c>
      <c r="AW63" s="12">
        <v>0.56000000000000005</v>
      </c>
      <c r="AX63" t="s">
        <v>5533</v>
      </c>
    </row>
    <row r="64" spans="1:51" x14ac:dyDescent="0.55000000000000004">
      <c r="A64" t="s">
        <v>3693</v>
      </c>
      <c r="B64" t="s">
        <v>3694</v>
      </c>
      <c r="C64">
        <v>2002</v>
      </c>
      <c r="D64" t="s">
        <v>53</v>
      </c>
      <c r="E64">
        <v>34</v>
      </c>
      <c r="F64">
        <v>10</v>
      </c>
      <c r="H64">
        <v>1521</v>
      </c>
      <c r="I64">
        <v>1524</v>
      </c>
      <c r="K64" s="2" t="s">
        <v>3695</v>
      </c>
      <c r="L64" s="2" t="s">
        <v>3696</v>
      </c>
      <c r="M64" t="s">
        <v>5222</v>
      </c>
      <c r="N64" t="s">
        <v>3697</v>
      </c>
      <c r="O64" t="s">
        <v>26</v>
      </c>
      <c r="P64" t="s">
        <v>27</v>
      </c>
      <c r="Q64" t="s">
        <v>43</v>
      </c>
      <c r="R64" t="s">
        <v>43</v>
      </c>
      <c r="S64" t="s">
        <v>28</v>
      </c>
      <c r="T64" t="s">
        <v>43</v>
      </c>
      <c r="U64" t="s">
        <v>28</v>
      </c>
      <c r="V64" t="s">
        <v>28</v>
      </c>
      <c r="W64" s="16" t="s">
        <v>5629</v>
      </c>
      <c r="X64" t="s">
        <v>5624</v>
      </c>
      <c r="Y64" t="s">
        <v>4498</v>
      </c>
      <c r="Z64" t="s">
        <v>4385</v>
      </c>
      <c r="AA64" t="s">
        <v>4360</v>
      </c>
      <c r="AB64" t="s">
        <v>4417</v>
      </c>
      <c r="AC64" t="s">
        <v>4418</v>
      </c>
      <c r="AF64" t="s">
        <v>5710</v>
      </c>
      <c r="AG64" t="s">
        <v>4419</v>
      </c>
      <c r="AH64" t="s">
        <v>4420</v>
      </c>
      <c r="AI64" t="s">
        <v>4343</v>
      </c>
      <c r="AJ64">
        <v>3</v>
      </c>
      <c r="AK64">
        <v>70</v>
      </c>
      <c r="AL64" t="s">
        <v>5408</v>
      </c>
      <c r="AM64" t="s">
        <v>4334</v>
      </c>
      <c r="AO64">
        <v>16</v>
      </c>
      <c r="AP64">
        <v>55.479588</v>
      </c>
      <c r="AQ64">
        <v>-2.2473030000000001</v>
      </c>
      <c r="AR64">
        <v>58.7</v>
      </c>
      <c r="AT64">
        <v>17.5</v>
      </c>
      <c r="AV64" s="21">
        <v>2.7</v>
      </c>
      <c r="AW64" s="12">
        <v>1.3</v>
      </c>
      <c r="AX64" t="s">
        <v>5534</v>
      </c>
    </row>
    <row r="65" spans="1:52" x14ac:dyDescent="0.55000000000000004">
      <c r="A65" t="s">
        <v>4010</v>
      </c>
      <c r="B65" t="s">
        <v>4011</v>
      </c>
      <c r="C65">
        <v>1998</v>
      </c>
      <c r="D65" t="s">
        <v>68</v>
      </c>
      <c r="E65">
        <v>140</v>
      </c>
      <c r="F65">
        <v>1</v>
      </c>
      <c r="H65">
        <v>125</v>
      </c>
      <c r="I65">
        <v>134</v>
      </c>
      <c r="K65" s="2" t="s">
        <v>4012</v>
      </c>
      <c r="L65" s="2" t="s">
        <v>4013</v>
      </c>
      <c r="M65" t="s">
        <v>5264</v>
      </c>
      <c r="N65" t="s">
        <v>4014</v>
      </c>
      <c r="O65" t="s">
        <v>26</v>
      </c>
      <c r="P65" t="s">
        <v>27</v>
      </c>
      <c r="Q65" t="s">
        <v>43</v>
      </c>
      <c r="R65" t="s">
        <v>43</v>
      </c>
      <c r="S65" t="s">
        <v>28</v>
      </c>
      <c r="T65" t="s">
        <v>28</v>
      </c>
      <c r="U65" t="s">
        <v>28</v>
      </c>
      <c r="V65" t="s">
        <v>28</v>
      </c>
      <c r="W65" s="16" t="s">
        <v>5629</v>
      </c>
      <c r="X65" t="s">
        <v>5624</v>
      </c>
      <c r="Y65" t="s">
        <v>4495</v>
      </c>
      <c r="Z65" t="s">
        <v>4358</v>
      </c>
      <c r="AA65" t="s">
        <v>5369</v>
      </c>
      <c r="AB65" t="s">
        <v>5397</v>
      </c>
      <c r="AC65" t="s">
        <v>5398</v>
      </c>
      <c r="AF65" t="s">
        <v>5710</v>
      </c>
      <c r="AG65" t="s">
        <v>4393</v>
      </c>
      <c r="AH65" t="s">
        <v>5400</v>
      </c>
      <c r="AI65" t="s">
        <v>4343</v>
      </c>
      <c r="AJ65">
        <v>1</v>
      </c>
      <c r="AK65">
        <v>200</v>
      </c>
      <c r="AL65" t="s">
        <v>5408</v>
      </c>
      <c r="AM65" t="s">
        <v>4334</v>
      </c>
      <c r="AO65">
        <v>3</v>
      </c>
      <c r="AP65">
        <v>51.759008999999999</v>
      </c>
      <c r="AQ65">
        <v>-1.25234</v>
      </c>
      <c r="AV65" s="21">
        <v>10.1</v>
      </c>
      <c r="AW65" s="12">
        <v>1.7</v>
      </c>
      <c r="AX65" t="s">
        <v>5587</v>
      </c>
    </row>
    <row r="66" spans="1:52" x14ac:dyDescent="0.55000000000000004">
      <c r="A66" t="s">
        <v>4141</v>
      </c>
      <c r="B66" t="s">
        <v>4142</v>
      </c>
      <c r="C66">
        <v>1993</v>
      </c>
      <c r="D66" t="s">
        <v>68</v>
      </c>
      <c r="E66">
        <v>124</v>
      </c>
      <c r="F66">
        <v>3</v>
      </c>
      <c r="H66">
        <v>481</v>
      </c>
      <c r="I66">
        <v>488</v>
      </c>
      <c r="K66" s="2" t="s">
        <v>4143</v>
      </c>
      <c r="L66" s="2" t="s">
        <v>4144</v>
      </c>
      <c r="M66" t="s">
        <v>5293</v>
      </c>
      <c r="N66" t="s">
        <v>4145</v>
      </c>
      <c r="O66" t="s">
        <v>26</v>
      </c>
      <c r="P66" t="s">
        <v>27</v>
      </c>
      <c r="Q66" t="s">
        <v>43</v>
      </c>
      <c r="R66" t="s">
        <v>43</v>
      </c>
      <c r="S66" t="s">
        <v>28</v>
      </c>
      <c r="T66" t="s">
        <v>28</v>
      </c>
      <c r="U66" t="s">
        <v>28</v>
      </c>
      <c r="V66" t="s">
        <v>28</v>
      </c>
      <c r="W66" s="16" t="s">
        <v>5629</v>
      </c>
      <c r="X66" t="s">
        <v>5624</v>
      </c>
      <c r="Y66" t="s">
        <v>4497</v>
      </c>
      <c r="Z66" t="s">
        <v>5469</v>
      </c>
      <c r="AA66" t="s">
        <v>4360</v>
      </c>
      <c r="AB66" t="s">
        <v>4391</v>
      </c>
      <c r="AC66" t="s">
        <v>4392</v>
      </c>
      <c r="AF66" t="s">
        <v>5710</v>
      </c>
      <c r="AG66" t="s">
        <v>4393</v>
      </c>
      <c r="AH66" t="s">
        <v>5367</v>
      </c>
      <c r="AI66" t="s">
        <v>4343</v>
      </c>
      <c r="AJ66">
        <v>16</v>
      </c>
      <c r="AK66">
        <v>72</v>
      </c>
      <c r="AL66" t="s">
        <v>5408</v>
      </c>
      <c r="AM66" t="s">
        <v>4334</v>
      </c>
      <c r="AO66">
        <v>5</v>
      </c>
      <c r="AP66">
        <v>55.692366</v>
      </c>
      <c r="AQ66">
        <v>12.09581</v>
      </c>
      <c r="AR66">
        <v>94</v>
      </c>
      <c r="AS66" t="s">
        <v>5390</v>
      </c>
      <c r="AT66">
        <f>AVERAGE(21,16)</f>
        <v>18.5</v>
      </c>
      <c r="AU66">
        <v>550</v>
      </c>
      <c r="AV66" s="21">
        <v>0.7</v>
      </c>
      <c r="AW66" s="12"/>
      <c r="AX66" t="s">
        <v>5535</v>
      </c>
    </row>
    <row r="67" spans="1:52" x14ac:dyDescent="0.55000000000000004">
      <c r="A67" t="s">
        <v>4141</v>
      </c>
      <c r="B67" t="s">
        <v>4142</v>
      </c>
      <c r="C67">
        <v>1993</v>
      </c>
      <c r="D67" t="s">
        <v>68</v>
      </c>
      <c r="E67">
        <v>124</v>
      </c>
      <c r="F67">
        <v>3</v>
      </c>
      <c r="H67">
        <v>481</v>
      </c>
      <c r="I67">
        <v>488</v>
      </c>
      <c r="K67" s="2" t="s">
        <v>4143</v>
      </c>
      <c r="L67" s="2" t="s">
        <v>4144</v>
      </c>
      <c r="M67" t="s">
        <v>5293</v>
      </c>
      <c r="N67" t="s">
        <v>4145</v>
      </c>
      <c r="O67" t="s">
        <v>26</v>
      </c>
      <c r="P67" t="s">
        <v>27</v>
      </c>
      <c r="Q67" t="s">
        <v>43</v>
      </c>
      <c r="R67" t="s">
        <v>43</v>
      </c>
      <c r="S67" t="s">
        <v>28</v>
      </c>
      <c r="T67" t="s">
        <v>28</v>
      </c>
      <c r="U67" t="s">
        <v>28</v>
      </c>
      <c r="V67" t="s">
        <v>28</v>
      </c>
      <c r="W67" s="16" t="s">
        <v>5629</v>
      </c>
      <c r="X67" t="s">
        <v>5624</v>
      </c>
      <c r="Y67" t="s">
        <v>4497</v>
      </c>
      <c r="Z67" t="s">
        <v>5469</v>
      </c>
      <c r="AA67" t="s">
        <v>4360</v>
      </c>
      <c r="AB67" t="s">
        <v>4391</v>
      </c>
      <c r="AC67" t="s">
        <v>4392</v>
      </c>
      <c r="AF67" t="s">
        <v>5710</v>
      </c>
      <c r="AG67" t="s">
        <v>4393</v>
      </c>
      <c r="AH67" t="s">
        <v>5387</v>
      </c>
      <c r="AI67" t="s">
        <v>4343</v>
      </c>
      <c r="AJ67">
        <v>16</v>
      </c>
      <c r="AK67">
        <v>72</v>
      </c>
      <c r="AL67" t="s">
        <v>5408</v>
      </c>
      <c r="AM67" t="s">
        <v>4334</v>
      </c>
      <c r="AO67">
        <v>5</v>
      </c>
      <c r="AP67">
        <v>55.692366</v>
      </c>
      <c r="AQ67">
        <v>12.09581</v>
      </c>
      <c r="AR67">
        <v>73</v>
      </c>
      <c r="AS67" t="s">
        <v>5391</v>
      </c>
      <c r="AT67">
        <f>AVERAGE(21,16)</f>
        <v>18.5</v>
      </c>
      <c r="AU67">
        <v>550</v>
      </c>
      <c r="AV67" s="21">
        <v>0.8</v>
      </c>
      <c r="AW67" s="12"/>
      <c r="AX67" t="s">
        <v>5535</v>
      </c>
    </row>
    <row r="68" spans="1:52" x14ac:dyDescent="0.55000000000000004">
      <c r="A68" t="s">
        <v>4141</v>
      </c>
      <c r="B68" t="s">
        <v>4142</v>
      </c>
      <c r="C68">
        <v>1993</v>
      </c>
      <c r="D68" t="s">
        <v>68</v>
      </c>
      <c r="E68">
        <v>124</v>
      </c>
      <c r="F68">
        <v>3</v>
      </c>
      <c r="H68">
        <v>481</v>
      </c>
      <c r="I68">
        <v>488</v>
      </c>
      <c r="K68" s="2" t="s">
        <v>4143</v>
      </c>
      <c r="L68" s="2" t="s">
        <v>4144</v>
      </c>
      <c r="M68" t="s">
        <v>5293</v>
      </c>
      <c r="N68" t="s">
        <v>4145</v>
      </c>
      <c r="O68" t="s">
        <v>26</v>
      </c>
      <c r="P68" t="s">
        <v>27</v>
      </c>
      <c r="Q68" t="s">
        <v>43</v>
      </c>
      <c r="R68" t="s">
        <v>43</v>
      </c>
      <c r="S68" t="s">
        <v>28</v>
      </c>
      <c r="T68" t="s">
        <v>28</v>
      </c>
      <c r="U68" t="s">
        <v>28</v>
      </c>
      <c r="V68" t="s">
        <v>28</v>
      </c>
      <c r="W68" s="16" t="s">
        <v>5629</v>
      </c>
      <c r="X68" t="s">
        <v>5624</v>
      </c>
      <c r="Y68" t="s">
        <v>4497</v>
      </c>
      <c r="Z68" t="s">
        <v>5469</v>
      </c>
      <c r="AA68" t="s">
        <v>4360</v>
      </c>
      <c r="AB68" t="s">
        <v>4391</v>
      </c>
      <c r="AC68" t="s">
        <v>4392</v>
      </c>
      <c r="AF68" t="s">
        <v>5710</v>
      </c>
      <c r="AG68" t="s">
        <v>5386</v>
      </c>
      <c r="AH68" t="s">
        <v>5388</v>
      </c>
      <c r="AI68" t="s">
        <v>4343</v>
      </c>
      <c r="AJ68">
        <v>16</v>
      </c>
      <c r="AK68">
        <v>72</v>
      </c>
      <c r="AL68" t="s">
        <v>5408</v>
      </c>
      <c r="AM68" t="s">
        <v>4334</v>
      </c>
      <c r="AO68">
        <v>5</v>
      </c>
      <c r="AP68">
        <v>55.692366</v>
      </c>
      <c r="AQ68">
        <v>12.09581</v>
      </c>
      <c r="AR68">
        <v>57</v>
      </c>
      <c r="AS68" t="s">
        <v>5389</v>
      </c>
      <c r="AT68">
        <f>AVERAGE(21,16)</f>
        <v>18.5</v>
      </c>
      <c r="AU68">
        <v>550</v>
      </c>
      <c r="AV68" s="21">
        <v>8</v>
      </c>
      <c r="AW68" s="12"/>
      <c r="AX68" t="s">
        <v>5535</v>
      </c>
    </row>
    <row r="69" spans="1:52" x14ac:dyDescent="0.55000000000000004">
      <c r="A69" t="s">
        <v>4209</v>
      </c>
      <c r="B69" t="s">
        <v>4210</v>
      </c>
      <c r="C69">
        <v>1990</v>
      </c>
      <c r="D69" t="s">
        <v>68</v>
      </c>
      <c r="E69">
        <v>115</v>
      </c>
      <c r="F69">
        <v>1</v>
      </c>
      <c r="H69">
        <v>77</v>
      </c>
      <c r="I69">
        <v>83</v>
      </c>
      <c r="K69" s="2" t="s">
        <v>4211</v>
      </c>
      <c r="L69" s="2" t="s">
        <v>4212</v>
      </c>
      <c r="M69" t="s">
        <v>5315</v>
      </c>
      <c r="N69" t="s">
        <v>5316</v>
      </c>
      <c r="O69" t="s">
        <v>26</v>
      </c>
      <c r="P69" t="s">
        <v>27</v>
      </c>
      <c r="Q69" t="s">
        <v>43</v>
      </c>
      <c r="R69" t="s">
        <v>43</v>
      </c>
      <c r="S69" t="s">
        <v>28</v>
      </c>
      <c r="T69" t="s">
        <v>28</v>
      </c>
      <c r="U69" t="s">
        <v>28</v>
      </c>
      <c r="V69" t="s">
        <v>28</v>
      </c>
      <c r="W69" s="16" t="s">
        <v>5629</v>
      </c>
      <c r="X69" t="s">
        <v>5624</v>
      </c>
      <c r="Y69" t="s">
        <v>4497</v>
      </c>
      <c r="Z69" t="s">
        <v>5469</v>
      </c>
      <c r="AA69" t="s">
        <v>4360</v>
      </c>
      <c r="AB69" t="s">
        <v>4391</v>
      </c>
      <c r="AC69" t="s">
        <v>4392</v>
      </c>
      <c r="AF69" t="s">
        <v>5710</v>
      </c>
      <c r="AG69" t="s">
        <v>4393</v>
      </c>
      <c r="AH69" t="s">
        <v>4394</v>
      </c>
      <c r="AI69" t="s">
        <v>4343</v>
      </c>
      <c r="AJ69">
        <v>16</v>
      </c>
      <c r="AK69">
        <v>80</v>
      </c>
      <c r="AL69" t="s">
        <v>5408</v>
      </c>
      <c r="AM69" t="s">
        <v>4334</v>
      </c>
      <c r="AO69">
        <v>5</v>
      </c>
      <c r="AP69">
        <v>55.691723000000003</v>
      </c>
      <c r="AQ69">
        <v>12.102833</v>
      </c>
      <c r="AR69">
        <v>95</v>
      </c>
      <c r="AT69">
        <v>18.5</v>
      </c>
      <c r="AU69">
        <v>550</v>
      </c>
      <c r="AV69" s="21">
        <v>0.8</v>
      </c>
      <c r="AW69" s="12">
        <v>0.1</v>
      </c>
      <c r="AX69" t="s">
        <v>5536</v>
      </c>
    </row>
    <row r="70" spans="1:52" x14ac:dyDescent="0.55000000000000004">
      <c r="A70" t="s">
        <v>4244</v>
      </c>
      <c r="B70" t="s">
        <v>5332</v>
      </c>
      <c r="C70">
        <v>1985</v>
      </c>
      <c r="D70" t="s">
        <v>68</v>
      </c>
      <c r="E70">
        <v>101</v>
      </c>
      <c r="F70">
        <v>3</v>
      </c>
      <c r="H70">
        <v>427</v>
      </c>
      <c r="I70">
        <v>440</v>
      </c>
      <c r="K70" s="2" t="s">
        <v>4245</v>
      </c>
      <c r="L70" s="2" t="s">
        <v>4246</v>
      </c>
      <c r="M70" t="s">
        <v>5333</v>
      </c>
      <c r="N70" t="s">
        <v>5334</v>
      </c>
      <c r="O70" t="s">
        <v>26</v>
      </c>
      <c r="P70" t="s">
        <v>27</v>
      </c>
      <c r="Q70" t="s">
        <v>43</v>
      </c>
      <c r="R70" t="s">
        <v>43</v>
      </c>
      <c r="S70" t="s">
        <v>28</v>
      </c>
      <c r="T70" t="s">
        <v>28</v>
      </c>
      <c r="U70" t="s">
        <v>28</v>
      </c>
      <c r="V70" t="s">
        <v>28</v>
      </c>
      <c r="W70" s="16" t="s">
        <v>5629</v>
      </c>
      <c r="X70" t="s">
        <v>5624</v>
      </c>
      <c r="Y70" t="s">
        <v>4497</v>
      </c>
      <c r="Z70" t="s">
        <v>5470</v>
      </c>
      <c r="AA70" t="s">
        <v>4360</v>
      </c>
      <c r="AB70" t="s">
        <v>4406</v>
      </c>
      <c r="AC70" t="s">
        <v>4407</v>
      </c>
      <c r="AD70" t="s">
        <v>4408</v>
      </c>
      <c r="AF70" t="s">
        <v>5710</v>
      </c>
      <c r="AG70" t="s">
        <v>4393</v>
      </c>
      <c r="AH70" t="s">
        <v>4394</v>
      </c>
      <c r="AI70" t="s">
        <v>4343</v>
      </c>
      <c r="AJ70">
        <v>16</v>
      </c>
      <c r="AK70">
        <v>80</v>
      </c>
      <c r="AL70" t="s">
        <v>5408</v>
      </c>
      <c r="AM70" t="s">
        <v>4334</v>
      </c>
      <c r="AO70">
        <v>4</v>
      </c>
      <c r="AP70">
        <v>37.871898999999999</v>
      </c>
      <c r="AQ70">
        <v>-122.25854</v>
      </c>
      <c r="AR70">
        <v>68</v>
      </c>
      <c r="AT70">
        <v>30</v>
      </c>
      <c r="AU70">
        <v>450</v>
      </c>
      <c r="AV70" s="21">
        <v>1.34</v>
      </c>
      <c r="AW70" s="12"/>
      <c r="AX70" t="s">
        <v>5537</v>
      </c>
    </row>
    <row r="71" spans="1:52" x14ac:dyDescent="0.55000000000000004">
      <c r="A71" t="s">
        <v>4244</v>
      </c>
      <c r="B71" t="s">
        <v>5332</v>
      </c>
      <c r="C71">
        <v>1985</v>
      </c>
      <c r="D71" t="s">
        <v>68</v>
      </c>
      <c r="E71">
        <v>101</v>
      </c>
      <c r="F71">
        <v>3</v>
      </c>
      <c r="H71">
        <v>427</v>
      </c>
      <c r="I71">
        <v>440</v>
      </c>
      <c r="K71" s="2" t="s">
        <v>4245</v>
      </c>
      <c r="L71" s="2" t="s">
        <v>4246</v>
      </c>
      <c r="M71" t="s">
        <v>5333</v>
      </c>
      <c r="N71" t="s">
        <v>5334</v>
      </c>
      <c r="O71" t="s">
        <v>26</v>
      </c>
      <c r="P71" t="s">
        <v>27</v>
      </c>
      <c r="Q71" t="s">
        <v>43</v>
      </c>
      <c r="R71" t="s">
        <v>43</v>
      </c>
      <c r="S71" t="s">
        <v>28</v>
      </c>
      <c r="T71" t="s">
        <v>28</v>
      </c>
      <c r="U71" t="s">
        <v>28</v>
      </c>
      <c r="V71" t="s">
        <v>28</v>
      </c>
      <c r="W71" s="16" t="s">
        <v>5629</v>
      </c>
      <c r="X71" t="s">
        <v>5624</v>
      </c>
      <c r="Y71" t="s">
        <v>4497</v>
      </c>
      <c r="Z71" t="s">
        <v>5470</v>
      </c>
      <c r="AA71" t="s">
        <v>4360</v>
      </c>
      <c r="AB71" t="s">
        <v>4406</v>
      </c>
      <c r="AC71" t="s">
        <v>4407</v>
      </c>
      <c r="AD71" t="s">
        <v>4408</v>
      </c>
      <c r="AF71" t="s">
        <v>5710</v>
      </c>
      <c r="AG71" t="s">
        <v>4393</v>
      </c>
      <c r="AH71" t="s">
        <v>4394</v>
      </c>
      <c r="AI71" t="s">
        <v>4343</v>
      </c>
      <c r="AJ71">
        <v>16</v>
      </c>
      <c r="AK71">
        <v>80</v>
      </c>
      <c r="AL71" t="s">
        <v>5408</v>
      </c>
      <c r="AM71" t="s">
        <v>4334</v>
      </c>
      <c r="AO71">
        <v>4</v>
      </c>
      <c r="AP71">
        <v>37.871898999999999</v>
      </c>
      <c r="AQ71">
        <v>-122.25854</v>
      </c>
      <c r="AR71">
        <v>76</v>
      </c>
      <c r="AT71">
        <v>30</v>
      </c>
      <c r="AU71">
        <v>450</v>
      </c>
      <c r="AV71" s="21">
        <v>2.16</v>
      </c>
      <c r="AW71" s="12"/>
      <c r="AX71" t="s">
        <v>5538</v>
      </c>
    </row>
    <row r="72" spans="1:52" x14ac:dyDescent="0.55000000000000004">
      <c r="A72" t="s">
        <v>4409</v>
      </c>
      <c r="B72" t="s">
        <v>4410</v>
      </c>
      <c r="C72">
        <v>1982</v>
      </c>
      <c r="D72" t="s">
        <v>53</v>
      </c>
      <c r="E72">
        <v>14</v>
      </c>
      <c r="H72">
        <v>407</v>
      </c>
      <c r="I72">
        <v>412</v>
      </c>
      <c r="K72" s="2" t="s">
        <v>4413</v>
      </c>
      <c r="L72" s="2" t="s">
        <v>4414</v>
      </c>
      <c r="M72" t="s">
        <v>5339</v>
      </c>
      <c r="O72" t="s">
        <v>26</v>
      </c>
      <c r="P72" t="s">
        <v>4384</v>
      </c>
      <c r="Q72" t="s">
        <v>43</v>
      </c>
      <c r="R72" t="s">
        <v>43</v>
      </c>
      <c r="S72" t="s">
        <v>43</v>
      </c>
      <c r="T72" t="s">
        <v>28</v>
      </c>
      <c r="U72" t="s">
        <v>28</v>
      </c>
      <c r="V72" t="s">
        <v>28</v>
      </c>
      <c r="W72" t="s">
        <v>4336</v>
      </c>
      <c r="X72" t="s">
        <v>5624</v>
      </c>
      <c r="Y72" t="s">
        <v>4497</v>
      </c>
      <c r="Z72" t="s">
        <v>5470</v>
      </c>
      <c r="AA72" t="s">
        <v>4360</v>
      </c>
      <c r="AB72" t="s">
        <v>4411</v>
      </c>
      <c r="AC72" t="s">
        <v>4412</v>
      </c>
      <c r="AF72" t="s">
        <v>5710</v>
      </c>
      <c r="AG72" t="s">
        <v>4393</v>
      </c>
      <c r="AH72" t="s">
        <v>4390</v>
      </c>
      <c r="AI72" t="s">
        <v>4343</v>
      </c>
      <c r="AJ72">
        <v>48</v>
      </c>
      <c r="AK72">
        <v>96</v>
      </c>
      <c r="AL72" t="s">
        <v>5408</v>
      </c>
      <c r="AM72" t="s">
        <v>4334</v>
      </c>
      <c r="AO72">
        <v>4</v>
      </c>
      <c r="AP72">
        <v>52.133398999999997</v>
      </c>
      <c r="AQ72">
        <v>-106.63135200000001</v>
      </c>
      <c r="AR72">
        <v>53</v>
      </c>
      <c r="AT72">
        <v>22</v>
      </c>
      <c r="AU72">
        <v>550</v>
      </c>
      <c r="AV72" s="21">
        <v>0.4</v>
      </c>
      <c r="AW72" s="12"/>
      <c r="AX72" t="s">
        <v>5539</v>
      </c>
    </row>
    <row r="73" spans="1:52" x14ac:dyDescent="0.55000000000000004">
      <c r="A73" t="s">
        <v>4266</v>
      </c>
      <c r="B73" t="s">
        <v>5340</v>
      </c>
      <c r="C73">
        <v>1982</v>
      </c>
      <c r="D73" t="s">
        <v>68</v>
      </c>
      <c r="E73">
        <v>92</v>
      </c>
      <c r="F73">
        <v>1</v>
      </c>
      <c r="H73">
        <v>75</v>
      </c>
      <c r="I73">
        <v>87</v>
      </c>
      <c r="K73" s="2" t="s">
        <v>4267</v>
      </c>
      <c r="L73" s="2" t="s">
        <v>4268</v>
      </c>
      <c r="M73" t="s">
        <v>5341</v>
      </c>
      <c r="O73" t="s">
        <v>26</v>
      </c>
      <c r="P73" t="s">
        <v>27</v>
      </c>
      <c r="Q73" t="s">
        <v>43</v>
      </c>
      <c r="R73" t="s">
        <v>43</v>
      </c>
      <c r="S73" t="s">
        <v>43</v>
      </c>
      <c r="T73" t="s">
        <v>28</v>
      </c>
      <c r="U73" t="s">
        <v>28</v>
      </c>
      <c r="V73" t="s">
        <v>28</v>
      </c>
      <c r="W73" s="16" t="s">
        <v>5629</v>
      </c>
      <c r="X73" t="s">
        <v>5624</v>
      </c>
      <c r="Y73" t="s">
        <v>4497</v>
      </c>
      <c r="Z73" t="s">
        <v>5380</v>
      </c>
      <c r="AA73" t="s">
        <v>4360</v>
      </c>
      <c r="AB73" t="s">
        <v>4528</v>
      </c>
      <c r="AC73" t="s">
        <v>4529</v>
      </c>
      <c r="AD73" t="s">
        <v>4564</v>
      </c>
      <c r="AF73" t="s">
        <v>5710</v>
      </c>
      <c r="AG73" t="s">
        <v>4393</v>
      </c>
      <c r="AH73" t="s">
        <v>4390</v>
      </c>
      <c r="AI73" t="s">
        <v>4343</v>
      </c>
      <c r="AJ73">
        <v>0.5</v>
      </c>
      <c r="AK73">
        <v>48</v>
      </c>
      <c r="AL73" t="s">
        <v>5408</v>
      </c>
      <c r="AM73" t="s">
        <v>4334</v>
      </c>
      <c r="AO73">
        <v>3</v>
      </c>
      <c r="AP73">
        <v>51.809399999999997</v>
      </c>
      <c r="AQ73">
        <v>-0.35588399999999998</v>
      </c>
      <c r="AR73">
        <v>73</v>
      </c>
      <c r="AT73">
        <v>18</v>
      </c>
      <c r="AU73">
        <v>500</v>
      </c>
      <c r="AV73" s="21">
        <f>2.8*0.93</f>
        <v>2.6040000000000001</v>
      </c>
      <c r="AW73" s="12">
        <v>0.38</v>
      </c>
      <c r="AX73" t="s">
        <v>5540</v>
      </c>
      <c r="AY73" t="s">
        <v>43</v>
      </c>
    </row>
    <row r="74" spans="1:52" x14ac:dyDescent="0.55000000000000004">
      <c r="A74" t="s">
        <v>4266</v>
      </c>
      <c r="B74" t="s">
        <v>5340</v>
      </c>
      <c r="C74">
        <v>1982</v>
      </c>
      <c r="D74" t="s">
        <v>68</v>
      </c>
      <c r="E74">
        <v>92</v>
      </c>
      <c r="F74">
        <v>1</v>
      </c>
      <c r="H74">
        <v>75</v>
      </c>
      <c r="I74">
        <v>87</v>
      </c>
      <c r="K74" s="2" t="s">
        <v>4267</v>
      </c>
      <c r="L74" s="2" t="s">
        <v>4268</v>
      </c>
      <c r="M74" t="s">
        <v>5341</v>
      </c>
      <c r="O74" t="s">
        <v>26</v>
      </c>
      <c r="P74" t="s">
        <v>27</v>
      </c>
      <c r="Q74" t="s">
        <v>43</v>
      </c>
      <c r="R74" t="s">
        <v>43</v>
      </c>
      <c r="S74" t="s">
        <v>43</v>
      </c>
      <c r="T74" t="s">
        <v>28</v>
      </c>
      <c r="U74" t="s">
        <v>28</v>
      </c>
      <c r="V74" t="s">
        <v>28</v>
      </c>
      <c r="W74" s="16" t="s">
        <v>5629</v>
      </c>
      <c r="X74" t="s">
        <v>5624</v>
      </c>
      <c r="Y74" t="s">
        <v>4497</v>
      </c>
      <c r="Z74" t="s">
        <v>5380</v>
      </c>
      <c r="AA74" t="s">
        <v>4360</v>
      </c>
      <c r="AB74" t="s">
        <v>4528</v>
      </c>
      <c r="AC74" t="s">
        <v>4529</v>
      </c>
      <c r="AD74" t="s">
        <v>4564</v>
      </c>
      <c r="AF74" t="s">
        <v>5710</v>
      </c>
      <c r="AG74" t="s">
        <v>4393</v>
      </c>
      <c r="AH74" t="s">
        <v>4390</v>
      </c>
      <c r="AI74" t="s">
        <v>4343</v>
      </c>
      <c r="AJ74">
        <v>0.5</v>
      </c>
      <c r="AK74">
        <v>48</v>
      </c>
      <c r="AL74" t="s">
        <v>5408</v>
      </c>
      <c r="AM74" t="s">
        <v>4334</v>
      </c>
      <c r="AO74">
        <v>3</v>
      </c>
      <c r="AP74">
        <v>51.809399999999997</v>
      </c>
      <c r="AQ74">
        <v>-0.35588399999999998</v>
      </c>
      <c r="AR74">
        <v>73</v>
      </c>
      <c r="AT74">
        <v>18</v>
      </c>
      <c r="AU74">
        <v>500</v>
      </c>
      <c r="AV74" s="21">
        <f>1.9*0.93</f>
        <v>1.7669999999999999</v>
      </c>
      <c r="AW74" s="12">
        <v>0.73</v>
      </c>
      <c r="AX74" t="s">
        <v>5540</v>
      </c>
      <c r="AY74" t="s">
        <v>43</v>
      </c>
    </row>
    <row r="75" spans="1:52" x14ac:dyDescent="0.55000000000000004">
      <c r="A75" t="s">
        <v>4266</v>
      </c>
      <c r="B75" t="s">
        <v>5340</v>
      </c>
      <c r="C75">
        <v>1982</v>
      </c>
      <c r="D75" t="s">
        <v>68</v>
      </c>
      <c r="E75">
        <v>92</v>
      </c>
      <c r="F75">
        <v>1</v>
      </c>
      <c r="H75">
        <v>75</v>
      </c>
      <c r="I75">
        <v>87</v>
      </c>
      <c r="K75" s="2" t="s">
        <v>4267</v>
      </c>
      <c r="L75" s="2" t="s">
        <v>4268</v>
      </c>
      <c r="M75" t="s">
        <v>5341</v>
      </c>
      <c r="O75" t="s">
        <v>26</v>
      </c>
      <c r="P75" t="s">
        <v>27</v>
      </c>
      <c r="Q75" t="s">
        <v>43</v>
      </c>
      <c r="R75" t="s">
        <v>43</v>
      </c>
      <c r="S75" t="s">
        <v>43</v>
      </c>
      <c r="T75" t="s">
        <v>28</v>
      </c>
      <c r="U75" t="s">
        <v>28</v>
      </c>
      <c r="V75" t="s">
        <v>28</v>
      </c>
      <c r="W75" s="16" t="s">
        <v>5629</v>
      </c>
      <c r="X75" t="s">
        <v>5624</v>
      </c>
      <c r="Y75" t="s">
        <v>4497</v>
      </c>
      <c r="Z75" t="s">
        <v>5380</v>
      </c>
      <c r="AA75" t="s">
        <v>4360</v>
      </c>
      <c r="AB75" t="s">
        <v>4528</v>
      </c>
      <c r="AC75" t="s">
        <v>4529</v>
      </c>
      <c r="AD75" t="s">
        <v>4564</v>
      </c>
      <c r="AF75" t="s">
        <v>5710</v>
      </c>
      <c r="AG75" t="s">
        <v>4393</v>
      </c>
      <c r="AH75" t="s">
        <v>4390</v>
      </c>
      <c r="AI75" t="s">
        <v>4343</v>
      </c>
      <c r="AJ75">
        <v>0.5</v>
      </c>
      <c r="AK75">
        <v>214</v>
      </c>
      <c r="AL75" t="s">
        <v>5408</v>
      </c>
      <c r="AM75" t="s">
        <v>4334</v>
      </c>
      <c r="AO75">
        <v>3</v>
      </c>
      <c r="AP75">
        <v>51.809399999999997</v>
      </c>
      <c r="AQ75">
        <v>-0.35588399999999998</v>
      </c>
      <c r="AR75">
        <v>60</v>
      </c>
      <c r="AT75">
        <v>18</v>
      </c>
      <c r="AU75">
        <v>500</v>
      </c>
      <c r="AV75" s="21">
        <f>5.1*0.93</f>
        <v>4.7430000000000003</v>
      </c>
      <c r="AW75" s="12">
        <v>1.96</v>
      </c>
      <c r="AX75" t="s">
        <v>5541</v>
      </c>
      <c r="AY75" t="s">
        <v>43</v>
      </c>
    </row>
    <row r="76" spans="1:52" x14ac:dyDescent="0.55000000000000004">
      <c r="A76" t="s">
        <v>4554</v>
      </c>
      <c r="B76" t="s">
        <v>4555</v>
      </c>
      <c r="C76">
        <v>1981</v>
      </c>
      <c r="D76" t="s">
        <v>1771</v>
      </c>
      <c r="E76">
        <v>213</v>
      </c>
      <c r="H76">
        <v>473</v>
      </c>
      <c r="I76">
        <v>474</v>
      </c>
      <c r="K76" s="2" t="s">
        <v>4556</v>
      </c>
      <c r="L76" s="2" t="s">
        <v>4557</v>
      </c>
      <c r="O76" t="s">
        <v>26</v>
      </c>
      <c r="P76" t="s">
        <v>4384</v>
      </c>
      <c r="Q76" t="s">
        <v>43</v>
      </c>
      <c r="R76" t="s">
        <v>43</v>
      </c>
      <c r="S76" t="s">
        <v>28</v>
      </c>
      <c r="T76" t="s">
        <v>28</v>
      </c>
      <c r="U76" t="s">
        <v>28</v>
      </c>
      <c r="V76" t="s">
        <v>28</v>
      </c>
      <c r="W76" t="s">
        <v>4336</v>
      </c>
      <c r="X76" t="s">
        <v>5624</v>
      </c>
      <c r="Y76" t="s">
        <v>4497</v>
      </c>
      <c r="Z76" t="s">
        <v>5470</v>
      </c>
      <c r="AA76" t="s">
        <v>4360</v>
      </c>
      <c r="AB76" t="s">
        <v>4411</v>
      </c>
      <c r="AC76" t="s">
        <v>4412</v>
      </c>
      <c r="AF76" t="s">
        <v>5710</v>
      </c>
      <c r="AG76" t="s">
        <v>4393</v>
      </c>
      <c r="AH76" t="s">
        <v>4390</v>
      </c>
      <c r="AI76" t="s">
        <v>4343</v>
      </c>
      <c r="AJ76">
        <v>48</v>
      </c>
      <c r="AK76">
        <v>96</v>
      </c>
      <c r="AL76" t="s">
        <v>5408</v>
      </c>
      <c r="AM76" t="s">
        <v>4334</v>
      </c>
      <c r="AO76">
        <v>4</v>
      </c>
      <c r="AP76">
        <v>37.868200000000002</v>
      </c>
      <c r="AQ76">
        <v>-122.264</v>
      </c>
      <c r="AV76" s="21">
        <v>1</v>
      </c>
      <c r="AW76" s="12"/>
      <c r="AX76" t="s">
        <v>5542</v>
      </c>
    </row>
    <row r="77" spans="1:52" x14ac:dyDescent="0.55000000000000004">
      <c r="A77" t="s">
        <v>4378</v>
      </c>
      <c r="B77" t="s">
        <v>4379</v>
      </c>
      <c r="C77">
        <v>1973</v>
      </c>
      <c r="D77" t="s">
        <v>4380</v>
      </c>
      <c r="E77">
        <v>244</v>
      </c>
      <c r="H77">
        <v>30</v>
      </c>
      <c r="I77">
        <v>31</v>
      </c>
      <c r="K77" s="2" t="s">
        <v>4381</v>
      </c>
      <c r="L77" s="2" t="s">
        <v>4382</v>
      </c>
      <c r="M77" t="s">
        <v>4383</v>
      </c>
      <c r="N77" t="s">
        <v>4383</v>
      </c>
      <c r="O77" t="s">
        <v>26</v>
      </c>
      <c r="P77" t="s">
        <v>4384</v>
      </c>
      <c r="Q77" t="s">
        <v>43</v>
      </c>
      <c r="R77" t="s">
        <v>28</v>
      </c>
      <c r="S77" t="s">
        <v>28</v>
      </c>
      <c r="T77" t="s">
        <v>28</v>
      </c>
      <c r="U77" t="s">
        <v>28</v>
      </c>
      <c r="V77" t="s">
        <v>28</v>
      </c>
      <c r="W77" t="s">
        <v>4336</v>
      </c>
      <c r="X77" t="s">
        <v>5624</v>
      </c>
      <c r="Y77" t="s">
        <v>4498</v>
      </c>
      <c r="Z77" t="s">
        <v>4385</v>
      </c>
      <c r="AA77" t="s">
        <v>4360</v>
      </c>
      <c r="AB77" t="s">
        <v>4386</v>
      </c>
      <c r="AC77" t="s">
        <v>4387</v>
      </c>
      <c r="AD77" t="s">
        <v>4388</v>
      </c>
      <c r="AF77" t="s">
        <v>5710</v>
      </c>
      <c r="AG77" t="s">
        <v>4389</v>
      </c>
      <c r="AH77" t="s">
        <v>4390</v>
      </c>
      <c r="AI77" t="s">
        <v>4343</v>
      </c>
      <c r="AJ77">
        <v>48</v>
      </c>
      <c r="AK77">
        <v>48</v>
      </c>
      <c r="AL77" t="s">
        <v>5408</v>
      </c>
      <c r="AM77" t="s">
        <v>4334</v>
      </c>
      <c r="AO77">
        <v>4</v>
      </c>
      <c r="AP77">
        <v>44.626184000000002</v>
      </c>
      <c r="AQ77">
        <v>-123.08322699999999</v>
      </c>
      <c r="AV77" s="21"/>
      <c r="AW77" s="12"/>
      <c r="AX77" t="s">
        <v>5620</v>
      </c>
    </row>
    <row r="78" spans="1:52" x14ac:dyDescent="0.55000000000000004">
      <c r="A78" t="s">
        <v>1495</v>
      </c>
      <c r="B78" t="s">
        <v>1496</v>
      </c>
      <c r="C78">
        <v>2017</v>
      </c>
      <c r="D78" t="s">
        <v>1497</v>
      </c>
      <c r="E78">
        <v>81</v>
      </c>
      <c r="H78">
        <v>100</v>
      </c>
      <c r="I78">
        <v>107</v>
      </c>
      <c r="K78" s="2" t="s">
        <v>1498</v>
      </c>
      <c r="L78" s="2" t="s">
        <v>1499</v>
      </c>
      <c r="M78" t="s">
        <v>4719</v>
      </c>
      <c r="N78" t="s">
        <v>1500</v>
      </c>
      <c r="O78" t="s">
        <v>26</v>
      </c>
      <c r="P78" t="s">
        <v>27</v>
      </c>
      <c r="Q78" t="s">
        <v>43</v>
      </c>
      <c r="R78" t="s">
        <v>43</v>
      </c>
      <c r="S78" t="s">
        <v>28</v>
      </c>
      <c r="T78" t="s">
        <v>28</v>
      </c>
      <c r="U78" t="s">
        <v>28</v>
      </c>
      <c r="V78" t="s">
        <v>28</v>
      </c>
      <c r="W78" s="16" t="s">
        <v>5629</v>
      </c>
      <c r="X78" t="s">
        <v>5624</v>
      </c>
      <c r="Y78" t="s">
        <v>4495</v>
      </c>
      <c r="Z78" t="s">
        <v>4358</v>
      </c>
      <c r="AA78" t="s">
        <v>5369</v>
      </c>
      <c r="AB78" s="7" t="s">
        <v>5370</v>
      </c>
      <c r="AC78" t="s">
        <v>5371</v>
      </c>
      <c r="AF78" t="s">
        <v>5711</v>
      </c>
      <c r="AG78" t="s">
        <v>4419</v>
      </c>
      <c r="AH78" t="s">
        <v>4420</v>
      </c>
      <c r="AI78" t="s">
        <v>4357</v>
      </c>
      <c r="AJ78">
        <f>24*3</f>
        <v>72</v>
      </c>
      <c r="AK78">
        <f>5*24</f>
        <v>120</v>
      </c>
      <c r="AL78" t="s">
        <v>5408</v>
      </c>
      <c r="AM78" t="s">
        <v>4334</v>
      </c>
      <c r="AO78">
        <v>20</v>
      </c>
      <c r="AP78">
        <v>51.587609999999998</v>
      </c>
      <c r="AQ78">
        <v>9.9827639999999995</v>
      </c>
      <c r="AT78">
        <v>8.6999999999999993</v>
      </c>
      <c r="AV78" s="21">
        <f>2.75*0.93</f>
        <v>2.5575000000000001</v>
      </c>
      <c r="AW78" s="12"/>
      <c r="AX78" t="s">
        <v>5465</v>
      </c>
      <c r="AY78" t="s">
        <v>43</v>
      </c>
      <c r="AZ78" s="19" t="s">
        <v>5625</v>
      </c>
    </row>
    <row r="79" spans="1:52" x14ac:dyDescent="0.55000000000000004">
      <c r="A79" t="s">
        <v>1495</v>
      </c>
      <c r="B79" t="s">
        <v>1496</v>
      </c>
      <c r="C79">
        <v>2017</v>
      </c>
      <c r="D79" t="s">
        <v>1497</v>
      </c>
      <c r="E79">
        <v>81</v>
      </c>
      <c r="H79">
        <v>100</v>
      </c>
      <c r="I79">
        <v>107</v>
      </c>
      <c r="K79" s="2" t="s">
        <v>1498</v>
      </c>
      <c r="L79" s="2" t="s">
        <v>1499</v>
      </c>
      <c r="M79" t="s">
        <v>4719</v>
      </c>
      <c r="N79" t="s">
        <v>1500</v>
      </c>
      <c r="O79" t="s">
        <v>26</v>
      </c>
      <c r="P79" t="s">
        <v>27</v>
      </c>
      <c r="Q79" t="s">
        <v>43</v>
      </c>
      <c r="R79" t="s">
        <v>43</v>
      </c>
      <c r="S79" t="s">
        <v>28</v>
      </c>
      <c r="T79" t="s">
        <v>28</v>
      </c>
      <c r="U79" t="s">
        <v>28</v>
      </c>
      <c r="V79" t="s">
        <v>28</v>
      </c>
      <c r="W79" s="16" t="s">
        <v>5629</v>
      </c>
      <c r="X79" t="s">
        <v>5624</v>
      </c>
      <c r="Y79" t="s">
        <v>4495</v>
      </c>
      <c r="Z79" t="s">
        <v>4358</v>
      </c>
      <c r="AA79" t="s">
        <v>5369</v>
      </c>
      <c r="AB79" s="7" t="s">
        <v>5370</v>
      </c>
      <c r="AC79" t="s">
        <v>5371</v>
      </c>
      <c r="AF79" t="s">
        <v>5711</v>
      </c>
      <c r="AG79" t="s">
        <v>4419</v>
      </c>
      <c r="AH79" t="s">
        <v>4420</v>
      </c>
      <c r="AI79" t="s">
        <v>4357</v>
      </c>
      <c r="AJ79">
        <f>24*3</f>
        <v>72</v>
      </c>
      <c r="AK79">
        <f>20*24</f>
        <v>480</v>
      </c>
      <c r="AL79" t="s">
        <v>5408</v>
      </c>
      <c r="AM79" t="s">
        <v>4334</v>
      </c>
      <c r="AO79">
        <v>20</v>
      </c>
      <c r="AP79">
        <v>51.587609999999998</v>
      </c>
      <c r="AQ79">
        <v>9.9827639999999995</v>
      </c>
      <c r="AT79">
        <v>8.6999999999999993</v>
      </c>
      <c r="AV79" s="21">
        <f>1.169*0.93</f>
        <v>1.0871700000000002</v>
      </c>
      <c r="AW79" s="12"/>
      <c r="AX79" t="s">
        <v>5464</v>
      </c>
      <c r="AY79" t="s">
        <v>43</v>
      </c>
    </row>
    <row r="80" spans="1:52" x14ac:dyDescent="0.55000000000000004">
      <c r="A80" t="s">
        <v>1495</v>
      </c>
      <c r="B80" t="s">
        <v>1496</v>
      </c>
      <c r="C80">
        <v>2017</v>
      </c>
      <c r="D80" t="s">
        <v>1497</v>
      </c>
      <c r="E80">
        <v>81</v>
      </c>
      <c r="H80">
        <v>100</v>
      </c>
      <c r="I80">
        <v>107</v>
      </c>
      <c r="K80" s="2" t="s">
        <v>1498</v>
      </c>
      <c r="L80" s="2" t="s">
        <v>1499</v>
      </c>
      <c r="M80" t="s">
        <v>4719</v>
      </c>
      <c r="N80" t="s">
        <v>1500</v>
      </c>
      <c r="O80" t="s">
        <v>26</v>
      </c>
      <c r="P80" t="s">
        <v>27</v>
      </c>
      <c r="Q80" t="s">
        <v>43</v>
      </c>
      <c r="R80" t="s">
        <v>43</v>
      </c>
      <c r="S80" t="s">
        <v>28</v>
      </c>
      <c r="T80" t="s">
        <v>28</v>
      </c>
      <c r="U80" t="s">
        <v>28</v>
      </c>
      <c r="V80" t="s">
        <v>28</v>
      </c>
      <c r="W80" s="16" t="s">
        <v>5629</v>
      </c>
      <c r="X80" t="s">
        <v>5624</v>
      </c>
      <c r="Y80" t="s">
        <v>4495</v>
      </c>
      <c r="Z80" t="s">
        <v>4358</v>
      </c>
      <c r="AA80" t="s">
        <v>5369</v>
      </c>
      <c r="AB80" s="7" t="s">
        <v>5372</v>
      </c>
      <c r="AC80" t="s">
        <v>5373</v>
      </c>
      <c r="AF80" t="s">
        <v>5711</v>
      </c>
      <c r="AG80" t="s">
        <v>4419</v>
      </c>
      <c r="AH80" t="s">
        <v>4420</v>
      </c>
      <c r="AI80" t="s">
        <v>4357</v>
      </c>
      <c r="AJ80">
        <v>72</v>
      </c>
      <c r="AK80">
        <v>120</v>
      </c>
      <c r="AL80" t="s">
        <v>5408</v>
      </c>
      <c r="AM80" t="s">
        <v>4334</v>
      </c>
      <c r="AO80">
        <v>20</v>
      </c>
      <c r="AP80">
        <v>51.587609999999998</v>
      </c>
      <c r="AQ80">
        <v>9.9827639999999995</v>
      </c>
      <c r="AT80">
        <v>8.6999999999999993</v>
      </c>
      <c r="AV80" s="21">
        <f>3.29*0.93</f>
        <v>3.0597000000000003</v>
      </c>
      <c r="AW80" s="12"/>
      <c r="AX80" t="s">
        <v>5463</v>
      </c>
      <c r="AY80" t="s">
        <v>43</v>
      </c>
    </row>
    <row r="81" spans="1:52" x14ac:dyDescent="0.55000000000000004">
      <c r="A81" t="s">
        <v>1495</v>
      </c>
      <c r="B81" t="s">
        <v>1496</v>
      </c>
      <c r="C81">
        <v>2017</v>
      </c>
      <c r="D81" t="s">
        <v>1497</v>
      </c>
      <c r="E81">
        <v>81</v>
      </c>
      <c r="H81">
        <v>100</v>
      </c>
      <c r="I81">
        <v>107</v>
      </c>
      <c r="K81" s="2" t="s">
        <v>1498</v>
      </c>
      <c r="L81" s="2" t="s">
        <v>1499</v>
      </c>
      <c r="M81" t="s">
        <v>4719</v>
      </c>
      <c r="N81" t="s">
        <v>1500</v>
      </c>
      <c r="O81" t="s">
        <v>26</v>
      </c>
      <c r="P81" t="s">
        <v>27</v>
      </c>
      <c r="Q81" t="s">
        <v>43</v>
      </c>
      <c r="R81" t="s">
        <v>43</v>
      </c>
      <c r="S81" t="s">
        <v>28</v>
      </c>
      <c r="T81" t="s">
        <v>28</v>
      </c>
      <c r="U81" t="s">
        <v>28</v>
      </c>
      <c r="V81" t="s">
        <v>28</v>
      </c>
      <c r="W81" s="16" t="s">
        <v>5629</v>
      </c>
      <c r="X81" t="s">
        <v>5624</v>
      </c>
      <c r="Y81" t="s">
        <v>4495</v>
      </c>
      <c r="Z81" t="s">
        <v>4358</v>
      </c>
      <c r="AA81" t="s">
        <v>5369</v>
      </c>
      <c r="AB81" s="7" t="s">
        <v>5372</v>
      </c>
      <c r="AC81" t="s">
        <v>5373</v>
      </c>
      <c r="AF81" t="s">
        <v>5711</v>
      </c>
      <c r="AG81" t="s">
        <v>4419</v>
      </c>
      <c r="AH81" t="s">
        <v>4420</v>
      </c>
      <c r="AI81" t="s">
        <v>4357</v>
      </c>
      <c r="AJ81">
        <v>72</v>
      </c>
      <c r="AK81">
        <v>480</v>
      </c>
      <c r="AL81" t="s">
        <v>5408</v>
      </c>
      <c r="AM81" t="s">
        <v>4334</v>
      </c>
      <c r="AO81">
        <v>20</v>
      </c>
      <c r="AP81">
        <v>51.587609999999998</v>
      </c>
      <c r="AQ81">
        <v>9.9827639999999995</v>
      </c>
      <c r="AT81">
        <v>8.6999999999999993</v>
      </c>
      <c r="AV81" s="21">
        <f>2.33*0.93</f>
        <v>2.1669</v>
      </c>
      <c r="AW81" s="12"/>
      <c r="AX81" t="s">
        <v>5588</v>
      </c>
      <c r="AY81" t="s">
        <v>43</v>
      </c>
    </row>
    <row r="82" spans="1:52" x14ac:dyDescent="0.55000000000000004">
      <c r="A82" t="s">
        <v>2165</v>
      </c>
      <c r="B82" t="s">
        <v>2166</v>
      </c>
      <c r="C82">
        <v>2014</v>
      </c>
      <c r="D82" t="s">
        <v>2167</v>
      </c>
      <c r="E82">
        <v>505</v>
      </c>
      <c r="F82">
        <v>7484</v>
      </c>
      <c r="H82">
        <v>543</v>
      </c>
      <c r="I82">
        <v>545</v>
      </c>
      <c r="K82" s="2" t="s">
        <v>2168</v>
      </c>
      <c r="L82" s="2" t="s">
        <v>2169</v>
      </c>
      <c r="M82" t="s">
        <v>4872</v>
      </c>
      <c r="O82" t="s">
        <v>26</v>
      </c>
      <c r="P82" t="s">
        <v>27</v>
      </c>
      <c r="Q82" t="s">
        <v>43</v>
      </c>
      <c r="R82" t="s">
        <v>28</v>
      </c>
      <c r="S82" t="s">
        <v>43</v>
      </c>
      <c r="T82" t="s">
        <v>43</v>
      </c>
      <c r="U82" t="s">
        <v>28</v>
      </c>
      <c r="V82" t="s">
        <v>28</v>
      </c>
      <c r="W82" s="16" t="s">
        <v>5629</v>
      </c>
      <c r="X82" t="s">
        <v>5624</v>
      </c>
      <c r="Y82" t="s">
        <v>5476</v>
      </c>
      <c r="Z82" t="s">
        <v>5477</v>
      </c>
      <c r="AA82" t="s">
        <v>5478</v>
      </c>
      <c r="AB82" t="s">
        <v>4419</v>
      </c>
      <c r="AC82" t="s">
        <v>4420</v>
      </c>
      <c r="AF82" t="s">
        <v>5712</v>
      </c>
      <c r="AG82" t="s">
        <v>4419</v>
      </c>
      <c r="AH82" t="s">
        <v>4420</v>
      </c>
      <c r="AM82" t="s">
        <v>4355</v>
      </c>
      <c r="AP82">
        <v>30.284918000000001</v>
      </c>
      <c r="AQ82">
        <v>-97.734057000000007</v>
      </c>
      <c r="AX82" t="s">
        <v>5479</v>
      </c>
      <c r="AZ82" s="19" t="s">
        <v>5683</v>
      </c>
    </row>
    <row r="83" spans="1:52" x14ac:dyDescent="0.55000000000000004">
      <c r="A83" t="s">
        <v>2896</v>
      </c>
      <c r="B83" t="s">
        <v>2897</v>
      </c>
      <c r="C83">
        <v>2010</v>
      </c>
      <c r="D83" t="s">
        <v>186</v>
      </c>
      <c r="E83">
        <v>328</v>
      </c>
      <c r="F83">
        <v>1</v>
      </c>
      <c r="H83">
        <v>459</v>
      </c>
      <c r="I83">
        <v>470</v>
      </c>
      <c r="K83" s="2" t="s">
        <v>2898</v>
      </c>
      <c r="L83" s="2" t="s">
        <v>2899</v>
      </c>
      <c r="M83" t="s">
        <v>5051</v>
      </c>
      <c r="N83" t="s">
        <v>2900</v>
      </c>
      <c r="O83" t="s">
        <v>26</v>
      </c>
      <c r="P83" t="s">
        <v>27</v>
      </c>
      <c r="Q83" t="s">
        <v>43</v>
      </c>
      <c r="R83" t="s">
        <v>43</v>
      </c>
      <c r="S83" t="s">
        <v>43</v>
      </c>
      <c r="T83" t="s">
        <v>28</v>
      </c>
      <c r="U83" t="s">
        <v>28</v>
      </c>
      <c r="V83" t="s">
        <v>28</v>
      </c>
      <c r="W83" s="16" t="s">
        <v>5629</v>
      </c>
      <c r="X83" t="s">
        <v>5624</v>
      </c>
      <c r="Y83" t="s">
        <v>4495</v>
      </c>
      <c r="Z83" t="s">
        <v>4358</v>
      </c>
      <c r="AA83" t="s">
        <v>5369</v>
      </c>
      <c r="AB83" t="s">
        <v>4471</v>
      </c>
      <c r="AC83" t="s">
        <v>4460</v>
      </c>
      <c r="AF83" t="s">
        <v>5439</v>
      </c>
      <c r="AG83" t="s">
        <v>5440</v>
      </c>
      <c r="AH83" t="s">
        <v>5441</v>
      </c>
      <c r="AI83" t="s">
        <v>4343</v>
      </c>
      <c r="AJ83">
        <f t="shared" ref="AJ83:AJ96" si="0">27*24</f>
        <v>648</v>
      </c>
      <c r="AK83">
        <v>0</v>
      </c>
      <c r="AL83" t="s">
        <v>5408</v>
      </c>
      <c r="AM83" t="s">
        <v>4334</v>
      </c>
      <c r="AO83">
        <v>4</v>
      </c>
      <c r="AP83">
        <v>51.984397000000001</v>
      </c>
      <c r="AQ83">
        <v>5.6601929999999996</v>
      </c>
      <c r="AR83">
        <v>48</v>
      </c>
      <c r="AS83" t="s">
        <v>5452</v>
      </c>
      <c r="AT83">
        <f t="shared" ref="AT83:AT96" si="1">AVERAGE(20,14)</f>
        <v>17</v>
      </c>
      <c r="AU83">
        <v>400</v>
      </c>
      <c r="AV83" s="21">
        <v>7.6608375517717429</v>
      </c>
      <c r="AW83" s="12"/>
      <c r="AX83" t="s">
        <v>5604</v>
      </c>
      <c r="AY83" t="s">
        <v>43</v>
      </c>
      <c r="AZ83" s="19" t="s">
        <v>5684</v>
      </c>
    </row>
    <row r="84" spans="1:52" x14ac:dyDescent="0.55000000000000004">
      <c r="A84" t="s">
        <v>2896</v>
      </c>
      <c r="B84" t="s">
        <v>2897</v>
      </c>
      <c r="C84">
        <v>2010</v>
      </c>
      <c r="D84" t="s">
        <v>186</v>
      </c>
      <c r="E84">
        <v>328</v>
      </c>
      <c r="F84">
        <v>1</v>
      </c>
      <c r="H84">
        <v>459</v>
      </c>
      <c r="I84">
        <v>470</v>
      </c>
      <c r="K84" s="2" t="s">
        <v>2898</v>
      </c>
      <c r="L84" s="2" t="s">
        <v>2899</v>
      </c>
      <c r="M84" t="s">
        <v>5051</v>
      </c>
      <c r="N84" t="s">
        <v>2900</v>
      </c>
      <c r="O84" t="s">
        <v>26</v>
      </c>
      <c r="P84" t="s">
        <v>27</v>
      </c>
      <c r="Q84" t="s">
        <v>43</v>
      </c>
      <c r="R84" t="s">
        <v>43</v>
      </c>
      <c r="S84" t="s">
        <v>43</v>
      </c>
      <c r="T84" t="s">
        <v>28</v>
      </c>
      <c r="U84" t="s">
        <v>28</v>
      </c>
      <c r="V84" t="s">
        <v>28</v>
      </c>
      <c r="W84" s="16" t="s">
        <v>5629</v>
      </c>
      <c r="X84" t="s">
        <v>5624</v>
      </c>
      <c r="Y84" t="s">
        <v>4495</v>
      </c>
      <c r="Z84" t="s">
        <v>4358</v>
      </c>
      <c r="AA84" t="s">
        <v>5369</v>
      </c>
      <c r="AB84" t="s">
        <v>4471</v>
      </c>
      <c r="AC84" t="s">
        <v>4460</v>
      </c>
      <c r="AF84" t="s">
        <v>5439</v>
      </c>
      <c r="AG84" t="s">
        <v>5440</v>
      </c>
      <c r="AH84" t="s">
        <v>5442</v>
      </c>
      <c r="AI84" t="s">
        <v>4343</v>
      </c>
      <c r="AJ84">
        <f t="shared" si="0"/>
        <v>648</v>
      </c>
      <c r="AK84">
        <v>0</v>
      </c>
      <c r="AL84" t="s">
        <v>5408</v>
      </c>
      <c r="AM84" t="s">
        <v>4334</v>
      </c>
      <c r="AO84">
        <v>4</v>
      </c>
      <c r="AP84">
        <v>51.984397000000001</v>
      </c>
      <c r="AQ84">
        <v>5.6601929999999996</v>
      </c>
      <c r="AR84">
        <v>6</v>
      </c>
      <c r="AS84" t="s">
        <v>5453</v>
      </c>
      <c r="AT84">
        <f t="shared" si="1"/>
        <v>17</v>
      </c>
      <c r="AU84">
        <v>400</v>
      </c>
      <c r="AV84" s="21">
        <v>6.3296577946768062</v>
      </c>
      <c r="AW84" s="12"/>
      <c r="AX84" t="s">
        <v>5604</v>
      </c>
      <c r="AY84" t="s">
        <v>43</v>
      </c>
      <c r="AZ84" s="19" t="s">
        <v>5627</v>
      </c>
    </row>
    <row r="85" spans="1:52" x14ac:dyDescent="0.55000000000000004">
      <c r="A85" t="s">
        <v>2896</v>
      </c>
      <c r="B85" t="s">
        <v>2897</v>
      </c>
      <c r="C85">
        <v>2010</v>
      </c>
      <c r="D85" t="s">
        <v>186</v>
      </c>
      <c r="E85">
        <v>328</v>
      </c>
      <c r="F85">
        <v>1</v>
      </c>
      <c r="H85">
        <v>459</v>
      </c>
      <c r="I85">
        <v>470</v>
      </c>
      <c r="K85" s="2" t="s">
        <v>2898</v>
      </c>
      <c r="L85" s="2" t="s">
        <v>2899</v>
      </c>
      <c r="M85" t="s">
        <v>5051</v>
      </c>
      <c r="N85" t="s">
        <v>2900</v>
      </c>
      <c r="O85" t="s">
        <v>26</v>
      </c>
      <c r="P85" t="s">
        <v>27</v>
      </c>
      <c r="Q85" t="s">
        <v>43</v>
      </c>
      <c r="R85" t="s">
        <v>43</v>
      </c>
      <c r="S85" t="s">
        <v>43</v>
      </c>
      <c r="T85" t="s">
        <v>28</v>
      </c>
      <c r="U85" t="s">
        <v>28</v>
      </c>
      <c r="V85" t="s">
        <v>28</v>
      </c>
      <c r="W85" s="16" t="s">
        <v>5629</v>
      </c>
      <c r="X85" t="s">
        <v>5624</v>
      </c>
      <c r="Y85" t="s">
        <v>4495</v>
      </c>
      <c r="Z85" t="s">
        <v>4358</v>
      </c>
      <c r="AA85" t="s">
        <v>5369</v>
      </c>
      <c r="AB85" t="s">
        <v>4471</v>
      </c>
      <c r="AC85" t="s">
        <v>4460</v>
      </c>
      <c r="AF85" t="s">
        <v>5439</v>
      </c>
      <c r="AG85" t="s">
        <v>5443</v>
      </c>
      <c r="AH85" t="s">
        <v>5444</v>
      </c>
      <c r="AI85" t="s">
        <v>4343</v>
      </c>
      <c r="AJ85">
        <f t="shared" si="0"/>
        <v>648</v>
      </c>
      <c r="AK85">
        <v>0</v>
      </c>
      <c r="AL85" t="s">
        <v>5408</v>
      </c>
      <c r="AM85" t="s">
        <v>4334</v>
      </c>
      <c r="AO85">
        <v>4</v>
      </c>
      <c r="AP85">
        <v>51.984397000000001</v>
      </c>
      <c r="AQ85">
        <v>5.6601929999999996</v>
      </c>
      <c r="AR85">
        <v>3</v>
      </c>
      <c r="AS85" t="s">
        <v>5454</v>
      </c>
      <c r="AT85">
        <f t="shared" si="1"/>
        <v>17</v>
      </c>
      <c r="AU85">
        <v>400</v>
      </c>
      <c r="AV85" s="21">
        <v>5.0280643829962859</v>
      </c>
      <c r="AW85" s="12"/>
      <c r="AX85" t="s">
        <v>5604</v>
      </c>
      <c r="AY85" t="s">
        <v>43</v>
      </c>
    </row>
    <row r="86" spans="1:52" x14ac:dyDescent="0.55000000000000004">
      <c r="A86" t="s">
        <v>2896</v>
      </c>
      <c r="B86" t="s">
        <v>2897</v>
      </c>
      <c r="C86">
        <v>2010</v>
      </c>
      <c r="D86" t="s">
        <v>186</v>
      </c>
      <c r="E86">
        <v>328</v>
      </c>
      <c r="F86">
        <v>1</v>
      </c>
      <c r="H86">
        <v>459</v>
      </c>
      <c r="I86">
        <v>470</v>
      </c>
      <c r="K86" s="2" t="s">
        <v>2898</v>
      </c>
      <c r="L86" s="2" t="s">
        <v>2899</v>
      </c>
      <c r="M86" t="s">
        <v>5051</v>
      </c>
      <c r="N86" t="s">
        <v>2900</v>
      </c>
      <c r="O86" t="s">
        <v>26</v>
      </c>
      <c r="P86" t="s">
        <v>27</v>
      </c>
      <c r="Q86" t="s">
        <v>43</v>
      </c>
      <c r="R86" t="s">
        <v>43</v>
      </c>
      <c r="S86" t="s">
        <v>43</v>
      </c>
      <c r="T86" t="s">
        <v>28</v>
      </c>
      <c r="U86" t="s">
        <v>28</v>
      </c>
      <c r="V86" t="s">
        <v>28</v>
      </c>
      <c r="W86" s="16" t="s">
        <v>5629</v>
      </c>
      <c r="X86" t="s">
        <v>5624</v>
      </c>
      <c r="Y86" t="s">
        <v>4495</v>
      </c>
      <c r="Z86" t="s">
        <v>4358</v>
      </c>
      <c r="AA86" t="s">
        <v>5369</v>
      </c>
      <c r="AB86" t="s">
        <v>4471</v>
      </c>
      <c r="AC86" t="s">
        <v>4460</v>
      </c>
      <c r="AF86" t="s">
        <v>5439</v>
      </c>
      <c r="AG86" t="s">
        <v>5445</v>
      </c>
      <c r="AH86" t="s">
        <v>5446</v>
      </c>
      <c r="AI86" t="s">
        <v>4343</v>
      </c>
      <c r="AJ86">
        <f t="shared" si="0"/>
        <v>648</v>
      </c>
      <c r="AK86">
        <v>0</v>
      </c>
      <c r="AL86" t="s">
        <v>5408</v>
      </c>
      <c r="AM86" t="s">
        <v>4334</v>
      </c>
      <c r="AO86">
        <v>4</v>
      </c>
      <c r="AP86">
        <v>51.984397000000001</v>
      </c>
      <c r="AQ86">
        <v>5.6601929999999996</v>
      </c>
      <c r="AR86">
        <v>3</v>
      </c>
      <c r="AS86" t="s">
        <v>5455</v>
      </c>
      <c r="AT86">
        <f t="shared" si="1"/>
        <v>17</v>
      </c>
      <c r="AU86">
        <v>400</v>
      </c>
      <c r="AV86" s="21">
        <v>4.9652963160704751</v>
      </c>
      <c r="AW86" s="12"/>
      <c r="AX86" t="s">
        <v>5604</v>
      </c>
      <c r="AY86" t="s">
        <v>43</v>
      </c>
    </row>
    <row r="87" spans="1:52" x14ac:dyDescent="0.55000000000000004">
      <c r="A87" t="s">
        <v>2896</v>
      </c>
      <c r="B87" t="s">
        <v>2897</v>
      </c>
      <c r="C87">
        <v>2010</v>
      </c>
      <c r="D87" t="s">
        <v>186</v>
      </c>
      <c r="E87">
        <v>328</v>
      </c>
      <c r="F87">
        <v>1</v>
      </c>
      <c r="H87">
        <v>459</v>
      </c>
      <c r="I87">
        <v>470</v>
      </c>
      <c r="K87" s="2" t="s">
        <v>2898</v>
      </c>
      <c r="L87" s="2" t="s">
        <v>2899</v>
      </c>
      <c r="M87" t="s">
        <v>5051</v>
      </c>
      <c r="N87" t="s">
        <v>2900</v>
      </c>
      <c r="O87" t="s">
        <v>26</v>
      </c>
      <c r="P87" t="s">
        <v>27</v>
      </c>
      <c r="Q87" t="s">
        <v>43</v>
      </c>
      <c r="R87" t="s">
        <v>43</v>
      </c>
      <c r="S87" t="s">
        <v>43</v>
      </c>
      <c r="T87" t="s">
        <v>28</v>
      </c>
      <c r="U87" t="s">
        <v>28</v>
      </c>
      <c r="V87" t="s">
        <v>28</v>
      </c>
      <c r="W87" s="16" t="s">
        <v>5629</v>
      </c>
      <c r="X87" t="s">
        <v>5624</v>
      </c>
      <c r="Y87" t="s">
        <v>4495</v>
      </c>
      <c r="Z87" t="s">
        <v>4358</v>
      </c>
      <c r="AA87" t="s">
        <v>5369</v>
      </c>
      <c r="AB87" t="s">
        <v>4471</v>
      </c>
      <c r="AC87" t="s">
        <v>4460</v>
      </c>
      <c r="AF87" t="s">
        <v>5439</v>
      </c>
      <c r="AG87" t="s">
        <v>5447</v>
      </c>
      <c r="AH87" t="s">
        <v>5448</v>
      </c>
      <c r="AI87" t="s">
        <v>4343</v>
      </c>
      <c r="AJ87">
        <f t="shared" si="0"/>
        <v>648</v>
      </c>
      <c r="AK87">
        <v>0</v>
      </c>
      <c r="AL87" t="s">
        <v>5408</v>
      </c>
      <c r="AM87" t="s">
        <v>4334</v>
      </c>
      <c r="AO87">
        <v>4</v>
      </c>
      <c r="AP87">
        <v>51.984397000000001</v>
      </c>
      <c r="AQ87">
        <v>5.6601929999999996</v>
      </c>
      <c r="AR87">
        <v>2</v>
      </c>
      <c r="AS87" t="s">
        <v>5456</v>
      </c>
      <c r="AT87">
        <f t="shared" si="1"/>
        <v>17</v>
      </c>
      <c r="AU87">
        <v>400</v>
      </c>
      <c r="AV87" s="21">
        <v>2.4884185303514381</v>
      </c>
      <c r="AW87" s="12"/>
      <c r="AX87" t="s">
        <v>5604</v>
      </c>
      <c r="AY87" t="s">
        <v>43</v>
      </c>
    </row>
    <row r="88" spans="1:52" x14ac:dyDescent="0.55000000000000004">
      <c r="A88" t="s">
        <v>2896</v>
      </c>
      <c r="B88" t="s">
        <v>2897</v>
      </c>
      <c r="C88">
        <v>2010</v>
      </c>
      <c r="D88" t="s">
        <v>186</v>
      </c>
      <c r="E88">
        <v>328</v>
      </c>
      <c r="F88">
        <v>1</v>
      </c>
      <c r="H88">
        <v>459</v>
      </c>
      <c r="I88">
        <v>470</v>
      </c>
      <c r="K88" s="2" t="s">
        <v>2898</v>
      </c>
      <c r="L88" s="2" t="s">
        <v>2899</v>
      </c>
      <c r="M88" t="s">
        <v>5051</v>
      </c>
      <c r="N88" t="s">
        <v>2900</v>
      </c>
      <c r="O88" t="s">
        <v>26</v>
      </c>
      <c r="P88" t="s">
        <v>27</v>
      </c>
      <c r="Q88" t="s">
        <v>43</v>
      </c>
      <c r="R88" t="s">
        <v>43</v>
      </c>
      <c r="S88" t="s">
        <v>43</v>
      </c>
      <c r="T88" t="s">
        <v>28</v>
      </c>
      <c r="U88" t="s">
        <v>28</v>
      </c>
      <c r="V88" t="s">
        <v>28</v>
      </c>
      <c r="W88" s="16" t="s">
        <v>5629</v>
      </c>
      <c r="X88" t="s">
        <v>5624</v>
      </c>
      <c r="Y88" t="s">
        <v>4495</v>
      </c>
      <c r="Z88" t="s">
        <v>4358</v>
      </c>
      <c r="AA88" t="s">
        <v>5369</v>
      </c>
      <c r="AB88" t="s">
        <v>4471</v>
      </c>
      <c r="AC88" t="s">
        <v>4460</v>
      </c>
      <c r="AF88" t="s">
        <v>5439</v>
      </c>
      <c r="AG88" t="s">
        <v>5449</v>
      </c>
      <c r="AH88" t="s">
        <v>5450</v>
      </c>
      <c r="AI88" t="s">
        <v>4343</v>
      </c>
      <c r="AJ88">
        <f t="shared" si="0"/>
        <v>648</v>
      </c>
      <c r="AK88">
        <v>0</v>
      </c>
      <c r="AL88" t="s">
        <v>5408</v>
      </c>
      <c r="AM88" t="s">
        <v>4334</v>
      </c>
      <c r="AO88">
        <v>4</v>
      </c>
      <c r="AP88">
        <v>51.984397000000001</v>
      </c>
      <c r="AQ88">
        <v>5.6601929999999996</v>
      </c>
      <c r="AR88">
        <v>6</v>
      </c>
      <c r="AS88" t="s">
        <v>5456</v>
      </c>
      <c r="AT88">
        <f t="shared" si="1"/>
        <v>17</v>
      </c>
      <c r="AU88">
        <v>400</v>
      </c>
      <c r="AV88" s="21">
        <v>2.8866866118175025</v>
      </c>
      <c r="AW88" s="12"/>
      <c r="AX88" t="s">
        <v>5604</v>
      </c>
      <c r="AY88" t="s">
        <v>43</v>
      </c>
    </row>
    <row r="89" spans="1:52" x14ac:dyDescent="0.55000000000000004">
      <c r="A89" t="s">
        <v>2896</v>
      </c>
      <c r="B89" t="s">
        <v>2897</v>
      </c>
      <c r="C89">
        <v>2010</v>
      </c>
      <c r="D89" t="s">
        <v>186</v>
      </c>
      <c r="E89">
        <v>328</v>
      </c>
      <c r="F89">
        <v>1</v>
      </c>
      <c r="H89">
        <v>459</v>
      </c>
      <c r="I89">
        <v>470</v>
      </c>
      <c r="K89" s="2" t="s">
        <v>2898</v>
      </c>
      <c r="L89" s="2" t="s">
        <v>2899</v>
      </c>
      <c r="M89" t="s">
        <v>5051</v>
      </c>
      <c r="N89" t="s">
        <v>2900</v>
      </c>
      <c r="O89" t="s">
        <v>26</v>
      </c>
      <c r="P89" t="s">
        <v>27</v>
      </c>
      <c r="Q89" t="s">
        <v>43</v>
      </c>
      <c r="R89" t="s">
        <v>43</v>
      </c>
      <c r="S89" t="s">
        <v>43</v>
      </c>
      <c r="T89" t="s">
        <v>28</v>
      </c>
      <c r="U89" t="s">
        <v>28</v>
      </c>
      <c r="V89" t="s">
        <v>28</v>
      </c>
      <c r="W89" s="16" t="s">
        <v>5629</v>
      </c>
      <c r="X89" t="s">
        <v>5624</v>
      </c>
      <c r="Y89" t="s">
        <v>4495</v>
      </c>
      <c r="Z89" t="s">
        <v>4358</v>
      </c>
      <c r="AA89" t="s">
        <v>5369</v>
      </c>
      <c r="AB89" t="s">
        <v>4471</v>
      </c>
      <c r="AC89" t="s">
        <v>4460</v>
      </c>
      <c r="AF89" t="s">
        <v>5439</v>
      </c>
      <c r="AG89" t="s">
        <v>5449</v>
      </c>
      <c r="AH89" t="s">
        <v>5451</v>
      </c>
      <c r="AI89" t="s">
        <v>4343</v>
      </c>
      <c r="AJ89">
        <f t="shared" si="0"/>
        <v>648</v>
      </c>
      <c r="AK89">
        <v>0</v>
      </c>
      <c r="AL89" t="s">
        <v>5408</v>
      </c>
      <c r="AM89" t="s">
        <v>4334</v>
      </c>
      <c r="AO89">
        <v>4</v>
      </c>
      <c r="AP89">
        <v>51.984397000000001</v>
      </c>
      <c r="AQ89">
        <v>5.6601929999999996</v>
      </c>
      <c r="AR89">
        <v>9</v>
      </c>
      <c r="AS89" t="s">
        <v>5457</v>
      </c>
      <c r="AT89">
        <f t="shared" si="1"/>
        <v>17</v>
      </c>
      <c r="AU89">
        <v>400</v>
      </c>
      <c r="AV89" s="21">
        <v>2.572667217175888</v>
      </c>
      <c r="AW89" s="12"/>
      <c r="AX89" t="s">
        <v>5604</v>
      </c>
      <c r="AY89" t="s">
        <v>43</v>
      </c>
    </row>
    <row r="90" spans="1:52" x14ac:dyDescent="0.55000000000000004">
      <c r="A90" t="s">
        <v>2896</v>
      </c>
      <c r="B90" t="s">
        <v>2897</v>
      </c>
      <c r="C90">
        <v>2010</v>
      </c>
      <c r="D90" t="s">
        <v>186</v>
      </c>
      <c r="E90">
        <v>328</v>
      </c>
      <c r="F90">
        <v>1</v>
      </c>
      <c r="H90">
        <v>459</v>
      </c>
      <c r="I90">
        <v>470</v>
      </c>
      <c r="K90" s="2" t="s">
        <v>2898</v>
      </c>
      <c r="L90" s="2" t="s">
        <v>2899</v>
      </c>
      <c r="M90" t="s">
        <v>5051</v>
      </c>
      <c r="N90" t="s">
        <v>2900</v>
      </c>
      <c r="O90" t="s">
        <v>26</v>
      </c>
      <c r="P90" t="s">
        <v>27</v>
      </c>
      <c r="Q90" t="s">
        <v>43</v>
      </c>
      <c r="R90" t="s">
        <v>43</v>
      </c>
      <c r="S90" t="s">
        <v>43</v>
      </c>
      <c r="T90" t="s">
        <v>28</v>
      </c>
      <c r="U90" t="s">
        <v>28</v>
      </c>
      <c r="V90" t="s">
        <v>28</v>
      </c>
      <c r="W90" s="16" t="s">
        <v>5629</v>
      </c>
      <c r="X90" t="s">
        <v>5624</v>
      </c>
      <c r="Y90" t="s">
        <v>4495</v>
      </c>
      <c r="Z90" t="s">
        <v>4358</v>
      </c>
      <c r="AA90" t="s">
        <v>5369</v>
      </c>
      <c r="AB90" t="s">
        <v>4471</v>
      </c>
      <c r="AC90" t="s">
        <v>4460</v>
      </c>
      <c r="AF90" t="s">
        <v>5439</v>
      </c>
      <c r="AG90" t="s">
        <v>5440</v>
      </c>
      <c r="AH90" t="s">
        <v>5441</v>
      </c>
      <c r="AI90" t="s">
        <v>4343</v>
      </c>
      <c r="AJ90">
        <f t="shared" si="0"/>
        <v>648</v>
      </c>
      <c r="AK90">
        <v>0</v>
      </c>
      <c r="AL90" t="s">
        <v>5409</v>
      </c>
      <c r="AM90" t="s">
        <v>4334</v>
      </c>
      <c r="AO90">
        <v>4</v>
      </c>
      <c r="AP90">
        <v>51.984397000000001</v>
      </c>
      <c r="AQ90">
        <v>5.6601929999999996</v>
      </c>
      <c r="AR90">
        <v>71</v>
      </c>
      <c r="AS90" t="s">
        <v>5458</v>
      </c>
      <c r="AT90">
        <f t="shared" si="1"/>
        <v>17</v>
      </c>
      <c r="AU90">
        <v>400</v>
      </c>
      <c r="AV90" s="21">
        <v>5.5653098420413123</v>
      </c>
      <c r="AW90" s="12"/>
      <c r="AX90" t="s">
        <v>5604</v>
      </c>
      <c r="AY90" t="s">
        <v>43</v>
      </c>
    </row>
    <row r="91" spans="1:52" x14ac:dyDescent="0.55000000000000004">
      <c r="A91" t="s">
        <v>2896</v>
      </c>
      <c r="B91" t="s">
        <v>2897</v>
      </c>
      <c r="C91">
        <v>2010</v>
      </c>
      <c r="D91" t="s">
        <v>186</v>
      </c>
      <c r="E91">
        <v>328</v>
      </c>
      <c r="F91">
        <v>1</v>
      </c>
      <c r="H91">
        <v>459</v>
      </c>
      <c r="I91">
        <v>470</v>
      </c>
      <c r="K91" s="2" t="s">
        <v>2898</v>
      </c>
      <c r="L91" s="2" t="s">
        <v>2899</v>
      </c>
      <c r="M91" t="s">
        <v>5051</v>
      </c>
      <c r="N91" t="s">
        <v>2900</v>
      </c>
      <c r="O91" t="s">
        <v>26</v>
      </c>
      <c r="P91" t="s">
        <v>27</v>
      </c>
      <c r="Q91" t="s">
        <v>43</v>
      </c>
      <c r="R91" t="s">
        <v>43</v>
      </c>
      <c r="S91" t="s">
        <v>43</v>
      </c>
      <c r="T91" t="s">
        <v>28</v>
      </c>
      <c r="U91" t="s">
        <v>28</v>
      </c>
      <c r="V91" t="s">
        <v>28</v>
      </c>
      <c r="W91" s="16" t="s">
        <v>5629</v>
      </c>
      <c r="X91" t="s">
        <v>5624</v>
      </c>
      <c r="Y91" t="s">
        <v>4495</v>
      </c>
      <c r="Z91" t="s">
        <v>4358</v>
      </c>
      <c r="AA91" t="s">
        <v>5369</v>
      </c>
      <c r="AB91" t="s">
        <v>4471</v>
      </c>
      <c r="AC91" t="s">
        <v>4460</v>
      </c>
      <c r="AF91" t="s">
        <v>5439</v>
      </c>
      <c r="AG91" t="s">
        <v>5440</v>
      </c>
      <c r="AH91" t="s">
        <v>5442</v>
      </c>
      <c r="AI91" t="s">
        <v>4343</v>
      </c>
      <c r="AJ91">
        <f t="shared" si="0"/>
        <v>648</v>
      </c>
      <c r="AK91">
        <v>0</v>
      </c>
      <c r="AL91" t="s">
        <v>5409</v>
      </c>
      <c r="AM91" t="s">
        <v>4334</v>
      </c>
      <c r="AO91">
        <v>4</v>
      </c>
      <c r="AP91">
        <v>51.984397000000001</v>
      </c>
      <c r="AQ91">
        <v>5.6601929999999996</v>
      </c>
      <c r="AR91">
        <v>8</v>
      </c>
      <c r="AS91" t="s">
        <v>5459</v>
      </c>
      <c r="AT91">
        <f t="shared" si="1"/>
        <v>17</v>
      </c>
      <c r="AU91">
        <v>400</v>
      </c>
      <c r="AV91" s="21">
        <v>3.9487980018732438</v>
      </c>
      <c r="AW91" s="12"/>
      <c r="AX91" t="s">
        <v>5604</v>
      </c>
      <c r="AY91" t="s">
        <v>43</v>
      </c>
    </row>
    <row r="92" spans="1:52" x14ac:dyDescent="0.55000000000000004">
      <c r="A92" t="s">
        <v>2896</v>
      </c>
      <c r="B92" t="s">
        <v>2897</v>
      </c>
      <c r="C92">
        <v>2010</v>
      </c>
      <c r="D92" t="s">
        <v>186</v>
      </c>
      <c r="E92">
        <v>328</v>
      </c>
      <c r="F92">
        <v>1</v>
      </c>
      <c r="H92">
        <v>459</v>
      </c>
      <c r="I92">
        <v>470</v>
      </c>
      <c r="K92" s="2" t="s">
        <v>2898</v>
      </c>
      <c r="L92" s="2" t="s">
        <v>2899</v>
      </c>
      <c r="M92" t="s">
        <v>5051</v>
      </c>
      <c r="N92" t="s">
        <v>2900</v>
      </c>
      <c r="O92" t="s">
        <v>26</v>
      </c>
      <c r="P92" t="s">
        <v>27</v>
      </c>
      <c r="Q92" t="s">
        <v>43</v>
      </c>
      <c r="R92" t="s">
        <v>43</v>
      </c>
      <c r="S92" t="s">
        <v>43</v>
      </c>
      <c r="T92" t="s">
        <v>28</v>
      </c>
      <c r="U92" t="s">
        <v>28</v>
      </c>
      <c r="V92" t="s">
        <v>28</v>
      </c>
      <c r="W92" s="16" t="s">
        <v>5629</v>
      </c>
      <c r="X92" t="s">
        <v>5624</v>
      </c>
      <c r="Y92" t="s">
        <v>4495</v>
      </c>
      <c r="Z92" t="s">
        <v>4358</v>
      </c>
      <c r="AA92" t="s">
        <v>5369</v>
      </c>
      <c r="AB92" t="s">
        <v>4471</v>
      </c>
      <c r="AC92" t="s">
        <v>4460</v>
      </c>
      <c r="AF92" t="s">
        <v>5439</v>
      </c>
      <c r="AG92" t="s">
        <v>5443</v>
      </c>
      <c r="AH92" t="s">
        <v>5444</v>
      </c>
      <c r="AI92" t="s">
        <v>4343</v>
      </c>
      <c r="AJ92">
        <f t="shared" si="0"/>
        <v>648</v>
      </c>
      <c r="AK92">
        <v>0</v>
      </c>
      <c r="AL92" t="s">
        <v>5409</v>
      </c>
      <c r="AM92" t="s">
        <v>4334</v>
      </c>
      <c r="AO92">
        <v>4</v>
      </c>
      <c r="AP92">
        <v>51.984397000000001</v>
      </c>
      <c r="AQ92">
        <v>5.6601929999999996</v>
      </c>
      <c r="AR92">
        <v>3</v>
      </c>
      <c r="AS92" t="s">
        <v>5457</v>
      </c>
      <c r="AT92">
        <f t="shared" si="1"/>
        <v>17</v>
      </c>
      <c r="AU92">
        <v>400</v>
      </c>
      <c r="AV92" s="21">
        <v>2.7538268506900883</v>
      </c>
      <c r="AW92" s="12"/>
      <c r="AX92" t="s">
        <v>5604</v>
      </c>
      <c r="AY92" t="s">
        <v>43</v>
      </c>
    </row>
    <row r="93" spans="1:52" x14ac:dyDescent="0.55000000000000004">
      <c r="A93" t="s">
        <v>2896</v>
      </c>
      <c r="B93" t="s">
        <v>2897</v>
      </c>
      <c r="C93">
        <v>2010</v>
      </c>
      <c r="D93" t="s">
        <v>186</v>
      </c>
      <c r="E93">
        <v>328</v>
      </c>
      <c r="F93">
        <v>1</v>
      </c>
      <c r="H93">
        <v>459</v>
      </c>
      <c r="I93">
        <v>470</v>
      </c>
      <c r="K93" s="2" t="s">
        <v>2898</v>
      </c>
      <c r="L93" s="2" t="s">
        <v>2899</v>
      </c>
      <c r="M93" t="s">
        <v>5051</v>
      </c>
      <c r="N93" t="s">
        <v>2900</v>
      </c>
      <c r="O93" t="s">
        <v>26</v>
      </c>
      <c r="P93" t="s">
        <v>27</v>
      </c>
      <c r="Q93" t="s">
        <v>43</v>
      </c>
      <c r="R93" t="s">
        <v>43</v>
      </c>
      <c r="S93" t="s">
        <v>43</v>
      </c>
      <c r="T93" t="s">
        <v>28</v>
      </c>
      <c r="U93" t="s">
        <v>28</v>
      </c>
      <c r="V93" t="s">
        <v>28</v>
      </c>
      <c r="W93" s="16" t="s">
        <v>5629</v>
      </c>
      <c r="X93" t="s">
        <v>5624</v>
      </c>
      <c r="Y93" t="s">
        <v>4495</v>
      </c>
      <c r="Z93" t="s">
        <v>4358</v>
      </c>
      <c r="AA93" t="s">
        <v>5369</v>
      </c>
      <c r="AB93" t="s">
        <v>4471</v>
      </c>
      <c r="AC93" t="s">
        <v>4460</v>
      </c>
      <c r="AF93" t="s">
        <v>5439</v>
      </c>
      <c r="AG93" t="s">
        <v>5445</v>
      </c>
      <c r="AH93" t="s">
        <v>5446</v>
      </c>
      <c r="AI93" t="s">
        <v>4343</v>
      </c>
      <c r="AJ93">
        <f t="shared" si="0"/>
        <v>648</v>
      </c>
      <c r="AK93">
        <v>0</v>
      </c>
      <c r="AL93" t="s">
        <v>5409</v>
      </c>
      <c r="AM93" t="s">
        <v>4334</v>
      </c>
      <c r="AO93">
        <v>4</v>
      </c>
      <c r="AP93">
        <v>51.984397000000001</v>
      </c>
      <c r="AQ93">
        <v>5.6601929999999996</v>
      </c>
      <c r="AR93">
        <v>4</v>
      </c>
      <c r="AS93" t="s">
        <v>5460</v>
      </c>
      <c r="AT93">
        <f t="shared" si="1"/>
        <v>17</v>
      </c>
      <c r="AU93">
        <v>400</v>
      </c>
      <c r="AV93" s="21">
        <v>3.0430539609644089</v>
      </c>
      <c r="AW93" s="12"/>
      <c r="AX93" t="s">
        <v>5604</v>
      </c>
      <c r="AY93" t="s">
        <v>43</v>
      </c>
    </row>
    <row r="94" spans="1:52" x14ac:dyDescent="0.55000000000000004">
      <c r="A94" t="s">
        <v>2896</v>
      </c>
      <c r="B94" t="s">
        <v>2897</v>
      </c>
      <c r="C94">
        <v>2010</v>
      </c>
      <c r="D94" t="s">
        <v>186</v>
      </c>
      <c r="E94">
        <v>328</v>
      </c>
      <c r="F94">
        <v>1</v>
      </c>
      <c r="H94">
        <v>459</v>
      </c>
      <c r="I94">
        <v>470</v>
      </c>
      <c r="K94" s="2" t="s">
        <v>2898</v>
      </c>
      <c r="L94" s="2" t="s">
        <v>2899</v>
      </c>
      <c r="M94" t="s">
        <v>5051</v>
      </c>
      <c r="N94" t="s">
        <v>2900</v>
      </c>
      <c r="O94" t="s">
        <v>26</v>
      </c>
      <c r="P94" t="s">
        <v>27</v>
      </c>
      <c r="Q94" t="s">
        <v>43</v>
      </c>
      <c r="R94" t="s">
        <v>43</v>
      </c>
      <c r="S94" t="s">
        <v>43</v>
      </c>
      <c r="T94" t="s">
        <v>28</v>
      </c>
      <c r="U94" t="s">
        <v>28</v>
      </c>
      <c r="V94" t="s">
        <v>28</v>
      </c>
      <c r="W94" s="16" t="s">
        <v>5629</v>
      </c>
      <c r="X94" t="s">
        <v>5624</v>
      </c>
      <c r="Y94" t="s">
        <v>4495</v>
      </c>
      <c r="Z94" t="s">
        <v>4358</v>
      </c>
      <c r="AA94" t="s">
        <v>5369</v>
      </c>
      <c r="AB94" t="s">
        <v>4471</v>
      </c>
      <c r="AC94" t="s">
        <v>4460</v>
      </c>
      <c r="AF94" t="s">
        <v>5439</v>
      </c>
      <c r="AG94" t="s">
        <v>5447</v>
      </c>
      <c r="AH94" t="s">
        <v>5448</v>
      </c>
      <c r="AI94" t="s">
        <v>4343</v>
      </c>
      <c r="AJ94">
        <f t="shared" si="0"/>
        <v>648</v>
      </c>
      <c r="AK94">
        <v>0</v>
      </c>
      <c r="AL94" t="s">
        <v>5409</v>
      </c>
      <c r="AM94" t="s">
        <v>4334</v>
      </c>
      <c r="AO94">
        <v>4</v>
      </c>
      <c r="AP94">
        <v>51.984397000000001</v>
      </c>
      <c r="AQ94">
        <v>5.6601929999999996</v>
      </c>
      <c r="AR94">
        <v>6</v>
      </c>
      <c r="AS94" t="s">
        <v>5461</v>
      </c>
      <c r="AT94">
        <f t="shared" si="1"/>
        <v>17</v>
      </c>
      <c r="AU94">
        <v>400</v>
      </c>
      <c r="AV94" s="21">
        <v>2.2383707475121501</v>
      </c>
      <c r="AW94" s="12"/>
      <c r="AX94" t="s">
        <v>5604</v>
      </c>
      <c r="AY94" t="s">
        <v>43</v>
      </c>
    </row>
    <row r="95" spans="1:52" x14ac:dyDescent="0.55000000000000004">
      <c r="A95" t="s">
        <v>2896</v>
      </c>
      <c r="B95" t="s">
        <v>2897</v>
      </c>
      <c r="C95">
        <v>2010</v>
      </c>
      <c r="D95" t="s">
        <v>186</v>
      </c>
      <c r="E95">
        <v>328</v>
      </c>
      <c r="F95">
        <v>1</v>
      </c>
      <c r="H95">
        <v>459</v>
      </c>
      <c r="I95">
        <v>470</v>
      </c>
      <c r="K95" s="2" t="s">
        <v>2898</v>
      </c>
      <c r="L95" s="2" t="s">
        <v>2899</v>
      </c>
      <c r="M95" t="s">
        <v>5051</v>
      </c>
      <c r="N95" t="s">
        <v>2900</v>
      </c>
      <c r="O95" t="s">
        <v>26</v>
      </c>
      <c r="P95" t="s">
        <v>27</v>
      </c>
      <c r="Q95" t="s">
        <v>43</v>
      </c>
      <c r="R95" t="s">
        <v>43</v>
      </c>
      <c r="S95" t="s">
        <v>43</v>
      </c>
      <c r="T95" t="s">
        <v>28</v>
      </c>
      <c r="U95" t="s">
        <v>28</v>
      </c>
      <c r="V95" t="s">
        <v>28</v>
      </c>
      <c r="W95" s="16" t="s">
        <v>5629</v>
      </c>
      <c r="X95" t="s">
        <v>5624</v>
      </c>
      <c r="Y95" t="s">
        <v>4495</v>
      </c>
      <c r="Z95" t="s">
        <v>4358</v>
      </c>
      <c r="AA95" t="s">
        <v>5369</v>
      </c>
      <c r="AB95" t="s">
        <v>4471</v>
      </c>
      <c r="AC95" t="s">
        <v>4460</v>
      </c>
      <c r="AF95" t="s">
        <v>5439</v>
      </c>
      <c r="AG95" t="s">
        <v>5449</v>
      </c>
      <c r="AH95" t="s">
        <v>5450</v>
      </c>
      <c r="AI95" t="s">
        <v>4343</v>
      </c>
      <c r="AJ95">
        <f t="shared" si="0"/>
        <v>648</v>
      </c>
      <c r="AK95">
        <v>0</v>
      </c>
      <c r="AL95" t="s">
        <v>5409</v>
      </c>
      <c r="AM95" t="s">
        <v>4334</v>
      </c>
      <c r="AO95">
        <v>4</v>
      </c>
      <c r="AP95">
        <v>51.984397000000001</v>
      </c>
      <c r="AQ95">
        <v>5.6601929999999996</v>
      </c>
      <c r="AR95">
        <v>5</v>
      </c>
      <c r="AS95" t="s">
        <v>5462</v>
      </c>
      <c r="AT95">
        <f t="shared" si="1"/>
        <v>17</v>
      </c>
      <c r="AU95">
        <v>400</v>
      </c>
      <c r="AV95" s="21">
        <v>3.0830210435283947</v>
      </c>
      <c r="AW95" s="12"/>
      <c r="AX95" t="s">
        <v>5604</v>
      </c>
      <c r="AY95" t="s">
        <v>43</v>
      </c>
    </row>
    <row r="96" spans="1:52" x14ac:dyDescent="0.55000000000000004">
      <c r="A96" t="s">
        <v>2896</v>
      </c>
      <c r="B96" t="s">
        <v>2897</v>
      </c>
      <c r="C96">
        <v>2010</v>
      </c>
      <c r="D96" t="s">
        <v>186</v>
      </c>
      <c r="E96">
        <v>328</v>
      </c>
      <c r="F96">
        <v>1</v>
      </c>
      <c r="H96">
        <v>459</v>
      </c>
      <c r="I96">
        <v>470</v>
      </c>
      <c r="K96" s="2" t="s">
        <v>2898</v>
      </c>
      <c r="L96" s="2" t="s">
        <v>2899</v>
      </c>
      <c r="M96" t="s">
        <v>5051</v>
      </c>
      <c r="N96" t="s">
        <v>2900</v>
      </c>
      <c r="O96" t="s">
        <v>26</v>
      </c>
      <c r="P96" t="s">
        <v>27</v>
      </c>
      <c r="Q96" t="s">
        <v>43</v>
      </c>
      <c r="R96" t="s">
        <v>43</v>
      </c>
      <c r="S96" t="s">
        <v>43</v>
      </c>
      <c r="T96" t="s">
        <v>28</v>
      </c>
      <c r="U96" t="s">
        <v>28</v>
      </c>
      <c r="V96" t="s">
        <v>28</v>
      </c>
      <c r="W96" s="16" t="s">
        <v>5629</v>
      </c>
      <c r="X96" t="s">
        <v>5624</v>
      </c>
      <c r="Y96" t="s">
        <v>4495</v>
      </c>
      <c r="Z96" t="s">
        <v>4358</v>
      </c>
      <c r="AA96" t="s">
        <v>5369</v>
      </c>
      <c r="AB96" t="s">
        <v>4471</v>
      </c>
      <c r="AC96" t="s">
        <v>4460</v>
      </c>
      <c r="AF96" t="s">
        <v>5439</v>
      </c>
      <c r="AG96" t="s">
        <v>5449</v>
      </c>
      <c r="AH96" t="s">
        <v>5451</v>
      </c>
      <c r="AI96" t="s">
        <v>4343</v>
      </c>
      <c r="AJ96">
        <f t="shared" si="0"/>
        <v>648</v>
      </c>
      <c r="AK96">
        <v>0</v>
      </c>
      <c r="AL96" t="s">
        <v>5409</v>
      </c>
      <c r="AM96" t="s">
        <v>4334</v>
      </c>
      <c r="AO96">
        <v>4</v>
      </c>
      <c r="AP96">
        <v>51.984397000000001</v>
      </c>
      <c r="AQ96">
        <v>5.6601929999999996</v>
      </c>
      <c r="AR96">
        <v>12</v>
      </c>
      <c r="AS96" t="s">
        <v>5454</v>
      </c>
      <c r="AT96">
        <f t="shared" si="1"/>
        <v>17</v>
      </c>
      <c r="AU96">
        <v>400</v>
      </c>
      <c r="AV96" s="21">
        <v>2.131483715319662</v>
      </c>
      <c r="AW96" s="12"/>
      <c r="AX96" t="s">
        <v>5604</v>
      </c>
      <c r="AY96" t="s">
        <v>43</v>
      </c>
    </row>
    <row r="97" spans="1:52" x14ac:dyDescent="0.55000000000000004">
      <c r="A97" t="s">
        <v>2402</v>
      </c>
      <c r="B97" t="s">
        <v>4345</v>
      </c>
      <c r="C97">
        <v>2006</v>
      </c>
      <c r="D97" t="s">
        <v>60</v>
      </c>
      <c r="E97">
        <v>87</v>
      </c>
      <c r="F97">
        <v>4</v>
      </c>
      <c r="H97">
        <v>816</v>
      </c>
      <c r="I97">
        <v>822</v>
      </c>
      <c r="K97" s="2" t="s">
        <v>4346</v>
      </c>
      <c r="L97" s="2" t="s">
        <v>4347</v>
      </c>
      <c r="M97" t="s">
        <v>4348</v>
      </c>
      <c r="N97" t="s">
        <v>4349</v>
      </c>
      <c r="O97" t="s">
        <v>26</v>
      </c>
      <c r="P97" t="s">
        <v>27</v>
      </c>
      <c r="Q97" t="s">
        <v>43</v>
      </c>
      <c r="R97" t="s">
        <v>43</v>
      </c>
      <c r="S97" t="s">
        <v>28</v>
      </c>
      <c r="T97" t="s">
        <v>28</v>
      </c>
      <c r="U97" t="s">
        <v>28</v>
      </c>
      <c r="V97" t="s">
        <v>43</v>
      </c>
      <c r="W97" s="16" t="s">
        <v>5629</v>
      </c>
      <c r="X97" t="s">
        <v>5624</v>
      </c>
      <c r="Y97" t="s">
        <v>4495</v>
      </c>
      <c r="Z97" t="s">
        <v>4358</v>
      </c>
      <c r="AA97" t="s">
        <v>5369</v>
      </c>
      <c r="AB97" t="s">
        <v>4376</v>
      </c>
      <c r="AC97" t="s">
        <v>5367</v>
      </c>
      <c r="AE97" t="s">
        <v>5708</v>
      </c>
      <c r="AF97" t="s">
        <v>4356</v>
      </c>
      <c r="AG97" t="s">
        <v>4377</v>
      </c>
      <c r="AI97" t="s">
        <v>4464</v>
      </c>
      <c r="AL97" t="s">
        <v>5408</v>
      </c>
      <c r="AM97" t="s">
        <v>4355</v>
      </c>
      <c r="AO97">
        <v>3</v>
      </c>
      <c r="AP97">
        <v>68.633611110000004</v>
      </c>
      <c r="AQ97">
        <v>149.56694443999999</v>
      </c>
      <c r="AV97" s="21">
        <f>MEDIAN(8,17)</f>
        <v>12.5</v>
      </c>
      <c r="AW97" s="12">
        <f>STDEV(8,17)/SQRT(2)</f>
        <v>4.5</v>
      </c>
      <c r="AX97" t="s">
        <v>5544</v>
      </c>
      <c r="AZ97" s="19" t="s">
        <v>5680</v>
      </c>
    </row>
    <row r="98" spans="1:52" x14ac:dyDescent="0.55000000000000004">
      <c r="A98" t="s">
        <v>2402</v>
      </c>
      <c r="B98" t="s">
        <v>4345</v>
      </c>
      <c r="C98">
        <v>2006</v>
      </c>
      <c r="D98" t="s">
        <v>60</v>
      </c>
      <c r="E98">
        <v>87</v>
      </c>
      <c r="F98">
        <v>4</v>
      </c>
      <c r="H98">
        <v>816</v>
      </c>
      <c r="I98">
        <v>822</v>
      </c>
      <c r="K98" s="2" t="s">
        <v>4346</v>
      </c>
      <c r="L98" s="2" t="s">
        <v>4347</v>
      </c>
      <c r="M98" t="s">
        <v>4348</v>
      </c>
      <c r="N98" t="s">
        <v>4349</v>
      </c>
      <c r="O98" t="s">
        <v>26</v>
      </c>
      <c r="P98" t="s">
        <v>27</v>
      </c>
      <c r="Q98" t="s">
        <v>43</v>
      </c>
      <c r="R98" t="s">
        <v>43</v>
      </c>
      <c r="S98" t="s">
        <v>28</v>
      </c>
      <c r="T98" t="s">
        <v>28</v>
      </c>
      <c r="U98" t="s">
        <v>28</v>
      </c>
      <c r="V98" t="s">
        <v>43</v>
      </c>
      <c r="W98" s="16" t="s">
        <v>5629</v>
      </c>
      <c r="X98" t="s">
        <v>5624</v>
      </c>
      <c r="Y98" t="s">
        <v>4495</v>
      </c>
      <c r="Z98" t="s">
        <v>4358</v>
      </c>
      <c r="AA98" t="s">
        <v>5369</v>
      </c>
      <c r="AB98" t="s">
        <v>4375</v>
      </c>
      <c r="AC98" t="s">
        <v>4369</v>
      </c>
      <c r="AE98" t="s">
        <v>5708</v>
      </c>
      <c r="AF98" t="s">
        <v>4356</v>
      </c>
      <c r="AG98" t="s">
        <v>4377</v>
      </c>
      <c r="AI98" t="s">
        <v>4464</v>
      </c>
      <c r="AL98" t="s">
        <v>5408</v>
      </c>
      <c r="AM98" t="s">
        <v>4355</v>
      </c>
      <c r="AO98">
        <v>3</v>
      </c>
      <c r="AP98">
        <v>68.633611110000004</v>
      </c>
      <c r="AQ98">
        <v>149.56694443999999</v>
      </c>
      <c r="AV98" s="21">
        <f>MEDIAN(8,17)</f>
        <v>12.5</v>
      </c>
      <c r="AW98" s="12">
        <f>STDEV(8,17)/SQRT(2)</f>
        <v>4.5</v>
      </c>
      <c r="AX98" t="s">
        <v>5555</v>
      </c>
    </row>
    <row r="99" spans="1:52" x14ac:dyDescent="0.55000000000000004">
      <c r="A99" t="s">
        <v>5401</v>
      </c>
      <c r="B99" t="s">
        <v>5402</v>
      </c>
      <c r="C99">
        <v>2000</v>
      </c>
      <c r="D99" t="s">
        <v>68</v>
      </c>
      <c r="E99">
        <v>146</v>
      </c>
      <c r="H99">
        <v>163</v>
      </c>
      <c r="I99">
        <v>168</v>
      </c>
      <c r="K99" s="14" t="s">
        <v>3873</v>
      </c>
      <c r="L99" s="14" t="s">
        <v>5403</v>
      </c>
      <c r="M99" t="s">
        <v>5404</v>
      </c>
      <c r="N99" t="s">
        <v>5405</v>
      </c>
      <c r="O99" t="s">
        <v>26</v>
      </c>
      <c r="P99" t="s">
        <v>4384</v>
      </c>
      <c r="Q99" t="s">
        <v>43</v>
      </c>
      <c r="R99" t="s">
        <v>43</v>
      </c>
      <c r="S99" t="s">
        <v>43</v>
      </c>
      <c r="T99" t="s">
        <v>43</v>
      </c>
      <c r="U99" t="s">
        <v>43</v>
      </c>
      <c r="V99" t="s">
        <v>28</v>
      </c>
      <c r="W99" s="5" t="s">
        <v>4336</v>
      </c>
      <c r="X99" t="s">
        <v>5624</v>
      </c>
      <c r="Y99" t="s">
        <v>4495</v>
      </c>
      <c r="Z99" t="s">
        <v>4358</v>
      </c>
      <c r="AA99" t="s">
        <v>5369</v>
      </c>
      <c r="AB99" t="s">
        <v>4471</v>
      </c>
      <c r="AC99" t="s">
        <v>4460</v>
      </c>
      <c r="AE99" t="s">
        <v>5709</v>
      </c>
      <c r="AF99" t="s">
        <v>4356</v>
      </c>
      <c r="AG99" t="s">
        <v>5406</v>
      </c>
      <c r="AH99" t="s">
        <v>4524</v>
      </c>
      <c r="AI99" t="s">
        <v>4343</v>
      </c>
      <c r="AJ99">
        <f>28*24</f>
        <v>672</v>
      </c>
      <c r="AK99">
        <v>0</v>
      </c>
      <c r="AL99" t="s">
        <v>5408</v>
      </c>
      <c r="AM99" t="s">
        <v>4334</v>
      </c>
      <c r="AO99">
        <v>4</v>
      </c>
      <c r="AP99">
        <v>51.984397000000001</v>
      </c>
      <c r="AQ99">
        <v>5.6601929999999996</v>
      </c>
      <c r="AS99" t="s">
        <v>5410</v>
      </c>
      <c r="AT99">
        <f>AVERAGE(20,14)</f>
        <v>17</v>
      </c>
      <c r="AU99">
        <v>400</v>
      </c>
      <c r="AV99" s="21">
        <v>8</v>
      </c>
      <c r="AW99" s="12"/>
      <c r="AX99" t="s">
        <v>5601</v>
      </c>
      <c r="AY99" t="s">
        <v>43</v>
      </c>
      <c r="AZ99" s="19" t="s">
        <v>5422</v>
      </c>
    </row>
    <row r="100" spans="1:52" x14ac:dyDescent="0.55000000000000004">
      <c r="A100" t="s">
        <v>5401</v>
      </c>
      <c r="B100" t="s">
        <v>5677</v>
      </c>
      <c r="C100">
        <v>2000</v>
      </c>
      <c r="D100" t="s">
        <v>68</v>
      </c>
      <c r="E100">
        <v>146</v>
      </c>
      <c r="H100">
        <v>163</v>
      </c>
      <c r="I100">
        <v>168</v>
      </c>
      <c r="K100" s="14" t="s">
        <v>3873</v>
      </c>
      <c r="L100" s="14" t="s">
        <v>5403</v>
      </c>
      <c r="M100" t="s">
        <v>5404</v>
      </c>
      <c r="N100" t="s">
        <v>5405</v>
      </c>
      <c r="O100" t="s">
        <v>26</v>
      </c>
      <c r="P100" t="s">
        <v>4384</v>
      </c>
      <c r="Q100" t="s">
        <v>43</v>
      </c>
      <c r="R100" t="s">
        <v>43</v>
      </c>
      <c r="S100" t="s">
        <v>43</v>
      </c>
      <c r="T100" t="s">
        <v>43</v>
      </c>
      <c r="U100" t="s">
        <v>43</v>
      </c>
      <c r="V100" t="s">
        <v>28</v>
      </c>
      <c r="W100" s="5" t="s">
        <v>4336</v>
      </c>
      <c r="X100" t="s">
        <v>5624</v>
      </c>
      <c r="Y100" t="s">
        <v>4495</v>
      </c>
      <c r="Z100" t="s">
        <v>4358</v>
      </c>
      <c r="AA100" t="s">
        <v>5369</v>
      </c>
      <c r="AB100" t="s">
        <v>4471</v>
      </c>
      <c r="AC100" t="s">
        <v>4460</v>
      </c>
      <c r="AE100" t="s">
        <v>5709</v>
      </c>
      <c r="AF100" t="s">
        <v>4356</v>
      </c>
      <c r="AG100" t="s">
        <v>5406</v>
      </c>
      <c r="AH100" t="s">
        <v>4524</v>
      </c>
      <c r="AI100" t="s">
        <v>4343</v>
      </c>
      <c r="AJ100">
        <f>28*24</f>
        <v>672</v>
      </c>
      <c r="AK100">
        <v>0</v>
      </c>
      <c r="AL100" t="s">
        <v>5409</v>
      </c>
      <c r="AM100" t="s">
        <v>4334</v>
      </c>
      <c r="AO100">
        <v>4</v>
      </c>
      <c r="AP100">
        <v>51.984397000000001</v>
      </c>
      <c r="AQ100">
        <v>5.6601929999999996</v>
      </c>
      <c r="AS100" t="s">
        <v>5411</v>
      </c>
      <c r="AT100">
        <f>AVERAGE(20,14)</f>
        <v>17</v>
      </c>
      <c r="AU100">
        <v>400</v>
      </c>
      <c r="AV100" s="21">
        <v>7</v>
      </c>
      <c r="AW100" s="12"/>
      <c r="AX100" t="s">
        <v>5602</v>
      </c>
      <c r="AY100" t="s">
        <v>43</v>
      </c>
    </row>
    <row r="101" spans="1:52" x14ac:dyDescent="0.55000000000000004">
      <c r="A101" t="s">
        <v>5401</v>
      </c>
      <c r="B101" t="s">
        <v>5402</v>
      </c>
      <c r="C101">
        <v>2000</v>
      </c>
      <c r="D101" t="s">
        <v>68</v>
      </c>
      <c r="E101">
        <v>146</v>
      </c>
      <c r="H101">
        <v>163</v>
      </c>
      <c r="I101">
        <v>168</v>
      </c>
      <c r="K101" s="14" t="s">
        <v>3873</v>
      </c>
      <c r="L101" s="14" t="s">
        <v>5403</v>
      </c>
      <c r="M101" t="s">
        <v>5404</v>
      </c>
      <c r="N101" t="s">
        <v>5405</v>
      </c>
      <c r="O101" t="s">
        <v>26</v>
      </c>
      <c r="P101" t="s">
        <v>4384</v>
      </c>
      <c r="Q101" t="s">
        <v>43</v>
      </c>
      <c r="R101" t="s">
        <v>43</v>
      </c>
      <c r="S101" t="s">
        <v>43</v>
      </c>
      <c r="T101" t="s">
        <v>43</v>
      </c>
      <c r="U101" t="s">
        <v>43</v>
      </c>
      <c r="V101" t="s">
        <v>28</v>
      </c>
      <c r="W101" s="5" t="s">
        <v>4336</v>
      </c>
      <c r="X101" t="s">
        <v>5624</v>
      </c>
      <c r="Y101" t="s">
        <v>4495</v>
      </c>
      <c r="Z101" t="s">
        <v>4358</v>
      </c>
      <c r="AA101" t="s">
        <v>5369</v>
      </c>
      <c r="AB101" t="s">
        <v>4471</v>
      </c>
      <c r="AC101" t="s">
        <v>4460</v>
      </c>
      <c r="AE101" t="s">
        <v>5709</v>
      </c>
      <c r="AF101" t="s">
        <v>4356</v>
      </c>
      <c r="AG101" t="s">
        <v>4581</v>
      </c>
      <c r="AH101" t="s">
        <v>5407</v>
      </c>
      <c r="AI101" t="s">
        <v>4343</v>
      </c>
      <c r="AJ101">
        <f>28*24</f>
        <v>672</v>
      </c>
      <c r="AK101">
        <v>0</v>
      </c>
      <c r="AL101" t="s">
        <v>5408</v>
      </c>
      <c r="AM101" t="s">
        <v>4334</v>
      </c>
      <c r="AO101">
        <v>4</v>
      </c>
      <c r="AP101">
        <v>51.984397000000001</v>
      </c>
      <c r="AQ101">
        <v>5.6601929999999996</v>
      </c>
      <c r="AS101" t="s">
        <v>5412</v>
      </c>
      <c r="AT101">
        <f>AVERAGE(20,14)</f>
        <v>17</v>
      </c>
      <c r="AU101">
        <v>400</v>
      </c>
      <c r="AV101" s="21">
        <v>12</v>
      </c>
      <c r="AW101" s="12"/>
      <c r="AX101" t="s">
        <v>5603</v>
      </c>
      <c r="AY101" t="s">
        <v>43</v>
      </c>
    </row>
    <row r="102" spans="1:52" x14ac:dyDescent="0.55000000000000004">
      <c r="A102" t="s">
        <v>5401</v>
      </c>
      <c r="B102" t="s">
        <v>5402</v>
      </c>
      <c r="C102">
        <v>2000</v>
      </c>
      <c r="D102" t="s">
        <v>68</v>
      </c>
      <c r="E102">
        <v>146</v>
      </c>
      <c r="H102">
        <v>163</v>
      </c>
      <c r="I102">
        <v>168</v>
      </c>
      <c r="K102" s="14" t="s">
        <v>3873</v>
      </c>
      <c r="L102" s="14" t="s">
        <v>5403</v>
      </c>
      <c r="M102" t="s">
        <v>5404</v>
      </c>
      <c r="N102" t="s">
        <v>5405</v>
      </c>
      <c r="O102" t="s">
        <v>26</v>
      </c>
      <c r="P102" t="s">
        <v>4384</v>
      </c>
      <c r="Q102" t="s">
        <v>43</v>
      </c>
      <c r="R102" t="s">
        <v>43</v>
      </c>
      <c r="S102" t="s">
        <v>43</v>
      </c>
      <c r="T102" t="s">
        <v>43</v>
      </c>
      <c r="U102" t="s">
        <v>43</v>
      </c>
      <c r="V102" t="s">
        <v>28</v>
      </c>
      <c r="W102" s="5" t="s">
        <v>4336</v>
      </c>
      <c r="X102" t="s">
        <v>5624</v>
      </c>
      <c r="Y102" t="s">
        <v>4495</v>
      </c>
      <c r="Z102" t="s">
        <v>4358</v>
      </c>
      <c r="AA102" t="s">
        <v>5369</v>
      </c>
      <c r="AB102" t="s">
        <v>4471</v>
      </c>
      <c r="AC102" t="s">
        <v>4460</v>
      </c>
      <c r="AE102" t="s">
        <v>5709</v>
      </c>
      <c r="AF102" t="s">
        <v>4356</v>
      </c>
      <c r="AG102" t="s">
        <v>4581</v>
      </c>
      <c r="AH102" t="s">
        <v>5407</v>
      </c>
      <c r="AI102" t="s">
        <v>4343</v>
      </c>
      <c r="AJ102">
        <f>28*24</f>
        <v>672</v>
      </c>
      <c r="AK102">
        <v>0</v>
      </c>
      <c r="AL102" t="s">
        <v>5409</v>
      </c>
      <c r="AM102" t="s">
        <v>4334</v>
      </c>
      <c r="AO102">
        <v>4</v>
      </c>
      <c r="AP102">
        <v>51.984397000000001</v>
      </c>
      <c r="AQ102">
        <v>5.6601929999999996</v>
      </c>
      <c r="AS102" t="s">
        <v>5413</v>
      </c>
      <c r="AT102">
        <f>AVERAGE(20,14)</f>
        <v>17</v>
      </c>
      <c r="AU102">
        <v>400</v>
      </c>
      <c r="AV102" s="21">
        <v>25</v>
      </c>
      <c r="AW102" s="12"/>
      <c r="AX102" t="s">
        <v>5603</v>
      </c>
      <c r="AY102" t="s">
        <v>43</v>
      </c>
    </row>
    <row r="103" spans="1:52" x14ac:dyDescent="0.55000000000000004">
      <c r="A103" t="s">
        <v>5417</v>
      </c>
      <c r="B103" t="s">
        <v>3801</v>
      </c>
      <c r="C103">
        <v>2000</v>
      </c>
      <c r="D103" t="s">
        <v>68</v>
      </c>
      <c r="E103">
        <v>149</v>
      </c>
      <c r="H103">
        <v>137</v>
      </c>
      <c r="I103">
        <v>146</v>
      </c>
      <c r="K103" s="14" t="s">
        <v>3802</v>
      </c>
      <c r="L103" s="14" t="s">
        <v>5418</v>
      </c>
      <c r="M103" t="s">
        <v>5419</v>
      </c>
      <c r="O103" t="s">
        <v>26</v>
      </c>
      <c r="P103" t="s">
        <v>4384</v>
      </c>
      <c r="Q103" t="s">
        <v>43</v>
      </c>
      <c r="R103" t="s">
        <v>28</v>
      </c>
      <c r="S103" t="s">
        <v>43</v>
      </c>
      <c r="T103" t="s">
        <v>28</v>
      </c>
      <c r="U103" t="s">
        <v>28</v>
      </c>
      <c r="V103" t="s">
        <v>28</v>
      </c>
      <c r="W103" s="5" t="s">
        <v>4336</v>
      </c>
      <c r="X103" t="s">
        <v>5624</v>
      </c>
      <c r="Y103" t="s">
        <v>4495</v>
      </c>
      <c r="Z103" t="s">
        <v>4358</v>
      </c>
      <c r="AA103" t="s">
        <v>5369</v>
      </c>
      <c r="AB103" t="s">
        <v>4471</v>
      </c>
      <c r="AC103" t="s">
        <v>5414</v>
      </c>
      <c r="AE103" t="s">
        <v>5709</v>
      </c>
      <c r="AF103" t="s">
        <v>4356</v>
      </c>
      <c r="AG103" s="9" t="s">
        <v>5415</v>
      </c>
      <c r="AH103" t="s">
        <v>5420</v>
      </c>
      <c r="AI103" t="s">
        <v>5421</v>
      </c>
      <c r="AL103" t="s">
        <v>5408</v>
      </c>
      <c r="AM103" t="s">
        <v>4334</v>
      </c>
      <c r="AP103">
        <v>35.716493</v>
      </c>
      <c r="AQ103">
        <v>139.760696</v>
      </c>
      <c r="AT103">
        <f>AVERAGE(25,28)</f>
        <v>26.5</v>
      </c>
      <c r="AU103">
        <v>500</v>
      </c>
      <c r="AV103" s="21"/>
      <c r="AW103" s="12"/>
      <c r="AX103" t="s">
        <v>5617</v>
      </c>
      <c r="AY103" t="s">
        <v>43</v>
      </c>
      <c r="AZ103" s="19" t="s">
        <v>5702</v>
      </c>
    </row>
    <row r="104" spans="1:52" x14ac:dyDescent="0.55000000000000004">
      <c r="A104" t="s">
        <v>1941</v>
      </c>
      <c r="B104" t="s">
        <v>1942</v>
      </c>
      <c r="C104">
        <v>2015</v>
      </c>
      <c r="D104" t="s">
        <v>68</v>
      </c>
      <c r="E104">
        <v>208</v>
      </c>
      <c r="F104">
        <v>1</v>
      </c>
      <c r="H104">
        <v>280</v>
      </c>
      <c r="I104">
        <v>293</v>
      </c>
      <c r="K104" s="2" t="s">
        <v>1943</v>
      </c>
      <c r="L104" s="2" t="s">
        <v>1944</v>
      </c>
      <c r="M104" t="s">
        <v>1945</v>
      </c>
      <c r="N104" t="s">
        <v>1946</v>
      </c>
      <c r="O104" t="s">
        <v>26</v>
      </c>
      <c r="P104" t="s">
        <v>27</v>
      </c>
      <c r="Q104" t="s">
        <v>43</v>
      </c>
      <c r="R104" t="s">
        <v>28</v>
      </c>
      <c r="S104" t="s">
        <v>43</v>
      </c>
      <c r="T104" t="s">
        <v>43</v>
      </c>
      <c r="U104" t="s">
        <v>43</v>
      </c>
      <c r="V104" t="s">
        <v>43</v>
      </c>
      <c r="W104" s="16" t="s">
        <v>5629</v>
      </c>
      <c r="X104" t="s">
        <v>5624</v>
      </c>
      <c r="Y104" t="s">
        <v>4500</v>
      </c>
      <c r="Z104" s="2" t="s">
        <v>4358</v>
      </c>
      <c r="AA104" t="s">
        <v>5369</v>
      </c>
      <c r="AB104" s="2" t="s">
        <v>4416</v>
      </c>
      <c r="AC104" t="s">
        <v>5367</v>
      </c>
      <c r="AE104" t="s">
        <v>5708</v>
      </c>
      <c r="AF104" t="s">
        <v>4356</v>
      </c>
      <c r="AJ104" t="s">
        <v>4415</v>
      </c>
      <c r="AK104" t="s">
        <v>4336</v>
      </c>
      <c r="AM104" t="s">
        <v>4355</v>
      </c>
      <c r="AO104">
        <v>6</v>
      </c>
    </row>
    <row r="105" spans="1:52" x14ac:dyDescent="0.55000000000000004">
      <c r="A105" t="s">
        <v>337</v>
      </c>
      <c r="B105" t="s">
        <v>338</v>
      </c>
      <c r="C105">
        <v>2021</v>
      </c>
      <c r="D105" t="s">
        <v>68</v>
      </c>
      <c r="E105">
        <v>232</v>
      </c>
      <c r="F105">
        <v>4</v>
      </c>
      <c r="H105">
        <v>1839</v>
      </c>
      <c r="I105">
        <v>1848</v>
      </c>
      <c r="K105" s="2" t="s">
        <v>339</v>
      </c>
      <c r="L105" s="2" t="s">
        <v>340</v>
      </c>
      <c r="M105" t="s">
        <v>341</v>
      </c>
      <c r="N105" t="s">
        <v>342</v>
      </c>
      <c r="O105" t="s">
        <v>26</v>
      </c>
      <c r="P105" t="s">
        <v>27</v>
      </c>
      <c r="Q105" t="s">
        <v>43</v>
      </c>
      <c r="R105" t="s">
        <v>28</v>
      </c>
      <c r="S105" t="s">
        <v>28</v>
      </c>
      <c r="T105" t="s">
        <v>28</v>
      </c>
      <c r="U105" t="s">
        <v>28</v>
      </c>
      <c r="V105" t="s">
        <v>28</v>
      </c>
      <c r="W105" s="16" t="s">
        <v>5629</v>
      </c>
      <c r="X105" t="s">
        <v>5624</v>
      </c>
      <c r="Y105" t="s">
        <v>4495</v>
      </c>
      <c r="Z105" t="s">
        <v>4358</v>
      </c>
      <c r="AB105" t="s">
        <v>4471</v>
      </c>
      <c r="AC105" t="s">
        <v>4460</v>
      </c>
      <c r="AE105" t="s">
        <v>5709</v>
      </c>
      <c r="AF105" t="s">
        <v>4356</v>
      </c>
      <c r="AG105" t="s">
        <v>4419</v>
      </c>
      <c r="AH105" t="s">
        <v>4420</v>
      </c>
      <c r="AI105" t="s">
        <v>4336</v>
      </c>
      <c r="AJ105" t="s">
        <v>4336</v>
      </c>
      <c r="AK105" t="s">
        <v>4336</v>
      </c>
      <c r="AM105" t="s">
        <v>4355</v>
      </c>
      <c r="AO105">
        <v>5</v>
      </c>
      <c r="AP105">
        <v>64.650000000000006</v>
      </c>
      <c r="AQ105">
        <v>18.5</v>
      </c>
      <c r="AS105" t="s">
        <v>4508</v>
      </c>
      <c r="AT105">
        <v>1</v>
      </c>
      <c r="AX105" t="s">
        <v>4506</v>
      </c>
    </row>
    <row r="106" spans="1:52" x14ac:dyDescent="0.55000000000000004">
      <c r="A106" t="s">
        <v>337</v>
      </c>
      <c r="B106" t="s">
        <v>338</v>
      </c>
      <c r="C106">
        <v>2021</v>
      </c>
      <c r="D106" t="s">
        <v>68</v>
      </c>
      <c r="E106">
        <v>232</v>
      </c>
      <c r="F106">
        <v>4</v>
      </c>
      <c r="H106">
        <v>1839</v>
      </c>
      <c r="I106">
        <v>1848</v>
      </c>
      <c r="K106" s="2" t="s">
        <v>339</v>
      </c>
      <c r="L106" s="2" t="s">
        <v>340</v>
      </c>
      <c r="M106" t="s">
        <v>341</v>
      </c>
      <c r="N106" t="s">
        <v>342</v>
      </c>
      <c r="O106" t="s">
        <v>26</v>
      </c>
      <c r="P106" t="s">
        <v>27</v>
      </c>
      <c r="Q106" t="s">
        <v>43</v>
      </c>
      <c r="R106" t="s">
        <v>28</v>
      </c>
      <c r="S106" t="s">
        <v>28</v>
      </c>
      <c r="T106" t="s">
        <v>28</v>
      </c>
      <c r="U106" t="s">
        <v>28</v>
      </c>
      <c r="V106" t="s">
        <v>28</v>
      </c>
      <c r="W106" s="16" t="s">
        <v>5629</v>
      </c>
      <c r="X106" t="s">
        <v>5624</v>
      </c>
      <c r="Y106" t="s">
        <v>4495</v>
      </c>
      <c r="Z106" t="s">
        <v>4358</v>
      </c>
      <c r="AB106" t="s">
        <v>4484</v>
      </c>
      <c r="AC106" t="s">
        <v>4485</v>
      </c>
      <c r="AE106" t="s">
        <v>5709</v>
      </c>
      <c r="AF106" t="s">
        <v>4356</v>
      </c>
      <c r="AG106" t="s">
        <v>4419</v>
      </c>
      <c r="AH106" t="s">
        <v>4420</v>
      </c>
      <c r="AI106" t="s">
        <v>4336</v>
      </c>
      <c r="AJ106" t="s">
        <v>4336</v>
      </c>
      <c r="AK106" t="s">
        <v>4336</v>
      </c>
      <c r="AM106" t="s">
        <v>4355</v>
      </c>
      <c r="AO106">
        <v>5</v>
      </c>
      <c r="AP106">
        <v>64.650000000000006</v>
      </c>
      <c r="AQ106">
        <v>18.5</v>
      </c>
      <c r="AS106" t="s">
        <v>4509</v>
      </c>
      <c r="AT106">
        <v>1</v>
      </c>
      <c r="AX106" t="s">
        <v>4505</v>
      </c>
    </row>
    <row r="107" spans="1:52" x14ac:dyDescent="0.55000000000000004">
      <c r="A107" t="s">
        <v>337</v>
      </c>
      <c r="B107" t="s">
        <v>338</v>
      </c>
      <c r="C107">
        <v>2021</v>
      </c>
      <c r="D107" t="s">
        <v>68</v>
      </c>
      <c r="E107">
        <v>232</v>
      </c>
      <c r="F107">
        <v>4</v>
      </c>
      <c r="H107">
        <v>1839</v>
      </c>
      <c r="I107">
        <v>1848</v>
      </c>
      <c r="K107" s="2" t="s">
        <v>339</v>
      </c>
      <c r="L107" s="2" t="s">
        <v>340</v>
      </c>
      <c r="M107" t="s">
        <v>341</v>
      </c>
      <c r="N107" t="s">
        <v>342</v>
      </c>
      <c r="O107" t="s">
        <v>26</v>
      </c>
      <c r="P107" t="s">
        <v>27</v>
      </c>
      <c r="Q107" t="s">
        <v>43</v>
      </c>
      <c r="R107" t="s">
        <v>28</v>
      </c>
      <c r="S107" t="s">
        <v>28</v>
      </c>
      <c r="T107" t="s">
        <v>28</v>
      </c>
      <c r="U107" t="s">
        <v>28</v>
      </c>
      <c r="V107" t="s">
        <v>28</v>
      </c>
      <c r="W107" s="16" t="s">
        <v>5629</v>
      </c>
      <c r="X107" t="s">
        <v>5624</v>
      </c>
      <c r="Y107" t="s">
        <v>4495</v>
      </c>
      <c r="Z107" t="s">
        <v>4358</v>
      </c>
      <c r="AB107" t="s">
        <v>4484</v>
      </c>
      <c r="AC107" t="s">
        <v>4485</v>
      </c>
      <c r="AE107" t="s">
        <v>5709</v>
      </c>
      <c r="AF107" t="s">
        <v>4356</v>
      </c>
      <c r="AG107" t="s">
        <v>4419</v>
      </c>
      <c r="AH107" t="s">
        <v>4420</v>
      </c>
      <c r="AI107" t="s">
        <v>4336</v>
      </c>
      <c r="AJ107" t="s">
        <v>4336</v>
      </c>
      <c r="AK107" t="s">
        <v>4336</v>
      </c>
      <c r="AM107" t="s">
        <v>4355</v>
      </c>
      <c r="AO107">
        <v>5</v>
      </c>
      <c r="AP107">
        <v>64.650000000000006</v>
      </c>
      <c r="AQ107">
        <v>18.5</v>
      </c>
      <c r="AS107" t="s">
        <v>4510</v>
      </c>
      <c r="AT107">
        <v>1</v>
      </c>
      <c r="AX107" t="s">
        <v>4507</v>
      </c>
    </row>
    <row r="108" spans="1:52" x14ac:dyDescent="0.55000000000000004">
      <c r="A108" t="s">
        <v>1170</v>
      </c>
      <c r="B108" t="s">
        <v>1171</v>
      </c>
      <c r="C108">
        <v>2019</v>
      </c>
      <c r="D108" t="s">
        <v>186</v>
      </c>
      <c r="E108">
        <v>434</v>
      </c>
      <c r="F108" s="4">
        <v>44563</v>
      </c>
      <c r="H108">
        <v>363</v>
      </c>
      <c r="I108">
        <v>378</v>
      </c>
      <c r="K108" s="2" t="s">
        <v>1172</v>
      </c>
      <c r="L108" s="2" t="s">
        <v>1173</v>
      </c>
      <c r="M108" t="s">
        <v>4634</v>
      </c>
      <c r="N108" t="s">
        <v>1174</v>
      </c>
      <c r="O108" t="s">
        <v>26</v>
      </c>
      <c r="P108" t="s">
        <v>27</v>
      </c>
      <c r="Q108" t="s">
        <v>43</v>
      </c>
      <c r="R108" t="s">
        <v>43</v>
      </c>
      <c r="S108" t="s">
        <v>28</v>
      </c>
      <c r="T108" t="s">
        <v>28</v>
      </c>
      <c r="U108" t="s">
        <v>28</v>
      </c>
      <c r="V108" t="s">
        <v>28</v>
      </c>
      <c r="W108" s="16" t="s">
        <v>5629</v>
      </c>
      <c r="X108" t="s">
        <v>5624</v>
      </c>
      <c r="Y108" t="s">
        <v>5490</v>
      </c>
      <c r="Z108" t="s">
        <v>4358</v>
      </c>
      <c r="AA108" t="s">
        <v>5369</v>
      </c>
      <c r="AB108" t="s">
        <v>5366</v>
      </c>
      <c r="AC108" t="s">
        <v>5367</v>
      </c>
      <c r="AE108" t="s">
        <v>5708</v>
      </c>
      <c r="AF108" t="s">
        <v>4356</v>
      </c>
      <c r="AG108" t="s">
        <v>4419</v>
      </c>
      <c r="AH108" t="s">
        <v>4420</v>
      </c>
      <c r="AI108" t="s">
        <v>4464</v>
      </c>
      <c r="AL108" t="s">
        <v>5408</v>
      </c>
      <c r="AM108" t="s">
        <v>4355</v>
      </c>
      <c r="AO108">
        <v>5</v>
      </c>
      <c r="AP108">
        <v>51.1</v>
      </c>
      <c r="AQ108">
        <v>3.85</v>
      </c>
      <c r="AV108" s="21">
        <f>2/10</f>
        <v>0.2</v>
      </c>
      <c r="AW108" s="12"/>
      <c r="AX108" t="s">
        <v>5608</v>
      </c>
    </row>
    <row r="109" spans="1:52" x14ac:dyDescent="0.55000000000000004">
      <c r="A109" t="s">
        <v>4451</v>
      </c>
      <c r="B109" t="s">
        <v>4646</v>
      </c>
      <c r="C109">
        <v>2018</v>
      </c>
      <c r="D109" t="s">
        <v>4452</v>
      </c>
      <c r="E109" t="s">
        <v>4453</v>
      </c>
      <c r="H109">
        <v>420</v>
      </c>
      <c r="I109">
        <v>430</v>
      </c>
      <c r="K109" s="2" t="s">
        <v>4454</v>
      </c>
      <c r="L109" s="2" t="s">
        <v>4455</v>
      </c>
      <c r="O109" t="s">
        <v>26</v>
      </c>
      <c r="P109" t="s">
        <v>4384</v>
      </c>
      <c r="Q109" t="s">
        <v>43</v>
      </c>
      <c r="R109" t="s">
        <v>28</v>
      </c>
      <c r="S109" t="s">
        <v>28</v>
      </c>
      <c r="T109" t="s">
        <v>43</v>
      </c>
      <c r="U109" t="s">
        <v>28</v>
      </c>
      <c r="V109" t="s">
        <v>43</v>
      </c>
      <c r="W109" t="s">
        <v>4336</v>
      </c>
      <c r="X109" t="s">
        <v>5624</v>
      </c>
      <c r="Y109" t="s">
        <v>4495</v>
      </c>
      <c r="Z109" t="s">
        <v>4358</v>
      </c>
      <c r="AA109" t="s">
        <v>5369</v>
      </c>
      <c r="AB109" t="s">
        <v>4456</v>
      </c>
      <c r="AC109" t="s">
        <v>4457</v>
      </c>
      <c r="AE109" t="s">
        <v>5708</v>
      </c>
      <c r="AF109" t="s">
        <v>4356</v>
      </c>
      <c r="AG109" t="s">
        <v>4419</v>
      </c>
      <c r="AH109" t="s">
        <v>4420</v>
      </c>
      <c r="AI109" t="s">
        <v>4499</v>
      </c>
      <c r="AL109" t="s">
        <v>5408</v>
      </c>
      <c r="AM109" t="s">
        <v>4355</v>
      </c>
      <c r="AO109">
        <v>12</v>
      </c>
      <c r="AP109">
        <v>44.1</v>
      </c>
      <c r="AQ109">
        <v>71.05</v>
      </c>
      <c r="AT109">
        <v>20</v>
      </c>
      <c r="AV109" s="21"/>
      <c r="AW109" s="12"/>
      <c r="AX109" t="s">
        <v>5618</v>
      </c>
    </row>
    <row r="110" spans="1:52" x14ac:dyDescent="0.55000000000000004">
      <c r="A110" t="s">
        <v>1559</v>
      </c>
      <c r="B110" t="s">
        <v>1560</v>
      </c>
      <c r="C110">
        <v>2017</v>
      </c>
      <c r="D110" t="s">
        <v>68</v>
      </c>
      <c r="E110">
        <v>214</v>
      </c>
      <c r="F110">
        <v>1</v>
      </c>
      <c r="H110">
        <v>400</v>
      </c>
      <c r="I110">
        <v>411</v>
      </c>
      <c r="K110" s="2" t="s">
        <v>1561</v>
      </c>
      <c r="L110" s="2" t="s">
        <v>1562</v>
      </c>
      <c r="M110" t="s">
        <v>4732</v>
      </c>
      <c r="N110" t="s">
        <v>1563</v>
      </c>
      <c r="O110" t="s">
        <v>26</v>
      </c>
      <c r="P110" t="s">
        <v>27</v>
      </c>
      <c r="Q110" t="s">
        <v>43</v>
      </c>
      <c r="R110" t="s">
        <v>43</v>
      </c>
      <c r="S110" t="s">
        <v>28</v>
      </c>
      <c r="T110" t="s">
        <v>28</v>
      </c>
      <c r="U110" t="s">
        <v>28</v>
      </c>
      <c r="V110" t="s">
        <v>28</v>
      </c>
      <c r="W110" s="16" t="s">
        <v>5629</v>
      </c>
      <c r="X110" t="s">
        <v>5624</v>
      </c>
      <c r="Y110" t="s">
        <v>4495</v>
      </c>
      <c r="Z110" t="s">
        <v>4358</v>
      </c>
      <c r="AA110" t="s">
        <v>5369</v>
      </c>
      <c r="AB110" s="9" t="s">
        <v>5374</v>
      </c>
      <c r="AC110" t="s">
        <v>4483</v>
      </c>
      <c r="AD110" t="s">
        <v>5375</v>
      </c>
      <c r="AE110" t="s">
        <v>5709</v>
      </c>
      <c r="AF110" t="s">
        <v>4356</v>
      </c>
      <c r="AG110" t="s">
        <v>5376</v>
      </c>
      <c r="AH110" t="s">
        <v>5367</v>
      </c>
      <c r="AI110" t="s">
        <v>4357</v>
      </c>
      <c r="AJ110">
        <v>10</v>
      </c>
      <c r="AK110">
        <v>24</v>
      </c>
      <c r="AL110" t="s">
        <v>5408</v>
      </c>
      <c r="AM110" t="s">
        <v>4334</v>
      </c>
      <c r="AO110">
        <v>9</v>
      </c>
      <c r="AP110">
        <v>49.716670000000001</v>
      </c>
      <c r="AQ110">
        <v>-120.9667</v>
      </c>
      <c r="AV110" s="21">
        <v>0.71599999999999997</v>
      </c>
      <c r="AW110" s="12">
        <v>0.25800000000000001</v>
      </c>
      <c r="AX110" t="s">
        <v>5609</v>
      </c>
      <c r="AZ110" s="19" t="s">
        <v>5703</v>
      </c>
    </row>
    <row r="111" spans="1:52" x14ac:dyDescent="0.55000000000000004">
      <c r="A111" t="s">
        <v>1559</v>
      </c>
      <c r="B111" t="s">
        <v>1560</v>
      </c>
      <c r="C111">
        <v>2017</v>
      </c>
      <c r="D111" t="s">
        <v>68</v>
      </c>
      <c r="E111">
        <v>214</v>
      </c>
      <c r="F111">
        <v>1</v>
      </c>
      <c r="H111">
        <v>400</v>
      </c>
      <c r="I111">
        <v>411</v>
      </c>
      <c r="K111" s="2" t="s">
        <v>1561</v>
      </c>
      <c r="L111" s="2" t="s">
        <v>1562</v>
      </c>
      <c r="M111" t="s">
        <v>4732</v>
      </c>
      <c r="N111" t="s">
        <v>1563</v>
      </c>
      <c r="O111" t="s">
        <v>26</v>
      </c>
      <c r="P111" t="s">
        <v>27</v>
      </c>
      <c r="Q111" t="s">
        <v>43</v>
      </c>
      <c r="R111" t="s">
        <v>43</v>
      </c>
      <c r="S111" t="s">
        <v>28</v>
      </c>
      <c r="T111" t="s">
        <v>28</v>
      </c>
      <c r="U111" t="s">
        <v>28</v>
      </c>
      <c r="V111" t="s">
        <v>28</v>
      </c>
      <c r="W111" s="16" t="s">
        <v>5629</v>
      </c>
      <c r="X111" t="s">
        <v>5624</v>
      </c>
      <c r="Y111" t="s">
        <v>4495</v>
      </c>
      <c r="Z111" t="s">
        <v>4358</v>
      </c>
      <c r="AA111" t="s">
        <v>5369</v>
      </c>
      <c r="AB111" s="9" t="s">
        <v>5374</v>
      </c>
      <c r="AC111" t="s">
        <v>4483</v>
      </c>
      <c r="AD111" t="s">
        <v>5375</v>
      </c>
      <c r="AE111" t="s">
        <v>5709</v>
      </c>
      <c r="AF111" t="s">
        <v>4356</v>
      </c>
      <c r="AG111" t="s">
        <v>5376</v>
      </c>
      <c r="AH111" t="s">
        <v>5367</v>
      </c>
      <c r="AI111" t="s">
        <v>4357</v>
      </c>
      <c r="AJ111">
        <v>10</v>
      </c>
      <c r="AK111">
        <v>24</v>
      </c>
      <c r="AL111" t="s">
        <v>5408</v>
      </c>
      <c r="AM111" t="s">
        <v>4334</v>
      </c>
      <c r="AO111">
        <v>10</v>
      </c>
      <c r="AP111">
        <v>49.716670000000001</v>
      </c>
      <c r="AQ111">
        <v>-120.9667</v>
      </c>
      <c r="AV111" s="21">
        <v>0.54500000000000004</v>
      </c>
      <c r="AW111" s="12">
        <v>9.4E-2</v>
      </c>
      <c r="AX111" t="s">
        <v>5610</v>
      </c>
    </row>
    <row r="112" spans="1:52" x14ac:dyDescent="0.55000000000000004">
      <c r="A112" t="s">
        <v>2138</v>
      </c>
      <c r="B112" t="s">
        <v>2139</v>
      </c>
      <c r="C112">
        <v>2014</v>
      </c>
      <c r="D112" t="s">
        <v>807</v>
      </c>
      <c r="E112">
        <v>20</v>
      </c>
      <c r="F112">
        <v>4</v>
      </c>
      <c r="H112">
        <v>1313</v>
      </c>
      <c r="I112">
        <v>1326</v>
      </c>
      <c r="K112" s="2" t="s">
        <v>2140</v>
      </c>
      <c r="L112" s="2" t="s">
        <v>2141</v>
      </c>
      <c r="M112" t="s">
        <v>4868</v>
      </c>
      <c r="N112" t="s">
        <v>2142</v>
      </c>
      <c r="O112" t="s">
        <v>26</v>
      </c>
      <c r="P112" t="s">
        <v>27</v>
      </c>
      <c r="Q112" t="s">
        <v>43</v>
      </c>
      <c r="R112" t="s">
        <v>43</v>
      </c>
      <c r="S112" t="s">
        <v>28</v>
      </c>
      <c r="T112" t="s">
        <v>28</v>
      </c>
      <c r="U112" t="s">
        <v>28</v>
      </c>
      <c r="V112" t="s">
        <v>28</v>
      </c>
      <c r="W112" s="16" t="s">
        <v>5629</v>
      </c>
      <c r="X112" t="s">
        <v>5624</v>
      </c>
      <c r="Y112" t="s">
        <v>5490</v>
      </c>
      <c r="Z112" t="s">
        <v>4358</v>
      </c>
      <c r="AA112" t="s">
        <v>5369</v>
      </c>
      <c r="AB112" t="s">
        <v>4471</v>
      </c>
      <c r="AC112" t="s">
        <v>4558</v>
      </c>
      <c r="AE112" t="s">
        <v>5709</v>
      </c>
      <c r="AF112" t="s">
        <v>4356</v>
      </c>
      <c r="AG112" t="s">
        <v>4419</v>
      </c>
      <c r="AH112" t="s">
        <v>4420</v>
      </c>
      <c r="AI112" t="s">
        <v>4553</v>
      </c>
      <c r="AL112" t="s">
        <v>5408</v>
      </c>
      <c r="AM112" t="s">
        <v>4355</v>
      </c>
      <c r="AN112" t="s">
        <v>43</v>
      </c>
      <c r="AO112">
        <v>6</v>
      </c>
      <c r="AP112">
        <v>36.020085000000002</v>
      </c>
      <c r="AQ112">
        <v>-78.983046000000002</v>
      </c>
      <c r="AV112" s="21">
        <v>1.4</v>
      </c>
      <c r="AW112" s="12"/>
      <c r="AX112" t="s">
        <v>5606</v>
      </c>
    </row>
    <row r="113" spans="1:52" x14ac:dyDescent="0.55000000000000004">
      <c r="A113" t="s">
        <v>4882</v>
      </c>
      <c r="B113" t="s">
        <v>2224</v>
      </c>
      <c r="C113">
        <v>2014</v>
      </c>
      <c r="D113" t="s">
        <v>923</v>
      </c>
      <c r="E113">
        <v>175</v>
      </c>
      <c r="F113">
        <v>3</v>
      </c>
      <c r="H113">
        <v>747</v>
      </c>
      <c r="I113">
        <v>762</v>
      </c>
      <c r="K113" s="2" t="s">
        <v>2225</v>
      </c>
      <c r="L113" s="2" t="s">
        <v>2226</v>
      </c>
      <c r="M113" t="s">
        <v>4883</v>
      </c>
      <c r="N113" t="s">
        <v>2227</v>
      </c>
      <c r="O113" t="s">
        <v>26</v>
      </c>
      <c r="P113" t="s">
        <v>27</v>
      </c>
      <c r="Q113" t="s">
        <v>43</v>
      </c>
      <c r="R113" t="s">
        <v>43</v>
      </c>
      <c r="S113" t="s">
        <v>28</v>
      </c>
      <c r="T113" t="s">
        <v>43</v>
      </c>
      <c r="U113" t="s">
        <v>28</v>
      </c>
      <c r="V113" t="s">
        <v>28</v>
      </c>
      <c r="W113" s="16" t="s">
        <v>5629</v>
      </c>
      <c r="X113" t="s">
        <v>5624</v>
      </c>
      <c r="Y113" t="s">
        <v>4495</v>
      </c>
      <c r="Z113" t="s">
        <v>4358</v>
      </c>
      <c r="AA113" t="s">
        <v>5369</v>
      </c>
      <c r="AB113" t="s">
        <v>4484</v>
      </c>
      <c r="AC113" t="s">
        <v>4485</v>
      </c>
      <c r="AE113" t="s">
        <v>5709</v>
      </c>
      <c r="AF113" t="s">
        <v>4356</v>
      </c>
      <c r="AG113" t="s">
        <v>4419</v>
      </c>
      <c r="AH113" t="s">
        <v>4420</v>
      </c>
      <c r="AI113" t="s">
        <v>4357</v>
      </c>
      <c r="AJ113">
        <v>26280</v>
      </c>
      <c r="AK113">
        <v>26280</v>
      </c>
      <c r="AL113" t="s">
        <v>5408</v>
      </c>
      <c r="AM113" t="s">
        <v>4355</v>
      </c>
      <c r="AN113" t="s">
        <v>43</v>
      </c>
      <c r="AO113">
        <v>5</v>
      </c>
      <c r="AP113">
        <v>47.55</v>
      </c>
      <c r="AQ113">
        <v>7.6</v>
      </c>
      <c r="AV113" s="21">
        <v>26</v>
      </c>
      <c r="AW113" s="12"/>
      <c r="AX113" t="s">
        <v>5589</v>
      </c>
    </row>
    <row r="114" spans="1:52" x14ac:dyDescent="0.55000000000000004">
      <c r="A114" t="s">
        <v>4882</v>
      </c>
      <c r="B114" t="s">
        <v>2224</v>
      </c>
      <c r="C114">
        <v>2014</v>
      </c>
      <c r="D114" t="s">
        <v>923</v>
      </c>
      <c r="E114">
        <v>175</v>
      </c>
      <c r="F114">
        <v>3</v>
      </c>
      <c r="H114">
        <v>747</v>
      </c>
      <c r="I114">
        <v>762</v>
      </c>
      <c r="K114" s="2" t="s">
        <v>2225</v>
      </c>
      <c r="L114" s="2" t="s">
        <v>2226</v>
      </c>
      <c r="M114" t="s">
        <v>4883</v>
      </c>
      <c r="N114" t="s">
        <v>2227</v>
      </c>
      <c r="O114" t="s">
        <v>26</v>
      </c>
      <c r="P114" t="s">
        <v>27</v>
      </c>
      <c r="Q114" t="s">
        <v>43</v>
      </c>
      <c r="R114" t="s">
        <v>43</v>
      </c>
      <c r="S114" t="s">
        <v>28</v>
      </c>
      <c r="T114" t="s">
        <v>28</v>
      </c>
      <c r="U114" t="s">
        <v>28</v>
      </c>
      <c r="V114" t="s">
        <v>28</v>
      </c>
      <c r="W114" s="16" t="s">
        <v>5629</v>
      </c>
      <c r="X114" t="s">
        <v>5624</v>
      </c>
      <c r="Y114" t="s">
        <v>4495</v>
      </c>
      <c r="Z114" t="s">
        <v>4358</v>
      </c>
      <c r="AA114" t="s">
        <v>5369</v>
      </c>
      <c r="AB114" t="s">
        <v>4484</v>
      </c>
      <c r="AC114" t="s">
        <v>4485</v>
      </c>
      <c r="AE114" t="s">
        <v>5709</v>
      </c>
      <c r="AF114" t="s">
        <v>4356</v>
      </c>
      <c r="AG114" t="s">
        <v>4419</v>
      </c>
      <c r="AH114" t="s">
        <v>4420</v>
      </c>
      <c r="AI114" t="s">
        <v>4357</v>
      </c>
      <c r="AJ114">
        <v>26280</v>
      </c>
      <c r="AK114">
        <v>26280</v>
      </c>
      <c r="AL114" t="s">
        <v>5408</v>
      </c>
      <c r="AM114" t="s">
        <v>4355</v>
      </c>
      <c r="AN114" t="s">
        <v>43</v>
      </c>
      <c r="AO114">
        <v>5</v>
      </c>
      <c r="AP114">
        <v>47.55</v>
      </c>
      <c r="AQ114">
        <v>7.6</v>
      </c>
      <c r="AV114" s="21">
        <v>42</v>
      </c>
      <c r="AW114" s="12"/>
      <c r="AX114" t="s">
        <v>5590</v>
      </c>
    </row>
    <row r="115" spans="1:52" x14ac:dyDescent="0.55000000000000004">
      <c r="A115" t="s">
        <v>4468</v>
      </c>
      <c r="B115" t="s">
        <v>4885</v>
      </c>
      <c r="C115">
        <v>2010</v>
      </c>
      <c r="D115" t="s">
        <v>3155</v>
      </c>
      <c r="E115">
        <v>74</v>
      </c>
      <c r="H115">
        <v>1170</v>
      </c>
      <c r="I115">
        <v>1176</v>
      </c>
      <c r="K115" s="2" t="s">
        <v>4470</v>
      </c>
      <c r="L115" s="2" t="s">
        <v>4469</v>
      </c>
      <c r="M115" t="s">
        <v>4886</v>
      </c>
      <c r="N115" t="s">
        <v>4887</v>
      </c>
      <c r="O115" t="s">
        <v>26</v>
      </c>
      <c r="P115" t="s">
        <v>4384</v>
      </c>
      <c r="Q115" t="s">
        <v>43</v>
      </c>
      <c r="R115" t="s">
        <v>43</v>
      </c>
      <c r="S115" t="s">
        <v>28</v>
      </c>
      <c r="T115" t="s">
        <v>43</v>
      </c>
      <c r="U115" t="s">
        <v>28</v>
      </c>
      <c r="V115" t="s">
        <v>28</v>
      </c>
      <c r="W115" t="s">
        <v>4336</v>
      </c>
      <c r="X115" t="s">
        <v>5624</v>
      </c>
      <c r="Y115" t="s">
        <v>4495</v>
      </c>
      <c r="Z115" t="s">
        <v>4358</v>
      </c>
      <c r="AA115" t="s">
        <v>5369</v>
      </c>
      <c r="AB115" t="s">
        <v>4471</v>
      </c>
      <c r="AC115" t="s">
        <v>4472</v>
      </c>
      <c r="AE115" t="s">
        <v>5709</v>
      </c>
      <c r="AF115" t="s">
        <v>4356</v>
      </c>
      <c r="AG115" t="s">
        <v>4473</v>
      </c>
      <c r="AH115" t="s">
        <v>4474</v>
      </c>
      <c r="AI115" t="s">
        <v>4464</v>
      </c>
      <c r="AL115" t="s">
        <v>5408</v>
      </c>
      <c r="AM115" t="s">
        <v>4355</v>
      </c>
      <c r="AO115">
        <v>6</v>
      </c>
      <c r="AP115">
        <v>34.341662999999997</v>
      </c>
      <c r="AQ115">
        <v>-106.973169</v>
      </c>
      <c r="AT115">
        <v>13.2</v>
      </c>
      <c r="AV115" s="21">
        <v>20</v>
      </c>
      <c r="AW115" s="12"/>
      <c r="AX115" t="s">
        <v>5596</v>
      </c>
    </row>
    <row r="116" spans="1:52" x14ac:dyDescent="0.55000000000000004">
      <c r="A116" t="s">
        <v>2233</v>
      </c>
      <c r="B116" t="s">
        <v>2234</v>
      </c>
      <c r="C116">
        <v>2014</v>
      </c>
      <c r="D116" t="s">
        <v>1090</v>
      </c>
      <c r="E116">
        <v>10</v>
      </c>
      <c r="F116">
        <v>1</v>
      </c>
      <c r="H116">
        <v>81</v>
      </c>
      <c r="I116">
        <v>90</v>
      </c>
      <c r="K116" s="2" t="s">
        <v>2235</v>
      </c>
      <c r="L116" s="2" t="s">
        <v>2236</v>
      </c>
      <c r="M116" t="s">
        <v>4888</v>
      </c>
      <c r="N116" t="s">
        <v>2237</v>
      </c>
      <c r="O116" t="s">
        <v>26</v>
      </c>
      <c r="P116" t="s">
        <v>27</v>
      </c>
      <c r="Q116" t="s">
        <v>43</v>
      </c>
      <c r="R116" t="s">
        <v>43</v>
      </c>
      <c r="S116" t="s">
        <v>28</v>
      </c>
      <c r="T116" t="s">
        <v>43</v>
      </c>
      <c r="U116" t="s">
        <v>28</v>
      </c>
      <c r="V116" t="s">
        <v>43</v>
      </c>
      <c r="W116" s="16" t="s">
        <v>5629</v>
      </c>
      <c r="X116" t="s">
        <v>5624</v>
      </c>
      <c r="Y116" t="s">
        <v>4495</v>
      </c>
      <c r="Z116" t="s">
        <v>4358</v>
      </c>
      <c r="AA116" t="s">
        <v>5369</v>
      </c>
      <c r="AB116" t="s">
        <v>4465</v>
      </c>
      <c r="AC116" t="s">
        <v>4466</v>
      </c>
      <c r="AE116" t="s">
        <v>5708</v>
      </c>
      <c r="AF116" t="s">
        <v>4356</v>
      </c>
      <c r="AG116" t="s">
        <v>4467</v>
      </c>
      <c r="AH116" t="s">
        <v>5616</v>
      </c>
      <c r="AI116" t="s">
        <v>4463</v>
      </c>
      <c r="AL116" t="s">
        <v>5408</v>
      </c>
      <c r="AM116" t="s">
        <v>4355</v>
      </c>
      <c r="AO116">
        <v>4</v>
      </c>
      <c r="AP116">
        <v>33.800829999999998</v>
      </c>
      <c r="AQ116">
        <v>116.7778</v>
      </c>
      <c r="AT116">
        <v>10</v>
      </c>
      <c r="AV116" s="21">
        <v>27</v>
      </c>
      <c r="AW116" s="12"/>
      <c r="AX116" t="s">
        <v>5607</v>
      </c>
    </row>
    <row r="117" spans="1:52" x14ac:dyDescent="0.55000000000000004">
      <c r="A117" t="s">
        <v>2233</v>
      </c>
      <c r="B117" t="s">
        <v>2234</v>
      </c>
      <c r="C117">
        <v>2014</v>
      </c>
      <c r="D117" t="s">
        <v>1090</v>
      </c>
      <c r="E117">
        <v>10</v>
      </c>
      <c r="F117">
        <v>1</v>
      </c>
      <c r="H117">
        <v>81</v>
      </c>
      <c r="I117">
        <v>90</v>
      </c>
      <c r="K117" s="2" t="s">
        <v>2235</v>
      </c>
      <c r="L117" s="2" t="s">
        <v>2236</v>
      </c>
      <c r="M117" t="s">
        <v>4888</v>
      </c>
      <c r="N117" t="s">
        <v>2237</v>
      </c>
      <c r="O117" t="s">
        <v>26</v>
      </c>
      <c r="P117" t="s">
        <v>27</v>
      </c>
      <c r="Q117" t="s">
        <v>43</v>
      </c>
      <c r="R117" t="s">
        <v>43</v>
      </c>
      <c r="S117" t="s">
        <v>28</v>
      </c>
      <c r="T117" t="s">
        <v>28</v>
      </c>
      <c r="U117" t="s">
        <v>28</v>
      </c>
      <c r="V117" t="s">
        <v>43</v>
      </c>
      <c r="W117" s="16" t="s">
        <v>5629</v>
      </c>
      <c r="X117" t="s">
        <v>5624</v>
      </c>
      <c r="Y117" t="s">
        <v>4495</v>
      </c>
      <c r="Z117" t="s">
        <v>4358</v>
      </c>
      <c r="AA117" t="s">
        <v>5369</v>
      </c>
      <c r="AB117" t="s">
        <v>4465</v>
      </c>
      <c r="AC117" t="s">
        <v>4466</v>
      </c>
      <c r="AE117" t="s">
        <v>5708</v>
      </c>
      <c r="AF117" t="s">
        <v>4356</v>
      </c>
      <c r="AG117" t="s">
        <v>4467</v>
      </c>
      <c r="AH117" t="s">
        <v>5616</v>
      </c>
      <c r="AI117" t="s">
        <v>4464</v>
      </c>
      <c r="AL117" t="s">
        <v>5408</v>
      </c>
      <c r="AM117" t="s">
        <v>4355</v>
      </c>
      <c r="AO117">
        <v>4</v>
      </c>
      <c r="AP117">
        <v>33.800829999999998</v>
      </c>
      <c r="AQ117">
        <v>116.7778</v>
      </c>
      <c r="AT117">
        <v>10</v>
      </c>
      <c r="AV117" s="21">
        <v>34</v>
      </c>
      <c r="AW117" s="12"/>
      <c r="AX117" t="s">
        <v>5607</v>
      </c>
    </row>
    <row r="118" spans="1:52" x14ac:dyDescent="0.55000000000000004">
      <c r="A118" t="s">
        <v>4908</v>
      </c>
      <c r="B118" t="s">
        <v>2292</v>
      </c>
      <c r="C118">
        <v>2013</v>
      </c>
      <c r="D118" t="s">
        <v>923</v>
      </c>
      <c r="E118">
        <v>173</v>
      </c>
      <c r="F118">
        <v>4</v>
      </c>
      <c r="H118">
        <v>1439</v>
      </c>
      <c r="I118">
        <v>1450</v>
      </c>
      <c r="K118" s="2" t="s">
        <v>2293</v>
      </c>
      <c r="L118" s="2" t="s">
        <v>2294</v>
      </c>
      <c r="M118" t="s">
        <v>4909</v>
      </c>
      <c r="N118" t="s">
        <v>2295</v>
      </c>
      <c r="O118" t="s">
        <v>26</v>
      </c>
      <c r="P118" t="s">
        <v>27</v>
      </c>
      <c r="Q118" t="s">
        <v>43</v>
      </c>
      <c r="R118" t="s">
        <v>43</v>
      </c>
      <c r="S118" t="s">
        <v>28</v>
      </c>
      <c r="T118" t="s">
        <v>28</v>
      </c>
      <c r="U118" t="s">
        <v>28</v>
      </c>
      <c r="V118" t="s">
        <v>28</v>
      </c>
      <c r="W118" s="16" t="s">
        <v>5629</v>
      </c>
      <c r="X118" t="s">
        <v>5624</v>
      </c>
      <c r="Y118" t="s">
        <v>4495</v>
      </c>
      <c r="Z118" t="s">
        <v>4358</v>
      </c>
      <c r="AA118" t="s">
        <v>5369</v>
      </c>
      <c r="AB118" t="s">
        <v>4471</v>
      </c>
      <c r="AC118" t="s">
        <v>5429</v>
      </c>
      <c r="AE118" t="s">
        <v>5709</v>
      </c>
      <c r="AF118" t="s">
        <v>4356</v>
      </c>
      <c r="AG118" t="s">
        <v>4419</v>
      </c>
      <c r="AH118" t="s">
        <v>4420</v>
      </c>
      <c r="AI118" t="s">
        <v>4357</v>
      </c>
      <c r="AJ118">
        <v>840</v>
      </c>
      <c r="AK118">
        <f>24*35</f>
        <v>840</v>
      </c>
      <c r="AL118" t="s">
        <v>5408</v>
      </c>
      <c r="AM118" t="s">
        <v>4355</v>
      </c>
      <c r="AO118">
        <v>10</v>
      </c>
      <c r="AP118">
        <v>39.233330000000002</v>
      </c>
      <c r="AQ118">
        <v>-121.3</v>
      </c>
      <c r="AT118">
        <v>16</v>
      </c>
      <c r="AV118" s="21">
        <f>4*0.93</f>
        <v>3.72</v>
      </c>
      <c r="AW118" s="12"/>
      <c r="AX118" t="s">
        <v>5599</v>
      </c>
      <c r="AY118" t="s">
        <v>43</v>
      </c>
      <c r="AZ118" s="19" t="s">
        <v>5430</v>
      </c>
    </row>
    <row r="119" spans="1:52" x14ac:dyDescent="0.55000000000000004">
      <c r="A119" t="s">
        <v>4908</v>
      </c>
      <c r="B119" t="s">
        <v>2292</v>
      </c>
      <c r="C119">
        <v>2013</v>
      </c>
      <c r="D119" t="s">
        <v>923</v>
      </c>
      <c r="E119">
        <v>173</v>
      </c>
      <c r="F119">
        <v>4</v>
      </c>
      <c r="H119">
        <v>1439</v>
      </c>
      <c r="I119">
        <v>1450</v>
      </c>
      <c r="K119" s="2" t="s">
        <v>2293</v>
      </c>
      <c r="L119" s="2" t="s">
        <v>2294</v>
      </c>
      <c r="M119" t="s">
        <v>4909</v>
      </c>
      <c r="N119" t="s">
        <v>2295</v>
      </c>
      <c r="O119" t="s">
        <v>26</v>
      </c>
      <c r="P119" t="s">
        <v>27</v>
      </c>
      <c r="Q119" t="s">
        <v>43</v>
      </c>
      <c r="R119" t="s">
        <v>43</v>
      </c>
      <c r="S119" t="s">
        <v>28</v>
      </c>
      <c r="T119" t="s">
        <v>28</v>
      </c>
      <c r="U119" t="s">
        <v>28</v>
      </c>
      <c r="V119" t="s">
        <v>28</v>
      </c>
      <c r="W119" s="16" t="s">
        <v>5629</v>
      </c>
      <c r="X119" t="s">
        <v>5624</v>
      </c>
      <c r="Y119" t="s">
        <v>4495</v>
      </c>
      <c r="Z119" t="s">
        <v>4358</v>
      </c>
      <c r="AA119" t="s">
        <v>5369</v>
      </c>
      <c r="AB119" t="s">
        <v>4471</v>
      </c>
      <c r="AC119" t="s">
        <v>5429</v>
      </c>
      <c r="AE119" t="s">
        <v>5709</v>
      </c>
      <c r="AF119" t="s">
        <v>4356</v>
      </c>
      <c r="AG119" t="s">
        <v>4419</v>
      </c>
      <c r="AH119" t="s">
        <v>4420</v>
      </c>
      <c r="AI119" t="s">
        <v>4357</v>
      </c>
      <c r="AJ119">
        <v>840</v>
      </c>
      <c r="AK119">
        <f>24*35</f>
        <v>840</v>
      </c>
      <c r="AL119" t="s">
        <v>5408</v>
      </c>
      <c r="AM119" t="s">
        <v>4355</v>
      </c>
      <c r="AO119">
        <v>10</v>
      </c>
      <c r="AP119">
        <v>39.233330000000002</v>
      </c>
      <c r="AQ119">
        <v>-121.3</v>
      </c>
      <c r="AT119">
        <v>16</v>
      </c>
      <c r="AV119" s="21">
        <f>12*0.93</f>
        <v>11.16</v>
      </c>
      <c r="AW119" s="12"/>
      <c r="AX119" t="s">
        <v>5600</v>
      </c>
      <c r="AY119" t="s">
        <v>43</v>
      </c>
    </row>
    <row r="120" spans="1:52" x14ac:dyDescent="0.55000000000000004">
      <c r="A120" t="s">
        <v>2548</v>
      </c>
      <c r="B120" t="s">
        <v>2549</v>
      </c>
      <c r="C120">
        <v>2012</v>
      </c>
      <c r="D120" t="s">
        <v>68</v>
      </c>
      <c r="E120">
        <v>194</v>
      </c>
      <c r="F120">
        <v>4</v>
      </c>
      <c r="H120">
        <v>1070</v>
      </c>
      <c r="I120">
        <v>1078</v>
      </c>
      <c r="K120" s="2" t="s">
        <v>2550</v>
      </c>
      <c r="L120" s="2" t="s">
        <v>2551</v>
      </c>
      <c r="M120" t="s">
        <v>4962</v>
      </c>
      <c r="N120" t="s">
        <v>2552</v>
      </c>
      <c r="O120" t="s">
        <v>26</v>
      </c>
      <c r="P120" t="s">
        <v>27</v>
      </c>
      <c r="Q120" t="s">
        <v>43</v>
      </c>
      <c r="R120" t="s">
        <v>28</v>
      </c>
      <c r="S120" t="s">
        <v>43</v>
      </c>
      <c r="T120" t="s">
        <v>28</v>
      </c>
      <c r="U120" t="s">
        <v>28</v>
      </c>
      <c r="V120" t="s">
        <v>43</v>
      </c>
      <c r="W120" s="16" t="s">
        <v>5629</v>
      </c>
      <c r="X120" t="s">
        <v>5624</v>
      </c>
      <c r="Y120" t="s">
        <v>4495</v>
      </c>
      <c r="Z120" t="s">
        <v>4358</v>
      </c>
      <c r="AA120" t="s">
        <v>5369</v>
      </c>
      <c r="AB120" t="s">
        <v>4471</v>
      </c>
      <c r="AC120" t="s">
        <v>5423</v>
      </c>
      <c r="AE120" t="s">
        <v>5709</v>
      </c>
      <c r="AF120" t="s">
        <v>4356</v>
      </c>
      <c r="AG120" t="s">
        <v>5415</v>
      </c>
      <c r="AH120" t="s">
        <v>5426</v>
      </c>
      <c r="AI120" t="s">
        <v>5427</v>
      </c>
      <c r="AJ120">
        <v>2</v>
      </c>
      <c r="AK120">
        <f>3*24</f>
        <v>72</v>
      </c>
      <c r="AL120" t="s">
        <v>5408</v>
      </c>
      <c r="AM120" t="s">
        <v>4334</v>
      </c>
      <c r="AO120">
        <v>3</v>
      </c>
      <c r="AP120">
        <v>35.716493</v>
      </c>
      <c r="AQ120">
        <v>139.760696</v>
      </c>
      <c r="AT120">
        <f>AVERAGE(23,25)</f>
        <v>24</v>
      </c>
      <c r="AU120">
        <f>AVERAGE(350,500)</f>
        <v>425</v>
      </c>
      <c r="AV120" s="21"/>
      <c r="AW120" s="12"/>
      <c r="AX120" t="s">
        <v>5619</v>
      </c>
      <c r="AZ120" s="20" t="s">
        <v>5697</v>
      </c>
    </row>
    <row r="121" spans="1:52" x14ac:dyDescent="0.55000000000000004">
      <c r="A121" t="s">
        <v>2992</v>
      </c>
      <c r="B121" t="s">
        <v>2993</v>
      </c>
      <c r="C121">
        <v>2009</v>
      </c>
      <c r="D121" t="s">
        <v>1099</v>
      </c>
      <c r="E121">
        <v>23</v>
      </c>
      <c r="F121">
        <v>3</v>
      </c>
      <c r="H121">
        <v>611</v>
      </c>
      <c r="I121">
        <v>621</v>
      </c>
      <c r="K121" s="2" t="s">
        <v>2994</v>
      </c>
      <c r="L121" s="2" t="s">
        <v>2995</v>
      </c>
      <c r="M121" t="s">
        <v>5073</v>
      </c>
      <c r="N121" t="s">
        <v>2996</v>
      </c>
      <c r="O121" t="s">
        <v>26</v>
      </c>
      <c r="P121" t="s">
        <v>27</v>
      </c>
      <c r="Q121" t="s">
        <v>43</v>
      </c>
      <c r="R121" t="s">
        <v>43</v>
      </c>
      <c r="S121" t="s">
        <v>28</v>
      </c>
      <c r="T121" t="s">
        <v>28</v>
      </c>
      <c r="U121" t="s">
        <v>28</v>
      </c>
      <c r="V121" t="s">
        <v>28</v>
      </c>
      <c r="W121" s="16" t="s">
        <v>5629</v>
      </c>
      <c r="X121" t="s">
        <v>5624</v>
      </c>
      <c r="Y121" t="s">
        <v>4495</v>
      </c>
      <c r="Z121" t="s">
        <v>4358</v>
      </c>
      <c r="AA121" t="s">
        <v>5369</v>
      </c>
      <c r="AB121" t="s">
        <v>4471</v>
      </c>
      <c r="AC121" t="s">
        <v>4460</v>
      </c>
      <c r="AE121" t="s">
        <v>5709</v>
      </c>
      <c r="AF121" t="s">
        <v>4356</v>
      </c>
      <c r="AG121" t="s">
        <v>4419</v>
      </c>
      <c r="AH121" t="s">
        <v>4420</v>
      </c>
      <c r="AI121" t="s">
        <v>4343</v>
      </c>
      <c r="AJ121">
        <v>1</v>
      </c>
      <c r="AK121">
        <v>240</v>
      </c>
      <c r="AL121" t="s">
        <v>5408</v>
      </c>
      <c r="AM121" t="s">
        <v>4334</v>
      </c>
      <c r="AO121">
        <v>5</v>
      </c>
      <c r="AP121">
        <v>60.175069999999998</v>
      </c>
      <c r="AQ121">
        <v>24.953444999999999</v>
      </c>
      <c r="AT121">
        <v>20.75</v>
      </c>
      <c r="AU121">
        <v>500</v>
      </c>
      <c r="AV121" s="21">
        <f>10.89*0.93</f>
        <v>10.127700000000001</v>
      </c>
      <c r="AW121" s="12">
        <v>8</v>
      </c>
      <c r="AX121" t="s">
        <v>5605</v>
      </c>
      <c r="AY121" t="s">
        <v>43</v>
      </c>
      <c r="AZ121" s="20"/>
    </row>
    <row r="122" spans="1:52" x14ac:dyDescent="0.55000000000000004">
      <c r="A122" t="s">
        <v>2992</v>
      </c>
      <c r="B122" t="s">
        <v>2993</v>
      </c>
      <c r="C122">
        <v>2009</v>
      </c>
      <c r="D122" t="s">
        <v>1099</v>
      </c>
      <c r="E122">
        <v>23</v>
      </c>
      <c r="F122">
        <v>3</v>
      </c>
      <c r="H122">
        <v>611</v>
      </c>
      <c r="I122">
        <v>621</v>
      </c>
      <c r="K122" s="2" t="s">
        <v>2994</v>
      </c>
      <c r="L122" s="2" t="s">
        <v>2995</v>
      </c>
      <c r="M122" t="s">
        <v>5073</v>
      </c>
      <c r="N122" t="s">
        <v>2996</v>
      </c>
      <c r="O122" t="s">
        <v>26</v>
      </c>
      <c r="P122" t="s">
        <v>27</v>
      </c>
      <c r="Q122" t="s">
        <v>43</v>
      </c>
      <c r="R122" t="s">
        <v>43</v>
      </c>
      <c r="S122" t="s">
        <v>28</v>
      </c>
      <c r="T122" t="s">
        <v>28</v>
      </c>
      <c r="U122" t="s">
        <v>28</v>
      </c>
      <c r="V122" t="s">
        <v>28</v>
      </c>
      <c r="W122" s="16" t="s">
        <v>5629</v>
      </c>
      <c r="X122" t="s">
        <v>5624</v>
      </c>
      <c r="Y122" t="s">
        <v>4495</v>
      </c>
      <c r="Z122" t="s">
        <v>4358</v>
      </c>
      <c r="AA122" t="s">
        <v>5369</v>
      </c>
      <c r="AB122" t="s">
        <v>4484</v>
      </c>
      <c r="AC122" t="s">
        <v>4485</v>
      </c>
      <c r="AE122" t="s">
        <v>5709</v>
      </c>
      <c r="AF122" t="s">
        <v>4356</v>
      </c>
      <c r="AG122" t="s">
        <v>4419</v>
      </c>
      <c r="AH122" t="s">
        <v>4420</v>
      </c>
      <c r="AI122" t="s">
        <v>4343</v>
      </c>
      <c r="AJ122">
        <v>2</v>
      </c>
      <c r="AK122">
        <v>240</v>
      </c>
      <c r="AL122" t="s">
        <v>5408</v>
      </c>
      <c r="AM122" t="s">
        <v>4334</v>
      </c>
      <c r="AO122">
        <v>5</v>
      </c>
      <c r="AP122">
        <v>60.175069999999998</v>
      </c>
      <c r="AQ122">
        <v>24.953444999999999</v>
      </c>
      <c r="AT122">
        <v>20.75</v>
      </c>
      <c r="AU122">
        <v>500</v>
      </c>
      <c r="AV122" s="21">
        <f>9.61*0.93</f>
        <v>8.9373000000000005</v>
      </c>
      <c r="AW122" s="12">
        <v>3.39</v>
      </c>
      <c r="AX122" t="s">
        <v>5591</v>
      </c>
      <c r="AY122" t="s">
        <v>43</v>
      </c>
      <c r="AZ122" s="20"/>
    </row>
    <row r="123" spans="1:52" x14ac:dyDescent="0.55000000000000004">
      <c r="A123" t="s">
        <v>2992</v>
      </c>
      <c r="B123" t="s">
        <v>2993</v>
      </c>
      <c r="C123">
        <v>2009</v>
      </c>
      <c r="D123" t="s">
        <v>1099</v>
      </c>
      <c r="E123">
        <v>23</v>
      </c>
      <c r="F123">
        <v>3</v>
      </c>
      <c r="H123">
        <v>611</v>
      </c>
      <c r="I123">
        <v>621</v>
      </c>
      <c r="K123" s="2" t="s">
        <v>2994</v>
      </c>
      <c r="L123" s="2" t="s">
        <v>2995</v>
      </c>
      <c r="M123" t="s">
        <v>5073</v>
      </c>
      <c r="N123" t="s">
        <v>2996</v>
      </c>
      <c r="O123" t="s">
        <v>26</v>
      </c>
      <c r="P123" t="s">
        <v>27</v>
      </c>
      <c r="Q123" t="s">
        <v>43</v>
      </c>
      <c r="R123" t="s">
        <v>43</v>
      </c>
      <c r="S123" t="s">
        <v>28</v>
      </c>
      <c r="T123" t="s">
        <v>28</v>
      </c>
      <c r="U123" t="s">
        <v>28</v>
      </c>
      <c r="V123" t="s">
        <v>28</v>
      </c>
      <c r="W123" s="16" t="s">
        <v>5629</v>
      </c>
      <c r="X123" t="s">
        <v>5624</v>
      </c>
      <c r="Y123" t="s">
        <v>4495</v>
      </c>
      <c r="Z123" t="s">
        <v>4358</v>
      </c>
      <c r="AA123" t="s">
        <v>5369</v>
      </c>
      <c r="AB123" t="s">
        <v>4375</v>
      </c>
      <c r="AC123" t="s">
        <v>4486</v>
      </c>
      <c r="AE123" t="s">
        <v>5708</v>
      </c>
      <c r="AF123" t="s">
        <v>4356</v>
      </c>
      <c r="AG123" t="s">
        <v>4419</v>
      </c>
      <c r="AH123" t="s">
        <v>4420</v>
      </c>
      <c r="AI123" t="s">
        <v>4343</v>
      </c>
      <c r="AJ123">
        <v>2</v>
      </c>
      <c r="AK123">
        <v>240</v>
      </c>
      <c r="AL123" t="s">
        <v>5408</v>
      </c>
      <c r="AM123" t="s">
        <v>4334</v>
      </c>
      <c r="AO123">
        <v>5</v>
      </c>
      <c r="AP123">
        <v>60.175069999999998</v>
      </c>
      <c r="AQ123">
        <v>24.953444999999999</v>
      </c>
      <c r="AT123">
        <v>20.75</v>
      </c>
      <c r="AU123">
        <v>500</v>
      </c>
      <c r="AV123" s="21">
        <f>23.86*0.93</f>
        <v>22.189800000000002</v>
      </c>
      <c r="AW123" s="12">
        <v>3.37</v>
      </c>
      <c r="AX123" t="s">
        <v>5551</v>
      </c>
      <c r="AY123" t="s">
        <v>43</v>
      </c>
      <c r="AZ123" s="20"/>
    </row>
    <row r="124" spans="1:52" x14ac:dyDescent="0.55000000000000004">
      <c r="A124" t="s">
        <v>3200</v>
      </c>
      <c r="B124" t="s">
        <v>3201</v>
      </c>
      <c r="C124">
        <v>2007</v>
      </c>
      <c r="D124" t="s">
        <v>186</v>
      </c>
      <c r="E124">
        <v>296</v>
      </c>
      <c r="F124" s="4">
        <v>44563</v>
      </c>
      <c r="H124">
        <v>159</v>
      </c>
      <c r="I124">
        <v>172</v>
      </c>
      <c r="K124" s="2" t="s">
        <v>3202</v>
      </c>
      <c r="L124" s="2" t="s">
        <v>3203</v>
      </c>
      <c r="M124" t="s">
        <v>5126</v>
      </c>
      <c r="N124" t="s">
        <v>3204</v>
      </c>
      <c r="O124" t="s">
        <v>26</v>
      </c>
      <c r="P124" t="s">
        <v>27</v>
      </c>
      <c r="Q124" t="s">
        <v>43</v>
      </c>
      <c r="R124" t="s">
        <v>43</v>
      </c>
      <c r="S124" t="s">
        <v>43</v>
      </c>
      <c r="T124" t="s">
        <v>28</v>
      </c>
      <c r="U124" t="s">
        <v>28</v>
      </c>
      <c r="V124" t="s">
        <v>28</v>
      </c>
      <c r="W124" s="16" t="s">
        <v>5629</v>
      </c>
      <c r="X124" t="s">
        <v>5624</v>
      </c>
      <c r="Y124" t="s">
        <v>4495</v>
      </c>
      <c r="Z124" t="s">
        <v>4358</v>
      </c>
      <c r="AA124" t="s">
        <v>5369</v>
      </c>
      <c r="AB124" t="s">
        <v>4471</v>
      </c>
      <c r="AC124" t="s">
        <v>4460</v>
      </c>
      <c r="AE124" t="s">
        <v>5709</v>
      </c>
      <c r="AF124" t="s">
        <v>4356</v>
      </c>
      <c r="AG124" t="s">
        <v>5435</v>
      </c>
      <c r="AH124" t="s">
        <v>5431</v>
      </c>
      <c r="AI124" t="s">
        <v>4343</v>
      </c>
      <c r="AJ124">
        <f t="shared" ref="AJ124:AK137" si="2">24*28</f>
        <v>672</v>
      </c>
      <c r="AK124">
        <f t="shared" si="2"/>
        <v>672</v>
      </c>
      <c r="AL124" t="s">
        <v>5408</v>
      </c>
      <c r="AM124" t="s">
        <v>4334</v>
      </c>
      <c r="AO124">
        <v>6</v>
      </c>
      <c r="AP124">
        <v>51.984397000000001</v>
      </c>
      <c r="AQ124">
        <v>5.6601929999999996</v>
      </c>
      <c r="AT124">
        <f t="shared" ref="AT124:AT137" si="3">AVERAGE(20,16)</f>
        <v>18</v>
      </c>
      <c r="AU124">
        <f t="shared" ref="AU124:AU137" si="4">AVERAGE(360,460)</f>
        <v>410</v>
      </c>
      <c r="AV124" s="21">
        <v>5.0101010101010113</v>
      </c>
      <c r="AW124" s="12"/>
      <c r="AX124" t="s">
        <v>5604</v>
      </c>
      <c r="AY124" t="s">
        <v>43</v>
      </c>
      <c r="AZ124" s="19" t="s">
        <v>5438</v>
      </c>
    </row>
    <row r="125" spans="1:52" x14ac:dyDescent="0.55000000000000004">
      <c r="A125" t="s">
        <v>3200</v>
      </c>
      <c r="B125" t="s">
        <v>3201</v>
      </c>
      <c r="C125">
        <v>2007</v>
      </c>
      <c r="D125" t="s">
        <v>186</v>
      </c>
      <c r="E125">
        <v>296</v>
      </c>
      <c r="F125" s="4">
        <v>44563</v>
      </c>
      <c r="H125">
        <v>159</v>
      </c>
      <c r="I125">
        <v>172</v>
      </c>
      <c r="K125" s="2" t="s">
        <v>3202</v>
      </c>
      <c r="L125" s="2" t="s">
        <v>3203</v>
      </c>
      <c r="M125" t="s">
        <v>5126</v>
      </c>
      <c r="N125" t="s">
        <v>3204</v>
      </c>
      <c r="O125" t="s">
        <v>26</v>
      </c>
      <c r="P125" t="s">
        <v>27</v>
      </c>
      <c r="Q125" t="s">
        <v>43</v>
      </c>
      <c r="R125" t="s">
        <v>43</v>
      </c>
      <c r="S125" t="s">
        <v>43</v>
      </c>
      <c r="T125" t="s">
        <v>28</v>
      </c>
      <c r="U125" t="s">
        <v>28</v>
      </c>
      <c r="V125" t="s">
        <v>28</v>
      </c>
      <c r="W125" s="16" t="s">
        <v>5629</v>
      </c>
      <c r="X125" t="s">
        <v>5624</v>
      </c>
      <c r="Y125" t="s">
        <v>4495</v>
      </c>
      <c r="Z125" t="s">
        <v>4358</v>
      </c>
      <c r="AA125" t="s">
        <v>5369</v>
      </c>
      <c r="AB125" t="s">
        <v>4471</v>
      </c>
      <c r="AC125" t="s">
        <v>4460</v>
      </c>
      <c r="AE125" t="s">
        <v>5709</v>
      </c>
      <c r="AF125" t="s">
        <v>4356</v>
      </c>
      <c r="AG125" t="s">
        <v>5406</v>
      </c>
      <c r="AH125" t="s">
        <v>4524</v>
      </c>
      <c r="AI125" t="s">
        <v>4343</v>
      </c>
      <c r="AJ125">
        <f t="shared" si="2"/>
        <v>672</v>
      </c>
      <c r="AK125">
        <f t="shared" si="2"/>
        <v>672</v>
      </c>
      <c r="AL125" t="s">
        <v>5408</v>
      </c>
      <c r="AM125" t="s">
        <v>4334</v>
      </c>
      <c r="AO125">
        <v>6</v>
      </c>
      <c r="AP125">
        <v>51.984397000000001</v>
      </c>
      <c r="AQ125">
        <v>5.6601929999999996</v>
      </c>
      <c r="AT125">
        <f t="shared" si="3"/>
        <v>18</v>
      </c>
      <c r="AU125">
        <f t="shared" si="4"/>
        <v>410</v>
      </c>
      <c r="AV125" s="21">
        <v>4.3971631205673765</v>
      </c>
      <c r="AW125" s="12"/>
      <c r="AX125" t="s">
        <v>5604</v>
      </c>
      <c r="AY125" t="s">
        <v>43</v>
      </c>
    </row>
    <row r="126" spans="1:52" x14ac:dyDescent="0.55000000000000004">
      <c r="A126" t="s">
        <v>3200</v>
      </c>
      <c r="B126" t="s">
        <v>3201</v>
      </c>
      <c r="C126">
        <v>2007</v>
      </c>
      <c r="D126" t="s">
        <v>186</v>
      </c>
      <c r="E126">
        <v>296</v>
      </c>
      <c r="F126" s="4">
        <v>44563</v>
      </c>
      <c r="H126">
        <v>159</v>
      </c>
      <c r="I126">
        <v>172</v>
      </c>
      <c r="K126" s="2" t="s">
        <v>3202</v>
      </c>
      <c r="L126" s="2" t="s">
        <v>3203</v>
      </c>
      <c r="M126" t="s">
        <v>5126</v>
      </c>
      <c r="N126" t="s">
        <v>3204</v>
      </c>
      <c r="O126" t="s">
        <v>26</v>
      </c>
      <c r="P126" t="s">
        <v>27</v>
      </c>
      <c r="Q126" t="s">
        <v>43</v>
      </c>
      <c r="R126" t="s">
        <v>43</v>
      </c>
      <c r="S126" t="s">
        <v>43</v>
      </c>
      <c r="T126" t="s">
        <v>28</v>
      </c>
      <c r="U126" t="s">
        <v>28</v>
      </c>
      <c r="V126" t="s">
        <v>28</v>
      </c>
      <c r="W126" s="16" t="s">
        <v>5629</v>
      </c>
      <c r="X126" t="s">
        <v>5624</v>
      </c>
      <c r="Y126" t="s">
        <v>4495</v>
      </c>
      <c r="Z126" t="s">
        <v>4358</v>
      </c>
      <c r="AA126" t="s">
        <v>5369</v>
      </c>
      <c r="AB126" t="s">
        <v>4471</v>
      </c>
      <c r="AC126" t="s">
        <v>4460</v>
      </c>
      <c r="AE126" t="s">
        <v>5709</v>
      </c>
      <c r="AF126" t="s">
        <v>4356</v>
      </c>
      <c r="AG126" t="s">
        <v>4581</v>
      </c>
      <c r="AH126" t="s">
        <v>5407</v>
      </c>
      <c r="AI126" t="s">
        <v>4343</v>
      </c>
      <c r="AJ126">
        <f t="shared" si="2"/>
        <v>672</v>
      </c>
      <c r="AK126">
        <f t="shared" si="2"/>
        <v>672</v>
      </c>
      <c r="AL126" t="s">
        <v>5408</v>
      </c>
      <c r="AM126" t="s">
        <v>4334</v>
      </c>
      <c r="AO126">
        <v>6</v>
      </c>
      <c r="AP126">
        <v>51.984397000000001</v>
      </c>
      <c r="AQ126">
        <v>5.6601929999999996</v>
      </c>
      <c r="AT126">
        <f t="shared" si="3"/>
        <v>18</v>
      </c>
      <c r="AU126">
        <f t="shared" si="4"/>
        <v>410</v>
      </c>
      <c r="AV126" s="21">
        <v>0.52991452991452992</v>
      </c>
      <c r="AW126" s="12"/>
      <c r="AX126" t="s">
        <v>5604</v>
      </c>
      <c r="AY126" t="s">
        <v>43</v>
      </c>
    </row>
    <row r="127" spans="1:52" x14ac:dyDescent="0.55000000000000004">
      <c r="A127" t="s">
        <v>3200</v>
      </c>
      <c r="B127" t="s">
        <v>3201</v>
      </c>
      <c r="C127">
        <v>2007</v>
      </c>
      <c r="D127" t="s">
        <v>186</v>
      </c>
      <c r="E127">
        <v>296</v>
      </c>
      <c r="F127" s="4">
        <v>44563</v>
      </c>
      <c r="H127">
        <v>159</v>
      </c>
      <c r="I127">
        <v>172</v>
      </c>
      <c r="K127" s="2" t="s">
        <v>3202</v>
      </c>
      <c r="L127" s="2" t="s">
        <v>3203</v>
      </c>
      <c r="M127" t="s">
        <v>5126</v>
      </c>
      <c r="N127" t="s">
        <v>3204</v>
      </c>
      <c r="O127" t="s">
        <v>26</v>
      </c>
      <c r="P127" t="s">
        <v>27</v>
      </c>
      <c r="Q127" t="s">
        <v>43</v>
      </c>
      <c r="R127" t="s">
        <v>43</v>
      </c>
      <c r="S127" t="s">
        <v>43</v>
      </c>
      <c r="T127" t="s">
        <v>28</v>
      </c>
      <c r="U127" t="s">
        <v>28</v>
      </c>
      <c r="V127" t="s">
        <v>28</v>
      </c>
      <c r="W127" s="16" t="s">
        <v>5629</v>
      </c>
      <c r="X127" t="s">
        <v>5624</v>
      </c>
      <c r="Y127" t="s">
        <v>4495</v>
      </c>
      <c r="Z127" t="s">
        <v>4358</v>
      </c>
      <c r="AA127" t="s">
        <v>5369</v>
      </c>
      <c r="AB127" t="s">
        <v>4471</v>
      </c>
      <c r="AC127" t="s">
        <v>4460</v>
      </c>
      <c r="AE127" t="s">
        <v>5709</v>
      </c>
      <c r="AF127" t="s">
        <v>4356</v>
      </c>
      <c r="AG127" t="s">
        <v>4581</v>
      </c>
      <c r="AH127" t="s">
        <v>5432</v>
      </c>
      <c r="AI127" t="s">
        <v>4343</v>
      </c>
      <c r="AJ127">
        <f t="shared" si="2"/>
        <v>672</v>
      </c>
      <c r="AK127">
        <f t="shared" si="2"/>
        <v>672</v>
      </c>
      <c r="AL127" t="s">
        <v>5408</v>
      </c>
      <c r="AM127" t="s">
        <v>4334</v>
      </c>
      <c r="AO127">
        <v>6</v>
      </c>
      <c r="AP127">
        <v>51.984397000000001</v>
      </c>
      <c r="AQ127">
        <v>5.6601929999999996</v>
      </c>
      <c r="AT127">
        <f t="shared" si="3"/>
        <v>18</v>
      </c>
      <c r="AU127">
        <f t="shared" si="4"/>
        <v>410</v>
      </c>
      <c r="AV127" s="21">
        <v>2.6298200514138821</v>
      </c>
      <c r="AW127" s="12"/>
      <c r="AX127" t="s">
        <v>5604</v>
      </c>
      <c r="AY127" t="s">
        <v>43</v>
      </c>
    </row>
    <row r="128" spans="1:52" x14ac:dyDescent="0.55000000000000004">
      <c r="A128" t="s">
        <v>3200</v>
      </c>
      <c r="B128" t="s">
        <v>3201</v>
      </c>
      <c r="C128">
        <v>2007</v>
      </c>
      <c r="D128" t="s">
        <v>186</v>
      </c>
      <c r="E128">
        <v>296</v>
      </c>
      <c r="F128" s="4">
        <v>44563</v>
      </c>
      <c r="H128">
        <v>159</v>
      </c>
      <c r="I128">
        <v>172</v>
      </c>
      <c r="K128" s="2" t="s">
        <v>3202</v>
      </c>
      <c r="L128" s="2" t="s">
        <v>3203</v>
      </c>
      <c r="M128" t="s">
        <v>5126</v>
      </c>
      <c r="N128" t="s">
        <v>3204</v>
      </c>
      <c r="O128" t="s">
        <v>26</v>
      </c>
      <c r="P128" t="s">
        <v>27</v>
      </c>
      <c r="Q128" t="s">
        <v>43</v>
      </c>
      <c r="R128" t="s">
        <v>43</v>
      </c>
      <c r="S128" t="s">
        <v>43</v>
      </c>
      <c r="T128" t="s">
        <v>28</v>
      </c>
      <c r="U128" t="s">
        <v>28</v>
      </c>
      <c r="V128" t="s">
        <v>28</v>
      </c>
      <c r="W128" s="16" t="s">
        <v>5629</v>
      </c>
      <c r="X128" t="s">
        <v>5624</v>
      </c>
      <c r="Y128" t="s">
        <v>4495</v>
      </c>
      <c r="Z128" t="s">
        <v>4358</v>
      </c>
      <c r="AA128" t="s">
        <v>5369</v>
      </c>
      <c r="AB128" t="s">
        <v>4471</v>
      </c>
      <c r="AC128" t="s">
        <v>4460</v>
      </c>
      <c r="AE128" t="s">
        <v>5709</v>
      </c>
      <c r="AF128" t="s">
        <v>4356</v>
      </c>
      <c r="AG128" t="s">
        <v>5436</v>
      </c>
      <c r="AH128" t="s">
        <v>5433</v>
      </c>
      <c r="AI128" t="s">
        <v>4343</v>
      </c>
      <c r="AJ128">
        <f t="shared" si="2"/>
        <v>672</v>
      </c>
      <c r="AK128">
        <f t="shared" si="2"/>
        <v>672</v>
      </c>
      <c r="AL128" t="s">
        <v>5408</v>
      </c>
      <c r="AM128" t="s">
        <v>4334</v>
      </c>
      <c r="AO128">
        <v>6</v>
      </c>
      <c r="AP128">
        <v>51.984397000000001</v>
      </c>
      <c r="AQ128">
        <v>5.6601929999999996</v>
      </c>
      <c r="AT128">
        <f t="shared" si="3"/>
        <v>18</v>
      </c>
      <c r="AU128">
        <f t="shared" si="4"/>
        <v>410</v>
      </c>
      <c r="AV128" s="21">
        <v>1.9840000000000004</v>
      </c>
      <c r="AW128" s="12"/>
      <c r="AX128" t="s">
        <v>5466</v>
      </c>
      <c r="AY128" t="s">
        <v>43</v>
      </c>
    </row>
    <row r="129" spans="1:52" x14ac:dyDescent="0.55000000000000004">
      <c r="A129" t="s">
        <v>3200</v>
      </c>
      <c r="B129" t="s">
        <v>3201</v>
      </c>
      <c r="C129">
        <v>2007</v>
      </c>
      <c r="D129" t="s">
        <v>186</v>
      </c>
      <c r="E129">
        <v>296</v>
      </c>
      <c r="F129" s="4">
        <v>44563</v>
      </c>
      <c r="H129">
        <v>159</v>
      </c>
      <c r="I129">
        <v>172</v>
      </c>
      <c r="K129" s="2" t="s">
        <v>3202</v>
      </c>
      <c r="L129" s="2" t="s">
        <v>3203</v>
      </c>
      <c r="M129" t="s">
        <v>5126</v>
      </c>
      <c r="N129" t="s">
        <v>3204</v>
      </c>
      <c r="O129" t="s">
        <v>26</v>
      </c>
      <c r="P129" t="s">
        <v>27</v>
      </c>
      <c r="Q129" t="s">
        <v>43</v>
      </c>
      <c r="R129" t="s">
        <v>43</v>
      </c>
      <c r="S129" t="s">
        <v>43</v>
      </c>
      <c r="T129" t="s">
        <v>28</v>
      </c>
      <c r="U129" t="s">
        <v>28</v>
      </c>
      <c r="V129" t="s">
        <v>28</v>
      </c>
      <c r="W129" s="16" t="s">
        <v>5629</v>
      </c>
      <c r="X129" t="s">
        <v>5624</v>
      </c>
      <c r="Y129" t="s">
        <v>4495</v>
      </c>
      <c r="Z129" t="s">
        <v>4358</v>
      </c>
      <c r="AA129" t="s">
        <v>5369</v>
      </c>
      <c r="AB129" t="s">
        <v>4471</v>
      </c>
      <c r="AC129" t="s">
        <v>4460</v>
      </c>
      <c r="AE129" t="s">
        <v>5709</v>
      </c>
      <c r="AF129" t="s">
        <v>4356</v>
      </c>
      <c r="AG129" t="s">
        <v>4572</v>
      </c>
      <c r="AH129" t="s">
        <v>4573</v>
      </c>
      <c r="AI129" t="s">
        <v>4343</v>
      </c>
      <c r="AJ129">
        <f t="shared" si="2"/>
        <v>672</v>
      </c>
      <c r="AK129">
        <f t="shared" si="2"/>
        <v>672</v>
      </c>
      <c r="AL129" t="s">
        <v>5408</v>
      </c>
      <c r="AM129" t="s">
        <v>4334</v>
      </c>
      <c r="AO129">
        <v>6</v>
      </c>
      <c r="AP129">
        <v>51.984397000000001</v>
      </c>
      <c r="AQ129">
        <v>5.6601929999999996</v>
      </c>
      <c r="AT129">
        <f t="shared" si="3"/>
        <v>18</v>
      </c>
      <c r="AU129">
        <f t="shared" si="4"/>
        <v>410</v>
      </c>
      <c r="AV129" s="21">
        <v>1.8286516853932584</v>
      </c>
      <c r="AW129" s="12"/>
      <c r="AX129" t="s">
        <v>5466</v>
      </c>
      <c r="AY129" t="s">
        <v>43</v>
      </c>
    </row>
    <row r="130" spans="1:52" x14ac:dyDescent="0.55000000000000004">
      <c r="A130" t="s">
        <v>3200</v>
      </c>
      <c r="B130" t="s">
        <v>3201</v>
      </c>
      <c r="C130">
        <v>2007</v>
      </c>
      <c r="D130" t="s">
        <v>186</v>
      </c>
      <c r="E130">
        <v>296</v>
      </c>
      <c r="F130" s="4">
        <v>44563</v>
      </c>
      <c r="H130">
        <v>159</v>
      </c>
      <c r="I130">
        <v>172</v>
      </c>
      <c r="K130" s="2" t="s">
        <v>3202</v>
      </c>
      <c r="L130" s="2" t="s">
        <v>3203</v>
      </c>
      <c r="M130" t="s">
        <v>5126</v>
      </c>
      <c r="N130" t="s">
        <v>3204</v>
      </c>
      <c r="O130" t="s">
        <v>26</v>
      </c>
      <c r="P130" t="s">
        <v>27</v>
      </c>
      <c r="Q130" t="s">
        <v>43</v>
      </c>
      <c r="R130" t="s">
        <v>43</v>
      </c>
      <c r="S130" t="s">
        <v>43</v>
      </c>
      <c r="T130" t="s">
        <v>28</v>
      </c>
      <c r="U130" t="s">
        <v>28</v>
      </c>
      <c r="V130" t="s">
        <v>28</v>
      </c>
      <c r="W130" s="16" t="s">
        <v>5629</v>
      </c>
      <c r="X130" t="s">
        <v>5624</v>
      </c>
      <c r="Y130" t="s">
        <v>4495</v>
      </c>
      <c r="Z130" t="s">
        <v>4358</v>
      </c>
      <c r="AA130" t="s">
        <v>5369</v>
      </c>
      <c r="AB130" t="s">
        <v>4471</v>
      </c>
      <c r="AC130" t="s">
        <v>4460</v>
      </c>
      <c r="AE130" t="s">
        <v>5709</v>
      </c>
      <c r="AF130" t="s">
        <v>4356</v>
      </c>
      <c r="AG130" t="s">
        <v>5437</v>
      </c>
      <c r="AH130" t="s">
        <v>5434</v>
      </c>
      <c r="AI130" t="s">
        <v>4343</v>
      </c>
      <c r="AJ130">
        <f t="shared" si="2"/>
        <v>672</v>
      </c>
      <c r="AK130">
        <f t="shared" si="2"/>
        <v>672</v>
      </c>
      <c r="AL130" t="s">
        <v>5408</v>
      </c>
      <c r="AM130" t="s">
        <v>4334</v>
      </c>
      <c r="AO130">
        <v>6</v>
      </c>
      <c r="AP130">
        <v>51.984397000000001</v>
      </c>
      <c r="AQ130">
        <v>5.6601929999999996</v>
      </c>
      <c r="AT130">
        <f t="shared" si="3"/>
        <v>18</v>
      </c>
      <c r="AU130">
        <f t="shared" si="4"/>
        <v>410</v>
      </c>
      <c r="AV130" s="21">
        <v>1.0130718954248366</v>
      </c>
      <c r="AW130" s="12"/>
      <c r="AX130" t="s">
        <v>5466</v>
      </c>
      <c r="AY130" t="s">
        <v>43</v>
      </c>
    </row>
    <row r="131" spans="1:52" x14ac:dyDescent="0.55000000000000004">
      <c r="A131" t="s">
        <v>3200</v>
      </c>
      <c r="B131" t="s">
        <v>3201</v>
      </c>
      <c r="C131">
        <v>2007</v>
      </c>
      <c r="D131" t="s">
        <v>186</v>
      </c>
      <c r="E131">
        <v>296</v>
      </c>
      <c r="F131" s="4">
        <v>44563</v>
      </c>
      <c r="H131">
        <v>159</v>
      </c>
      <c r="I131">
        <v>172</v>
      </c>
      <c r="K131" s="2" t="s">
        <v>3202</v>
      </c>
      <c r="L131" s="2" t="s">
        <v>3203</v>
      </c>
      <c r="M131" t="s">
        <v>5126</v>
      </c>
      <c r="N131" t="s">
        <v>3204</v>
      </c>
      <c r="O131" t="s">
        <v>26</v>
      </c>
      <c r="P131" t="s">
        <v>27</v>
      </c>
      <c r="Q131" t="s">
        <v>43</v>
      </c>
      <c r="R131" t="s">
        <v>43</v>
      </c>
      <c r="S131" t="s">
        <v>43</v>
      </c>
      <c r="T131" t="s">
        <v>28</v>
      </c>
      <c r="U131" t="s">
        <v>28</v>
      </c>
      <c r="V131" t="s">
        <v>28</v>
      </c>
      <c r="W131" s="16" t="s">
        <v>5629</v>
      </c>
      <c r="X131" t="s">
        <v>5624</v>
      </c>
      <c r="Y131" t="s">
        <v>4495</v>
      </c>
      <c r="Z131" t="s">
        <v>4358</v>
      </c>
      <c r="AA131" t="s">
        <v>5369</v>
      </c>
      <c r="AB131" t="s">
        <v>4471</v>
      </c>
      <c r="AC131" t="s">
        <v>4460</v>
      </c>
      <c r="AE131" t="s">
        <v>5709</v>
      </c>
      <c r="AF131" t="s">
        <v>4356</v>
      </c>
      <c r="AG131" t="s">
        <v>5435</v>
      </c>
      <c r="AH131" t="s">
        <v>5431</v>
      </c>
      <c r="AI131" t="s">
        <v>4343</v>
      </c>
      <c r="AJ131">
        <f t="shared" si="2"/>
        <v>672</v>
      </c>
      <c r="AK131">
        <f t="shared" si="2"/>
        <v>672</v>
      </c>
      <c r="AL131" t="s">
        <v>5409</v>
      </c>
      <c r="AM131" t="s">
        <v>4334</v>
      </c>
      <c r="AO131">
        <v>6</v>
      </c>
      <c r="AP131">
        <v>51.984397000000001</v>
      </c>
      <c r="AQ131">
        <v>5.6601929999999996</v>
      </c>
      <c r="AT131">
        <f t="shared" si="3"/>
        <v>18</v>
      </c>
      <c r="AU131">
        <f t="shared" si="4"/>
        <v>410</v>
      </c>
      <c r="AV131" s="21">
        <v>3.2517482517482517</v>
      </c>
      <c r="AW131" s="12"/>
      <c r="AX131" t="s">
        <v>5466</v>
      </c>
      <c r="AY131" t="s">
        <v>43</v>
      </c>
    </row>
    <row r="132" spans="1:52" x14ac:dyDescent="0.55000000000000004">
      <c r="A132" t="s">
        <v>3200</v>
      </c>
      <c r="B132" t="s">
        <v>3201</v>
      </c>
      <c r="C132">
        <v>2007</v>
      </c>
      <c r="D132" t="s">
        <v>186</v>
      </c>
      <c r="E132">
        <v>296</v>
      </c>
      <c r="F132" s="4">
        <v>44563</v>
      </c>
      <c r="H132">
        <v>159</v>
      </c>
      <c r="I132">
        <v>172</v>
      </c>
      <c r="K132" s="2" t="s">
        <v>3202</v>
      </c>
      <c r="L132" s="2" t="s">
        <v>3203</v>
      </c>
      <c r="M132" t="s">
        <v>5126</v>
      </c>
      <c r="N132" t="s">
        <v>3204</v>
      </c>
      <c r="O132" t="s">
        <v>26</v>
      </c>
      <c r="P132" t="s">
        <v>27</v>
      </c>
      <c r="Q132" t="s">
        <v>43</v>
      </c>
      <c r="R132" t="s">
        <v>43</v>
      </c>
      <c r="S132" t="s">
        <v>43</v>
      </c>
      <c r="T132" t="s">
        <v>28</v>
      </c>
      <c r="U132" t="s">
        <v>28</v>
      </c>
      <c r="V132" t="s">
        <v>28</v>
      </c>
      <c r="W132" s="16" t="s">
        <v>5629</v>
      </c>
      <c r="X132" t="s">
        <v>5624</v>
      </c>
      <c r="Y132" t="s">
        <v>4495</v>
      </c>
      <c r="Z132" t="s">
        <v>4358</v>
      </c>
      <c r="AA132" t="s">
        <v>5369</v>
      </c>
      <c r="AB132" t="s">
        <v>4471</v>
      </c>
      <c r="AC132" t="s">
        <v>4460</v>
      </c>
      <c r="AE132" t="s">
        <v>5709</v>
      </c>
      <c r="AF132" t="s">
        <v>4356</v>
      </c>
      <c r="AG132" t="s">
        <v>5406</v>
      </c>
      <c r="AH132" t="s">
        <v>4524</v>
      </c>
      <c r="AI132" t="s">
        <v>4343</v>
      </c>
      <c r="AJ132">
        <f t="shared" si="2"/>
        <v>672</v>
      </c>
      <c r="AK132">
        <f t="shared" si="2"/>
        <v>672</v>
      </c>
      <c r="AL132" t="s">
        <v>5409</v>
      </c>
      <c r="AM132" t="s">
        <v>4334</v>
      </c>
      <c r="AO132">
        <v>6</v>
      </c>
      <c r="AP132">
        <v>51.984397000000001</v>
      </c>
      <c r="AQ132">
        <v>5.6601929999999996</v>
      </c>
      <c r="AT132">
        <f t="shared" si="3"/>
        <v>18</v>
      </c>
      <c r="AU132">
        <f t="shared" si="4"/>
        <v>410</v>
      </c>
      <c r="AV132" s="21">
        <v>4.8613636363636363</v>
      </c>
      <c r="AW132" s="12"/>
      <c r="AX132" t="s">
        <v>5466</v>
      </c>
      <c r="AY132" t="s">
        <v>43</v>
      </c>
    </row>
    <row r="133" spans="1:52" x14ac:dyDescent="0.55000000000000004">
      <c r="A133" t="s">
        <v>3200</v>
      </c>
      <c r="B133" t="s">
        <v>3201</v>
      </c>
      <c r="C133">
        <v>2007</v>
      </c>
      <c r="D133" t="s">
        <v>186</v>
      </c>
      <c r="E133">
        <v>296</v>
      </c>
      <c r="F133" s="4">
        <v>44563</v>
      </c>
      <c r="H133">
        <v>159</v>
      </c>
      <c r="I133">
        <v>172</v>
      </c>
      <c r="K133" s="2" t="s">
        <v>3202</v>
      </c>
      <c r="L133" s="2" t="s">
        <v>3203</v>
      </c>
      <c r="M133" t="s">
        <v>5126</v>
      </c>
      <c r="N133" t="s">
        <v>3204</v>
      </c>
      <c r="O133" t="s">
        <v>26</v>
      </c>
      <c r="P133" t="s">
        <v>27</v>
      </c>
      <c r="Q133" t="s">
        <v>43</v>
      </c>
      <c r="R133" t="s">
        <v>43</v>
      </c>
      <c r="S133" t="s">
        <v>43</v>
      </c>
      <c r="T133" t="s">
        <v>28</v>
      </c>
      <c r="U133" t="s">
        <v>28</v>
      </c>
      <c r="V133" t="s">
        <v>28</v>
      </c>
      <c r="W133" s="16" t="s">
        <v>5629</v>
      </c>
      <c r="X133" t="s">
        <v>5624</v>
      </c>
      <c r="Y133" t="s">
        <v>4495</v>
      </c>
      <c r="Z133" t="s">
        <v>4358</v>
      </c>
      <c r="AA133" t="s">
        <v>5369</v>
      </c>
      <c r="AB133" t="s">
        <v>4471</v>
      </c>
      <c r="AC133" t="s">
        <v>4460</v>
      </c>
      <c r="AE133" t="s">
        <v>5709</v>
      </c>
      <c r="AF133" t="s">
        <v>4356</v>
      </c>
      <c r="AG133" t="s">
        <v>4581</v>
      </c>
      <c r="AH133" t="s">
        <v>5407</v>
      </c>
      <c r="AI133" t="s">
        <v>4343</v>
      </c>
      <c r="AJ133">
        <f t="shared" si="2"/>
        <v>672</v>
      </c>
      <c r="AK133">
        <f t="shared" si="2"/>
        <v>672</v>
      </c>
      <c r="AL133" t="s">
        <v>5409</v>
      </c>
      <c r="AM133" t="s">
        <v>4334</v>
      </c>
      <c r="AO133">
        <v>6</v>
      </c>
      <c r="AP133">
        <v>51.984397000000001</v>
      </c>
      <c r="AQ133">
        <v>5.6601929999999996</v>
      </c>
      <c r="AT133">
        <f t="shared" si="3"/>
        <v>18</v>
      </c>
      <c r="AU133">
        <f t="shared" si="4"/>
        <v>410</v>
      </c>
      <c r="AV133" s="21">
        <v>0.15577889447236182</v>
      </c>
      <c r="AW133" s="12"/>
      <c r="AX133" t="s">
        <v>5466</v>
      </c>
      <c r="AY133" t="s">
        <v>43</v>
      </c>
    </row>
    <row r="134" spans="1:52" x14ac:dyDescent="0.55000000000000004">
      <c r="A134" t="s">
        <v>3200</v>
      </c>
      <c r="B134" t="s">
        <v>3201</v>
      </c>
      <c r="C134">
        <v>2007</v>
      </c>
      <c r="D134" t="s">
        <v>186</v>
      </c>
      <c r="E134">
        <v>296</v>
      </c>
      <c r="F134" s="4">
        <v>44563</v>
      </c>
      <c r="H134">
        <v>159</v>
      </c>
      <c r="I134">
        <v>172</v>
      </c>
      <c r="K134" s="2" t="s">
        <v>3202</v>
      </c>
      <c r="L134" s="2" t="s">
        <v>3203</v>
      </c>
      <c r="M134" t="s">
        <v>5126</v>
      </c>
      <c r="N134" t="s">
        <v>3204</v>
      </c>
      <c r="O134" t="s">
        <v>26</v>
      </c>
      <c r="P134" t="s">
        <v>27</v>
      </c>
      <c r="Q134" t="s">
        <v>43</v>
      </c>
      <c r="R134" t="s">
        <v>43</v>
      </c>
      <c r="S134" t="s">
        <v>43</v>
      </c>
      <c r="T134" t="s">
        <v>28</v>
      </c>
      <c r="U134" t="s">
        <v>28</v>
      </c>
      <c r="V134" t="s">
        <v>28</v>
      </c>
      <c r="W134" s="16" t="s">
        <v>5629</v>
      </c>
      <c r="X134" t="s">
        <v>5624</v>
      </c>
      <c r="Y134" t="s">
        <v>4495</v>
      </c>
      <c r="Z134" t="s">
        <v>4358</v>
      </c>
      <c r="AA134" t="s">
        <v>5369</v>
      </c>
      <c r="AB134" t="s">
        <v>4471</v>
      </c>
      <c r="AC134" t="s">
        <v>4460</v>
      </c>
      <c r="AE134" t="s">
        <v>5709</v>
      </c>
      <c r="AF134" t="s">
        <v>4356</v>
      </c>
      <c r="AG134" t="s">
        <v>4581</v>
      </c>
      <c r="AH134" t="s">
        <v>5432</v>
      </c>
      <c r="AI134" t="s">
        <v>4343</v>
      </c>
      <c r="AJ134">
        <f t="shared" si="2"/>
        <v>672</v>
      </c>
      <c r="AK134">
        <f t="shared" si="2"/>
        <v>672</v>
      </c>
      <c r="AL134" t="s">
        <v>5409</v>
      </c>
      <c r="AM134" t="s">
        <v>4334</v>
      </c>
      <c r="AO134">
        <v>6</v>
      </c>
      <c r="AP134">
        <v>51.984397000000001</v>
      </c>
      <c r="AQ134">
        <v>5.6601929999999996</v>
      </c>
      <c r="AT134">
        <f t="shared" si="3"/>
        <v>18</v>
      </c>
      <c r="AU134">
        <f t="shared" si="4"/>
        <v>410</v>
      </c>
      <c r="AV134" s="21">
        <v>0.29855537720706266</v>
      </c>
      <c r="AW134" s="12"/>
      <c r="AX134" t="s">
        <v>5466</v>
      </c>
      <c r="AY134" t="s">
        <v>43</v>
      </c>
    </row>
    <row r="135" spans="1:52" x14ac:dyDescent="0.55000000000000004">
      <c r="A135" t="s">
        <v>3200</v>
      </c>
      <c r="B135" t="s">
        <v>3201</v>
      </c>
      <c r="C135">
        <v>2007</v>
      </c>
      <c r="D135" t="s">
        <v>186</v>
      </c>
      <c r="E135">
        <v>296</v>
      </c>
      <c r="F135" s="4">
        <v>44563</v>
      </c>
      <c r="H135">
        <v>159</v>
      </c>
      <c r="I135">
        <v>172</v>
      </c>
      <c r="K135" s="2" t="s">
        <v>3202</v>
      </c>
      <c r="L135" s="2" t="s">
        <v>3203</v>
      </c>
      <c r="M135" t="s">
        <v>5126</v>
      </c>
      <c r="N135" t="s">
        <v>3204</v>
      </c>
      <c r="O135" t="s">
        <v>26</v>
      </c>
      <c r="P135" t="s">
        <v>27</v>
      </c>
      <c r="Q135" t="s">
        <v>43</v>
      </c>
      <c r="R135" t="s">
        <v>43</v>
      </c>
      <c r="S135" t="s">
        <v>43</v>
      </c>
      <c r="T135" t="s">
        <v>28</v>
      </c>
      <c r="U135" t="s">
        <v>28</v>
      </c>
      <c r="V135" t="s">
        <v>28</v>
      </c>
      <c r="W135" s="16" t="s">
        <v>5629</v>
      </c>
      <c r="X135" t="s">
        <v>5624</v>
      </c>
      <c r="Y135" t="s">
        <v>4495</v>
      </c>
      <c r="Z135" t="s">
        <v>4358</v>
      </c>
      <c r="AA135" t="s">
        <v>5369</v>
      </c>
      <c r="AB135" t="s">
        <v>4471</v>
      </c>
      <c r="AC135" t="s">
        <v>4460</v>
      </c>
      <c r="AE135" t="s">
        <v>5709</v>
      </c>
      <c r="AF135" t="s">
        <v>4356</v>
      </c>
      <c r="AG135" t="s">
        <v>5436</v>
      </c>
      <c r="AH135" t="s">
        <v>5433</v>
      </c>
      <c r="AI135" t="s">
        <v>4343</v>
      </c>
      <c r="AJ135">
        <f t="shared" si="2"/>
        <v>672</v>
      </c>
      <c r="AK135">
        <f t="shared" si="2"/>
        <v>672</v>
      </c>
      <c r="AL135" t="s">
        <v>5409</v>
      </c>
      <c r="AM135" t="s">
        <v>4334</v>
      </c>
      <c r="AO135">
        <v>6</v>
      </c>
      <c r="AP135">
        <v>51.984397000000001</v>
      </c>
      <c r="AQ135">
        <v>5.6601929999999996</v>
      </c>
      <c r="AT135">
        <f t="shared" si="3"/>
        <v>18</v>
      </c>
      <c r="AU135">
        <f t="shared" si="4"/>
        <v>410</v>
      </c>
      <c r="AV135" s="21">
        <v>6.5082872928176796</v>
      </c>
      <c r="AW135" s="12"/>
      <c r="AX135" t="s">
        <v>5466</v>
      </c>
      <c r="AY135" t="s">
        <v>43</v>
      </c>
    </row>
    <row r="136" spans="1:52" x14ac:dyDescent="0.55000000000000004">
      <c r="A136" t="s">
        <v>3200</v>
      </c>
      <c r="B136" t="s">
        <v>3201</v>
      </c>
      <c r="C136">
        <v>2007</v>
      </c>
      <c r="D136" t="s">
        <v>186</v>
      </c>
      <c r="E136">
        <v>296</v>
      </c>
      <c r="F136" s="4">
        <v>44563</v>
      </c>
      <c r="H136">
        <v>159</v>
      </c>
      <c r="I136">
        <v>172</v>
      </c>
      <c r="K136" s="2" t="s">
        <v>3202</v>
      </c>
      <c r="L136" s="2" t="s">
        <v>3203</v>
      </c>
      <c r="M136" t="s">
        <v>5126</v>
      </c>
      <c r="N136" t="s">
        <v>3204</v>
      </c>
      <c r="O136" t="s">
        <v>26</v>
      </c>
      <c r="P136" t="s">
        <v>27</v>
      </c>
      <c r="Q136" t="s">
        <v>43</v>
      </c>
      <c r="R136" t="s">
        <v>43</v>
      </c>
      <c r="S136" t="s">
        <v>43</v>
      </c>
      <c r="T136" t="s">
        <v>28</v>
      </c>
      <c r="U136" t="s">
        <v>28</v>
      </c>
      <c r="V136" t="s">
        <v>28</v>
      </c>
      <c r="W136" s="16" t="s">
        <v>5629</v>
      </c>
      <c r="X136" t="s">
        <v>5624</v>
      </c>
      <c r="Y136" t="s">
        <v>4495</v>
      </c>
      <c r="Z136" t="s">
        <v>4358</v>
      </c>
      <c r="AA136" t="s">
        <v>5369</v>
      </c>
      <c r="AB136" t="s">
        <v>4471</v>
      </c>
      <c r="AC136" t="s">
        <v>4460</v>
      </c>
      <c r="AE136" t="s">
        <v>5709</v>
      </c>
      <c r="AF136" t="s">
        <v>4356</v>
      </c>
      <c r="AG136" t="s">
        <v>4572</v>
      </c>
      <c r="AH136" t="s">
        <v>4573</v>
      </c>
      <c r="AI136" t="s">
        <v>4343</v>
      </c>
      <c r="AJ136">
        <f t="shared" si="2"/>
        <v>672</v>
      </c>
      <c r="AK136">
        <f t="shared" si="2"/>
        <v>672</v>
      </c>
      <c r="AL136" t="s">
        <v>5409</v>
      </c>
      <c r="AM136" t="s">
        <v>4334</v>
      </c>
      <c r="AO136">
        <v>6</v>
      </c>
      <c r="AP136">
        <v>51.984397000000001</v>
      </c>
      <c r="AQ136">
        <v>5.6601929999999996</v>
      </c>
      <c r="AT136">
        <f t="shared" si="3"/>
        <v>18</v>
      </c>
      <c r="AU136">
        <f t="shared" si="4"/>
        <v>410</v>
      </c>
      <c r="AV136" s="21">
        <v>3.3986710963455153</v>
      </c>
      <c r="AW136" s="12"/>
      <c r="AX136" t="s">
        <v>5466</v>
      </c>
      <c r="AY136" t="s">
        <v>43</v>
      </c>
    </row>
    <row r="137" spans="1:52" x14ac:dyDescent="0.55000000000000004">
      <c r="A137" t="s">
        <v>3200</v>
      </c>
      <c r="B137" t="s">
        <v>3201</v>
      </c>
      <c r="C137">
        <v>2007</v>
      </c>
      <c r="D137" t="s">
        <v>186</v>
      </c>
      <c r="E137">
        <v>296</v>
      </c>
      <c r="F137" s="4">
        <v>44563</v>
      </c>
      <c r="H137">
        <v>159</v>
      </c>
      <c r="I137">
        <v>172</v>
      </c>
      <c r="K137" s="2" t="s">
        <v>3202</v>
      </c>
      <c r="L137" s="2" t="s">
        <v>3203</v>
      </c>
      <c r="M137" t="s">
        <v>5126</v>
      </c>
      <c r="N137" t="s">
        <v>3204</v>
      </c>
      <c r="O137" t="s">
        <v>26</v>
      </c>
      <c r="P137" t="s">
        <v>27</v>
      </c>
      <c r="Q137" t="s">
        <v>43</v>
      </c>
      <c r="R137" t="s">
        <v>43</v>
      </c>
      <c r="S137" t="s">
        <v>43</v>
      </c>
      <c r="T137" t="s">
        <v>28</v>
      </c>
      <c r="U137" t="s">
        <v>28</v>
      </c>
      <c r="V137" t="s">
        <v>28</v>
      </c>
      <c r="W137" s="16" t="s">
        <v>5629</v>
      </c>
      <c r="X137" t="s">
        <v>5624</v>
      </c>
      <c r="Y137" t="s">
        <v>4495</v>
      </c>
      <c r="Z137" t="s">
        <v>4358</v>
      </c>
      <c r="AA137" t="s">
        <v>5369</v>
      </c>
      <c r="AB137" t="s">
        <v>4471</v>
      </c>
      <c r="AC137" t="s">
        <v>4460</v>
      </c>
      <c r="AE137" t="s">
        <v>5709</v>
      </c>
      <c r="AF137" t="s">
        <v>4356</v>
      </c>
      <c r="AG137" t="s">
        <v>5437</v>
      </c>
      <c r="AH137" t="s">
        <v>5434</v>
      </c>
      <c r="AI137" t="s">
        <v>4343</v>
      </c>
      <c r="AJ137">
        <f t="shared" si="2"/>
        <v>672</v>
      </c>
      <c r="AK137">
        <f t="shared" si="2"/>
        <v>672</v>
      </c>
      <c r="AL137" t="s">
        <v>5409</v>
      </c>
      <c r="AM137" t="s">
        <v>4334</v>
      </c>
      <c r="AO137">
        <v>6</v>
      </c>
      <c r="AP137">
        <v>51.984397000000001</v>
      </c>
      <c r="AQ137">
        <v>5.6601929999999996</v>
      </c>
      <c r="AT137">
        <f t="shared" si="3"/>
        <v>18</v>
      </c>
      <c r="AU137">
        <f t="shared" si="4"/>
        <v>410</v>
      </c>
      <c r="AV137" s="21">
        <v>0.73926868044515104</v>
      </c>
      <c r="AW137" s="12"/>
      <c r="AX137" t="s">
        <v>5466</v>
      </c>
      <c r="AY137" t="s">
        <v>43</v>
      </c>
    </row>
    <row r="138" spans="1:52" x14ac:dyDescent="0.55000000000000004">
      <c r="A138" t="s">
        <v>3241</v>
      </c>
      <c r="B138" t="s">
        <v>3242</v>
      </c>
      <c r="C138">
        <v>2007</v>
      </c>
      <c r="D138" t="s">
        <v>186</v>
      </c>
      <c r="E138">
        <v>291</v>
      </c>
      <c r="F138" s="4">
        <v>44563</v>
      </c>
      <c r="H138">
        <v>323</v>
      </c>
      <c r="I138">
        <v>333</v>
      </c>
      <c r="K138" s="2" t="s">
        <v>3243</v>
      </c>
      <c r="L138" s="2" t="s">
        <v>3244</v>
      </c>
      <c r="M138" t="s">
        <v>5135</v>
      </c>
      <c r="N138" t="s">
        <v>3245</v>
      </c>
      <c r="O138" t="s">
        <v>26</v>
      </c>
      <c r="P138" t="s">
        <v>27</v>
      </c>
      <c r="Q138" t="s">
        <v>43</v>
      </c>
      <c r="R138" t="s">
        <v>28</v>
      </c>
      <c r="S138" t="s">
        <v>43</v>
      </c>
      <c r="T138" t="s">
        <v>28</v>
      </c>
      <c r="U138" t="s">
        <v>28</v>
      </c>
      <c r="V138" t="s">
        <v>28</v>
      </c>
      <c r="W138" s="16" t="s">
        <v>5629</v>
      </c>
      <c r="X138" t="s">
        <v>5624</v>
      </c>
      <c r="Y138" t="s">
        <v>4495</v>
      </c>
      <c r="Z138" t="s">
        <v>4358</v>
      </c>
      <c r="AA138" t="s">
        <v>5369</v>
      </c>
      <c r="AB138" t="s">
        <v>4471</v>
      </c>
      <c r="AC138" t="s">
        <v>4460</v>
      </c>
      <c r="AE138" t="s">
        <v>5709</v>
      </c>
      <c r="AF138" t="s">
        <v>4356</v>
      </c>
      <c r="AG138" t="s">
        <v>5476</v>
      </c>
      <c r="AH138" t="s">
        <v>5483</v>
      </c>
      <c r="AI138" t="s">
        <v>4343</v>
      </c>
      <c r="AJ138">
        <v>3</v>
      </c>
      <c r="AK138">
        <v>24</v>
      </c>
      <c r="AL138" t="s">
        <v>5408</v>
      </c>
      <c r="AM138" t="s">
        <v>4334</v>
      </c>
      <c r="AO138">
        <v>4</v>
      </c>
      <c r="AT138">
        <v>14</v>
      </c>
      <c r="AU138">
        <v>450</v>
      </c>
      <c r="AV138" s="21"/>
      <c r="AW138" s="12"/>
      <c r="AX138" t="s">
        <v>5621</v>
      </c>
      <c r="AZ138" s="19" t="s">
        <v>5482</v>
      </c>
    </row>
    <row r="139" spans="1:52" x14ac:dyDescent="0.55000000000000004">
      <c r="A139" t="s">
        <v>3521</v>
      </c>
      <c r="B139" t="s">
        <v>3522</v>
      </c>
      <c r="C139">
        <v>2004</v>
      </c>
      <c r="D139" t="s">
        <v>186</v>
      </c>
      <c r="E139">
        <v>259</v>
      </c>
      <c r="F139" s="4">
        <v>44563</v>
      </c>
      <c r="H139">
        <v>111</v>
      </c>
      <c r="I139">
        <v>121</v>
      </c>
      <c r="K139" s="2" t="s">
        <v>3523</v>
      </c>
      <c r="L139" s="2" t="s">
        <v>3524</v>
      </c>
      <c r="M139" t="s">
        <v>3525</v>
      </c>
      <c r="N139" t="s">
        <v>3526</v>
      </c>
      <c r="O139" t="s">
        <v>26</v>
      </c>
      <c r="P139" t="s">
        <v>27</v>
      </c>
      <c r="Q139" t="s">
        <v>43</v>
      </c>
      <c r="R139" t="s">
        <v>43</v>
      </c>
      <c r="S139" t="s">
        <v>28</v>
      </c>
      <c r="T139" t="s">
        <v>28</v>
      </c>
      <c r="U139" t="s">
        <v>28</v>
      </c>
      <c r="V139" t="s">
        <v>28</v>
      </c>
      <c r="W139" s="16" t="s">
        <v>5629</v>
      </c>
      <c r="X139" t="s">
        <v>5624</v>
      </c>
      <c r="Y139" t="s">
        <v>4495</v>
      </c>
      <c r="Z139" t="s">
        <v>4358</v>
      </c>
      <c r="AA139" t="s">
        <v>5369</v>
      </c>
      <c r="AB139" t="s">
        <v>4471</v>
      </c>
      <c r="AC139" t="s">
        <v>4460</v>
      </c>
      <c r="AE139" t="s">
        <v>5709</v>
      </c>
      <c r="AF139" t="s">
        <v>4356</v>
      </c>
      <c r="AG139" t="s">
        <v>4419</v>
      </c>
      <c r="AH139" t="s">
        <v>4420</v>
      </c>
      <c r="AI139" t="s">
        <v>4343</v>
      </c>
      <c r="AJ139">
        <v>16</v>
      </c>
      <c r="AK139">
        <f>24*3</f>
        <v>72</v>
      </c>
      <c r="AL139" t="s">
        <v>5408</v>
      </c>
      <c r="AM139" t="s">
        <v>4334</v>
      </c>
      <c r="AO139">
        <v>4</v>
      </c>
      <c r="AP139">
        <v>62.4</v>
      </c>
      <c r="AQ139">
        <v>24.433330000000002</v>
      </c>
      <c r="AT139">
        <f>AVERAGE(13,16)</f>
        <v>14.5</v>
      </c>
      <c r="AU139">
        <v>300</v>
      </c>
      <c r="AV139" s="21">
        <v>8.23</v>
      </c>
      <c r="AW139" s="12"/>
      <c r="AX139" t="s">
        <v>5484</v>
      </c>
      <c r="AY139" t="s">
        <v>43</v>
      </c>
    </row>
    <row r="140" spans="1:52" x14ac:dyDescent="0.55000000000000004">
      <c r="A140" t="s">
        <v>3521</v>
      </c>
      <c r="B140" t="s">
        <v>3522</v>
      </c>
      <c r="C140">
        <v>2004</v>
      </c>
      <c r="D140" t="s">
        <v>186</v>
      </c>
      <c r="E140">
        <v>259</v>
      </c>
      <c r="F140" s="4">
        <v>44563</v>
      </c>
      <c r="H140">
        <v>111</v>
      </c>
      <c r="I140">
        <v>121</v>
      </c>
      <c r="K140" s="2" t="s">
        <v>3523</v>
      </c>
      <c r="L140" s="2" t="s">
        <v>3524</v>
      </c>
      <c r="M140" t="s">
        <v>3525</v>
      </c>
      <c r="N140" t="s">
        <v>3526</v>
      </c>
      <c r="O140" t="s">
        <v>26</v>
      </c>
      <c r="P140" t="s">
        <v>27</v>
      </c>
      <c r="Q140" t="s">
        <v>43</v>
      </c>
      <c r="R140" t="s">
        <v>43</v>
      </c>
      <c r="S140" t="s">
        <v>28</v>
      </c>
      <c r="T140" t="s">
        <v>28</v>
      </c>
      <c r="U140" t="s">
        <v>28</v>
      </c>
      <c r="V140" t="s">
        <v>28</v>
      </c>
      <c r="W140" s="16" t="s">
        <v>5629</v>
      </c>
      <c r="X140" t="s">
        <v>5624</v>
      </c>
      <c r="Y140" t="s">
        <v>4495</v>
      </c>
      <c r="Z140" t="s">
        <v>4358</v>
      </c>
      <c r="AA140" t="s">
        <v>5369</v>
      </c>
      <c r="AB140" t="s">
        <v>4471</v>
      </c>
      <c r="AC140" t="s">
        <v>4460</v>
      </c>
      <c r="AE140" t="s">
        <v>5709</v>
      </c>
      <c r="AF140" t="s">
        <v>4356</v>
      </c>
      <c r="AG140" t="s">
        <v>4419</v>
      </c>
      <c r="AH140" t="s">
        <v>4420</v>
      </c>
      <c r="AI140" t="s">
        <v>4343</v>
      </c>
      <c r="AJ140">
        <v>16</v>
      </c>
      <c r="AK140">
        <f>24*3</f>
        <v>72</v>
      </c>
      <c r="AL140" t="s">
        <v>5408</v>
      </c>
      <c r="AM140" t="s">
        <v>4334</v>
      </c>
      <c r="AO140">
        <v>4</v>
      </c>
      <c r="AP140">
        <v>62.4</v>
      </c>
      <c r="AQ140">
        <v>24.433330000000002</v>
      </c>
      <c r="AT140">
        <f>AVERAGE(13,16)</f>
        <v>14.5</v>
      </c>
      <c r="AU140">
        <v>300</v>
      </c>
      <c r="AV140" s="21">
        <v>7.19</v>
      </c>
      <c r="AW140" s="12"/>
      <c r="AX140" t="s">
        <v>5485</v>
      </c>
      <c r="AY140" t="s">
        <v>43</v>
      </c>
    </row>
    <row r="141" spans="1:52" x14ac:dyDescent="0.55000000000000004">
      <c r="A141" t="s">
        <v>3677</v>
      </c>
      <c r="B141" t="s">
        <v>3678</v>
      </c>
      <c r="C141">
        <v>2002</v>
      </c>
      <c r="D141" t="s">
        <v>513</v>
      </c>
      <c r="E141">
        <v>12</v>
      </c>
      <c r="F141">
        <v>2</v>
      </c>
      <c r="H141">
        <v>83</v>
      </c>
      <c r="I141">
        <v>88</v>
      </c>
      <c r="K141" s="2" t="s">
        <v>3679</v>
      </c>
      <c r="L141" s="2" t="s">
        <v>3680</v>
      </c>
      <c r="M141" t="s">
        <v>3681</v>
      </c>
      <c r="N141" t="s">
        <v>3682</v>
      </c>
      <c r="O141" t="s">
        <v>26</v>
      </c>
      <c r="P141" t="s">
        <v>27</v>
      </c>
      <c r="Q141" t="s">
        <v>43</v>
      </c>
      <c r="R141" t="s">
        <v>43</v>
      </c>
      <c r="S141" t="s">
        <v>28</v>
      </c>
      <c r="T141" t="s">
        <v>28</v>
      </c>
      <c r="U141" t="s">
        <v>28</v>
      </c>
      <c r="V141" t="s">
        <v>28</v>
      </c>
      <c r="W141" s="16" t="s">
        <v>5629</v>
      </c>
      <c r="X141" t="s">
        <v>5624</v>
      </c>
      <c r="Y141" t="s">
        <v>4495</v>
      </c>
      <c r="Z141" t="s">
        <v>4358</v>
      </c>
      <c r="AA141" t="s">
        <v>5369</v>
      </c>
      <c r="AB141" t="s">
        <v>4471</v>
      </c>
      <c r="AC141" t="s">
        <v>5414</v>
      </c>
      <c r="AE141" t="s">
        <v>5709</v>
      </c>
      <c r="AF141" t="s">
        <v>4356</v>
      </c>
      <c r="AG141" t="s">
        <v>5425</v>
      </c>
      <c r="AH141" t="s">
        <v>5426</v>
      </c>
      <c r="AI141" t="s">
        <v>5427</v>
      </c>
      <c r="AJ141">
        <v>2</v>
      </c>
      <c r="AK141">
        <f>24*3</f>
        <v>72</v>
      </c>
      <c r="AL141" t="s">
        <v>5408</v>
      </c>
      <c r="AM141" t="s">
        <v>4334</v>
      </c>
      <c r="AO141">
        <v>3</v>
      </c>
      <c r="AP141">
        <v>35.716493</v>
      </c>
      <c r="AQ141">
        <v>139.760696</v>
      </c>
      <c r="AT141">
        <f>AVERAGE(25,28)</f>
        <v>26.5</v>
      </c>
      <c r="AU141">
        <v>500</v>
      </c>
      <c r="AV141" s="21">
        <v>17</v>
      </c>
      <c r="AW141" s="12"/>
      <c r="AX141" t="s">
        <v>5595</v>
      </c>
      <c r="AZ141" s="20" t="s">
        <v>5704</v>
      </c>
    </row>
    <row r="142" spans="1:52" x14ac:dyDescent="0.55000000000000004">
      <c r="A142" t="s">
        <v>5226</v>
      </c>
      <c r="B142" t="s">
        <v>4574</v>
      </c>
      <c r="C142">
        <v>2001</v>
      </c>
      <c r="D142" t="s">
        <v>68</v>
      </c>
      <c r="E142">
        <v>151</v>
      </c>
      <c r="H142">
        <v>543</v>
      </c>
      <c r="I142">
        <v>550</v>
      </c>
      <c r="K142" s="2" t="s">
        <v>4576</v>
      </c>
      <c r="L142" s="2" t="s">
        <v>4575</v>
      </c>
      <c r="N142" t="s">
        <v>4577</v>
      </c>
      <c r="O142" t="s">
        <v>26</v>
      </c>
      <c r="P142" t="s">
        <v>4384</v>
      </c>
      <c r="Q142" t="s">
        <v>43</v>
      </c>
      <c r="R142" t="s">
        <v>43</v>
      </c>
      <c r="S142" t="s">
        <v>28</v>
      </c>
      <c r="T142" t="s">
        <v>28</v>
      </c>
      <c r="U142" t="s">
        <v>28</v>
      </c>
      <c r="V142" t="s">
        <v>28</v>
      </c>
      <c r="W142" t="s">
        <v>4336</v>
      </c>
      <c r="X142" t="s">
        <v>5624</v>
      </c>
      <c r="Y142" t="s">
        <v>4495</v>
      </c>
      <c r="Z142" t="s">
        <v>4358</v>
      </c>
      <c r="AA142" t="s">
        <v>5369</v>
      </c>
      <c r="AB142" t="s">
        <v>4471</v>
      </c>
      <c r="AC142" t="s">
        <v>4578</v>
      </c>
      <c r="AE142" t="s">
        <v>5709</v>
      </c>
      <c r="AF142" t="s">
        <v>4356</v>
      </c>
      <c r="AG142" t="s">
        <v>4579</v>
      </c>
      <c r="AH142">
        <v>2272</v>
      </c>
      <c r="AI142" t="s">
        <v>4415</v>
      </c>
      <c r="AL142" t="s">
        <v>5408</v>
      </c>
      <c r="AM142" t="s">
        <v>4334</v>
      </c>
      <c r="AO142">
        <v>6</v>
      </c>
      <c r="AP142">
        <v>37.871899999999997</v>
      </c>
      <c r="AQ142">
        <v>-122.2585</v>
      </c>
      <c r="AT142">
        <v>17</v>
      </c>
      <c r="AU142">
        <v>200</v>
      </c>
      <c r="AV142" s="21">
        <v>3.18</v>
      </c>
      <c r="AW142" s="12"/>
      <c r="AX142" t="s">
        <v>5597</v>
      </c>
    </row>
    <row r="143" spans="1:52" x14ac:dyDescent="0.55000000000000004">
      <c r="A143" t="s">
        <v>5226</v>
      </c>
      <c r="B143" t="s">
        <v>4574</v>
      </c>
      <c r="C143">
        <v>2001</v>
      </c>
      <c r="D143" t="s">
        <v>68</v>
      </c>
      <c r="E143">
        <v>151</v>
      </c>
      <c r="H143">
        <v>543</v>
      </c>
      <c r="I143">
        <v>550</v>
      </c>
      <c r="K143" s="2" t="s">
        <v>4576</v>
      </c>
      <c r="L143" s="2" t="s">
        <v>4575</v>
      </c>
      <c r="N143" t="s">
        <v>4577</v>
      </c>
      <c r="O143" t="s">
        <v>26</v>
      </c>
      <c r="P143" t="s">
        <v>4384</v>
      </c>
      <c r="Q143" t="s">
        <v>43</v>
      </c>
      <c r="R143" t="s">
        <v>43</v>
      </c>
      <c r="S143" t="s">
        <v>28</v>
      </c>
      <c r="T143" t="s">
        <v>28</v>
      </c>
      <c r="U143" t="s">
        <v>28</v>
      </c>
      <c r="V143" t="s">
        <v>28</v>
      </c>
      <c r="W143" t="s">
        <v>4336</v>
      </c>
      <c r="X143" t="s">
        <v>5624</v>
      </c>
      <c r="Y143" t="s">
        <v>4495</v>
      </c>
      <c r="Z143" t="s">
        <v>4358</v>
      </c>
      <c r="AA143" t="s">
        <v>5369</v>
      </c>
      <c r="AB143" t="s">
        <v>4471</v>
      </c>
      <c r="AC143" t="s">
        <v>4578</v>
      </c>
      <c r="AE143" t="s">
        <v>5709</v>
      </c>
      <c r="AF143" t="s">
        <v>4356</v>
      </c>
      <c r="AG143" t="s">
        <v>4579</v>
      </c>
      <c r="AH143">
        <v>371</v>
      </c>
      <c r="AI143" t="s">
        <v>4415</v>
      </c>
      <c r="AL143" t="s">
        <v>5408</v>
      </c>
      <c r="AM143" t="s">
        <v>4334</v>
      </c>
      <c r="AO143">
        <v>4</v>
      </c>
      <c r="AP143">
        <v>37.871899999999997</v>
      </c>
      <c r="AQ143">
        <v>-122.2585</v>
      </c>
      <c r="AT143">
        <v>17</v>
      </c>
      <c r="AU143">
        <v>200</v>
      </c>
      <c r="AV143" s="21">
        <v>1.77</v>
      </c>
      <c r="AW143" s="12"/>
      <c r="AX143" t="s">
        <v>5597</v>
      </c>
    </row>
    <row r="144" spans="1:52" x14ac:dyDescent="0.55000000000000004">
      <c r="A144" t="s">
        <v>5226</v>
      </c>
      <c r="B144" t="s">
        <v>4574</v>
      </c>
      <c r="C144">
        <v>2001</v>
      </c>
      <c r="D144" t="s">
        <v>68</v>
      </c>
      <c r="E144">
        <v>151</v>
      </c>
      <c r="H144">
        <v>543</v>
      </c>
      <c r="I144">
        <v>550</v>
      </c>
      <c r="K144" s="2" t="s">
        <v>4576</v>
      </c>
      <c r="L144" s="2" t="s">
        <v>4575</v>
      </c>
      <c r="N144" t="s">
        <v>4577</v>
      </c>
      <c r="O144" t="s">
        <v>26</v>
      </c>
      <c r="P144" t="s">
        <v>4384</v>
      </c>
      <c r="Q144" t="s">
        <v>43</v>
      </c>
      <c r="R144" t="s">
        <v>43</v>
      </c>
      <c r="S144" t="s">
        <v>28</v>
      </c>
      <c r="T144" t="s">
        <v>28</v>
      </c>
      <c r="U144" t="s">
        <v>28</v>
      </c>
      <c r="V144" t="s">
        <v>28</v>
      </c>
      <c r="W144" t="s">
        <v>4336</v>
      </c>
      <c r="X144" t="s">
        <v>5624</v>
      </c>
      <c r="Y144" t="s">
        <v>4495</v>
      </c>
      <c r="Z144" t="s">
        <v>4358</v>
      </c>
      <c r="AA144" t="s">
        <v>5369</v>
      </c>
      <c r="AB144" t="s">
        <v>4471</v>
      </c>
      <c r="AC144" t="s">
        <v>4578</v>
      </c>
      <c r="AE144" t="s">
        <v>5709</v>
      </c>
      <c r="AF144" t="s">
        <v>4356</v>
      </c>
      <c r="AG144" t="s">
        <v>4579</v>
      </c>
      <c r="AH144">
        <v>378</v>
      </c>
      <c r="AI144" t="s">
        <v>4415</v>
      </c>
      <c r="AL144" t="s">
        <v>5408</v>
      </c>
      <c r="AM144" t="s">
        <v>4334</v>
      </c>
      <c r="AO144">
        <v>7</v>
      </c>
      <c r="AP144">
        <v>37.871899999999997</v>
      </c>
      <c r="AQ144">
        <v>-122.2585</v>
      </c>
      <c r="AT144">
        <v>17</v>
      </c>
      <c r="AU144">
        <v>200</v>
      </c>
      <c r="AV144" s="21">
        <v>4.3099999999999996</v>
      </c>
      <c r="AW144" s="12"/>
      <c r="AX144" t="s">
        <v>5597</v>
      </c>
    </row>
    <row r="145" spans="1:52" x14ac:dyDescent="0.55000000000000004">
      <c r="A145" t="s">
        <v>5226</v>
      </c>
      <c r="B145" t="s">
        <v>4574</v>
      </c>
      <c r="C145">
        <v>2001</v>
      </c>
      <c r="D145" t="s">
        <v>68</v>
      </c>
      <c r="E145">
        <v>151</v>
      </c>
      <c r="H145">
        <v>543</v>
      </c>
      <c r="I145">
        <v>550</v>
      </c>
      <c r="K145" s="2" t="s">
        <v>4576</v>
      </c>
      <c r="L145" s="2" t="s">
        <v>4575</v>
      </c>
      <c r="N145" t="s">
        <v>4577</v>
      </c>
      <c r="O145" t="s">
        <v>26</v>
      </c>
      <c r="P145" t="s">
        <v>4384</v>
      </c>
      <c r="Q145" t="s">
        <v>43</v>
      </c>
      <c r="R145" t="s">
        <v>43</v>
      </c>
      <c r="S145" t="s">
        <v>28</v>
      </c>
      <c r="T145" t="s">
        <v>28</v>
      </c>
      <c r="U145" t="s">
        <v>28</v>
      </c>
      <c r="V145" t="s">
        <v>28</v>
      </c>
      <c r="W145" t="s">
        <v>4336</v>
      </c>
      <c r="X145" t="s">
        <v>5624</v>
      </c>
      <c r="Y145" t="s">
        <v>4495</v>
      </c>
      <c r="Z145" t="s">
        <v>4358</v>
      </c>
      <c r="AA145" t="s">
        <v>5369</v>
      </c>
      <c r="AB145" t="s">
        <v>4471</v>
      </c>
      <c r="AC145" t="s">
        <v>4578</v>
      </c>
      <c r="AE145" t="s">
        <v>5709</v>
      </c>
      <c r="AF145" t="s">
        <v>4356</v>
      </c>
      <c r="AG145" t="s">
        <v>4572</v>
      </c>
      <c r="AH145" t="s">
        <v>4573</v>
      </c>
      <c r="AI145" t="s">
        <v>4415</v>
      </c>
      <c r="AL145" t="s">
        <v>5408</v>
      </c>
      <c r="AM145" t="s">
        <v>4334</v>
      </c>
      <c r="AO145">
        <v>9</v>
      </c>
      <c r="AP145">
        <v>37.871899999999997</v>
      </c>
      <c r="AQ145">
        <v>-122.2585</v>
      </c>
      <c r="AT145">
        <v>17</v>
      </c>
      <c r="AU145">
        <v>200</v>
      </c>
      <c r="AV145" s="21">
        <v>17.600000000000001</v>
      </c>
      <c r="AW145" s="12"/>
      <c r="AX145" t="s">
        <v>5597</v>
      </c>
    </row>
    <row r="146" spans="1:52" x14ac:dyDescent="0.55000000000000004">
      <c r="A146" t="s">
        <v>5226</v>
      </c>
      <c r="B146" t="s">
        <v>4574</v>
      </c>
      <c r="C146">
        <v>2001</v>
      </c>
      <c r="D146" t="s">
        <v>68</v>
      </c>
      <c r="E146">
        <v>151</v>
      </c>
      <c r="H146">
        <v>543</v>
      </c>
      <c r="I146">
        <v>550</v>
      </c>
      <c r="K146" s="2" t="s">
        <v>4576</v>
      </c>
      <c r="L146" s="2" t="s">
        <v>4575</v>
      </c>
      <c r="N146" t="s">
        <v>4577</v>
      </c>
      <c r="O146" t="s">
        <v>26</v>
      </c>
      <c r="P146" t="s">
        <v>4384</v>
      </c>
      <c r="Q146" t="s">
        <v>43</v>
      </c>
      <c r="R146" t="s">
        <v>43</v>
      </c>
      <c r="S146" t="s">
        <v>28</v>
      </c>
      <c r="T146" t="s">
        <v>28</v>
      </c>
      <c r="U146" t="s">
        <v>28</v>
      </c>
      <c r="V146" t="s">
        <v>28</v>
      </c>
      <c r="W146" t="s">
        <v>4336</v>
      </c>
      <c r="X146" t="s">
        <v>5624</v>
      </c>
      <c r="Y146" t="s">
        <v>4495</v>
      </c>
      <c r="Z146" t="s">
        <v>4358</v>
      </c>
      <c r="AA146" t="s">
        <v>5369</v>
      </c>
      <c r="AB146" t="s">
        <v>4471</v>
      </c>
      <c r="AC146" t="s">
        <v>4578</v>
      </c>
      <c r="AE146" t="s">
        <v>5709</v>
      </c>
      <c r="AF146" t="s">
        <v>4356</v>
      </c>
      <c r="AG146" t="s">
        <v>4581</v>
      </c>
      <c r="AH146" t="s">
        <v>4582</v>
      </c>
      <c r="AI146" t="s">
        <v>4415</v>
      </c>
      <c r="AL146" t="s">
        <v>5408</v>
      </c>
      <c r="AM146" t="s">
        <v>4334</v>
      </c>
      <c r="AO146">
        <v>8</v>
      </c>
      <c r="AP146">
        <v>37.871899999999997</v>
      </c>
      <c r="AQ146">
        <v>-122.2585</v>
      </c>
      <c r="AT146">
        <v>17</v>
      </c>
      <c r="AU146">
        <v>200</v>
      </c>
      <c r="AV146" s="21">
        <v>3.46</v>
      </c>
      <c r="AW146" s="12"/>
      <c r="AX146" t="s">
        <v>5597</v>
      </c>
    </row>
    <row r="147" spans="1:52" x14ac:dyDescent="0.55000000000000004">
      <c r="A147" t="s">
        <v>4478</v>
      </c>
      <c r="B147" t="s">
        <v>4479</v>
      </c>
      <c r="C147">
        <v>2001</v>
      </c>
      <c r="D147" t="s">
        <v>1005</v>
      </c>
      <c r="E147">
        <v>31</v>
      </c>
      <c r="H147">
        <v>1425</v>
      </c>
      <c r="I147">
        <v>1436</v>
      </c>
      <c r="K147" s="2" t="s">
        <v>4481</v>
      </c>
      <c r="L147" s="2" t="s">
        <v>4480</v>
      </c>
      <c r="O147" t="s">
        <v>26</v>
      </c>
      <c r="P147" t="s">
        <v>4384</v>
      </c>
      <c r="Q147" t="s">
        <v>43</v>
      </c>
      <c r="R147" t="s">
        <v>43</v>
      </c>
      <c r="S147" t="s">
        <v>28</v>
      </c>
      <c r="T147" t="s">
        <v>28</v>
      </c>
      <c r="U147" t="s">
        <v>28</v>
      </c>
      <c r="V147" t="s">
        <v>28</v>
      </c>
      <c r="W147" t="s">
        <v>4336</v>
      </c>
      <c r="X147" t="s">
        <v>5624</v>
      </c>
      <c r="Y147" t="s">
        <v>4495</v>
      </c>
      <c r="Z147" t="s">
        <v>4358</v>
      </c>
      <c r="AA147" t="s">
        <v>5369</v>
      </c>
      <c r="AB147" t="s">
        <v>4482</v>
      </c>
      <c r="AC147" t="s">
        <v>4483</v>
      </c>
      <c r="AE147" t="s">
        <v>5709</v>
      </c>
      <c r="AF147" t="s">
        <v>4356</v>
      </c>
      <c r="AG147" t="s">
        <v>4419</v>
      </c>
      <c r="AH147" t="s">
        <v>4420</v>
      </c>
      <c r="AI147" t="s">
        <v>4463</v>
      </c>
      <c r="AL147" t="s">
        <v>5408</v>
      </c>
      <c r="AM147" t="s">
        <v>4355</v>
      </c>
      <c r="AO147">
        <v>2</v>
      </c>
      <c r="AP147">
        <v>49.416670000000003</v>
      </c>
      <c r="AQ147">
        <v>119.11669999999999</v>
      </c>
      <c r="AV147" s="21">
        <v>29.5</v>
      </c>
      <c r="AW147" s="12"/>
      <c r="AX147" t="s">
        <v>5611</v>
      </c>
    </row>
    <row r="148" spans="1:52" x14ac:dyDescent="0.55000000000000004">
      <c r="A148" t="s">
        <v>4478</v>
      </c>
      <c r="B148" t="s">
        <v>4479</v>
      </c>
      <c r="C148">
        <v>2001</v>
      </c>
      <c r="D148" t="s">
        <v>1005</v>
      </c>
      <c r="E148">
        <v>31</v>
      </c>
      <c r="H148">
        <v>1425</v>
      </c>
      <c r="I148">
        <v>1436</v>
      </c>
      <c r="K148" s="2" t="s">
        <v>4481</v>
      </c>
      <c r="L148" s="2" t="s">
        <v>4480</v>
      </c>
      <c r="O148" t="s">
        <v>26</v>
      </c>
      <c r="P148" t="s">
        <v>4384</v>
      </c>
      <c r="Q148" t="s">
        <v>43</v>
      </c>
      <c r="R148" t="s">
        <v>43</v>
      </c>
      <c r="S148" t="s">
        <v>28</v>
      </c>
      <c r="T148" t="s">
        <v>28</v>
      </c>
      <c r="U148" t="s">
        <v>28</v>
      </c>
      <c r="V148" t="s">
        <v>28</v>
      </c>
      <c r="W148" t="s">
        <v>4336</v>
      </c>
      <c r="X148" t="s">
        <v>5624</v>
      </c>
      <c r="Y148" t="s">
        <v>4495</v>
      </c>
      <c r="Z148" t="s">
        <v>4358</v>
      </c>
      <c r="AA148" t="s">
        <v>5369</v>
      </c>
      <c r="AB148" t="s">
        <v>4482</v>
      </c>
      <c r="AC148" t="s">
        <v>4483</v>
      </c>
      <c r="AE148" t="s">
        <v>5709</v>
      </c>
      <c r="AF148" t="s">
        <v>4356</v>
      </c>
      <c r="AG148" t="s">
        <v>4419</v>
      </c>
      <c r="AH148" t="s">
        <v>4420</v>
      </c>
      <c r="AI148" t="s">
        <v>4463</v>
      </c>
      <c r="AL148" t="s">
        <v>5408</v>
      </c>
      <c r="AM148" t="s">
        <v>4355</v>
      </c>
      <c r="AO148">
        <v>2</v>
      </c>
      <c r="AP148">
        <v>49.416670000000003</v>
      </c>
      <c r="AQ148">
        <v>119.11669999999999</v>
      </c>
      <c r="AV148" s="21">
        <v>23.5</v>
      </c>
      <c r="AW148" s="12"/>
      <c r="AX148" t="s">
        <v>5612</v>
      </c>
    </row>
    <row r="149" spans="1:52" x14ac:dyDescent="0.55000000000000004">
      <c r="A149" t="s">
        <v>3677</v>
      </c>
      <c r="B149" t="s">
        <v>3801</v>
      </c>
      <c r="C149">
        <v>2001</v>
      </c>
      <c r="D149" t="s">
        <v>68</v>
      </c>
      <c r="E149">
        <v>149</v>
      </c>
      <c r="F149">
        <v>1</v>
      </c>
      <c r="H149">
        <v>137</v>
      </c>
      <c r="I149">
        <v>146</v>
      </c>
      <c r="K149" s="2" t="s">
        <v>3802</v>
      </c>
      <c r="L149" s="2" t="s">
        <v>3803</v>
      </c>
      <c r="M149" t="s">
        <v>5235</v>
      </c>
      <c r="N149" t="s">
        <v>3804</v>
      </c>
      <c r="O149" t="s">
        <v>26</v>
      </c>
      <c r="P149" t="s">
        <v>27</v>
      </c>
      <c r="Q149" t="s">
        <v>43</v>
      </c>
      <c r="R149" t="s">
        <v>28</v>
      </c>
      <c r="S149" t="s">
        <v>43</v>
      </c>
      <c r="T149" t="s">
        <v>28</v>
      </c>
      <c r="U149" t="s">
        <v>28</v>
      </c>
      <c r="V149" t="s">
        <v>28</v>
      </c>
      <c r="W149" s="16" t="s">
        <v>5629</v>
      </c>
      <c r="X149" t="s">
        <v>5624</v>
      </c>
      <c r="Y149" t="s">
        <v>4495</v>
      </c>
      <c r="Z149" t="s">
        <v>4358</v>
      </c>
      <c r="AA149" t="s">
        <v>5369</v>
      </c>
      <c r="AB149" t="s">
        <v>4471</v>
      </c>
      <c r="AC149" t="s">
        <v>5414</v>
      </c>
      <c r="AE149" t="s">
        <v>5709</v>
      </c>
      <c r="AF149" t="s">
        <v>4356</v>
      </c>
      <c r="AG149" t="s">
        <v>5415</v>
      </c>
      <c r="AH149" t="s">
        <v>5416</v>
      </c>
      <c r="AI149" t="s">
        <v>5427</v>
      </c>
      <c r="AJ149">
        <v>2</v>
      </c>
      <c r="AK149">
        <f>3*24</f>
        <v>72</v>
      </c>
      <c r="AL149" t="s">
        <v>5408</v>
      </c>
      <c r="AM149" t="s">
        <v>4334</v>
      </c>
      <c r="AO149">
        <v>3</v>
      </c>
      <c r="AP149">
        <v>35.716493</v>
      </c>
      <c r="AQ149">
        <v>139.760696</v>
      </c>
      <c r="AV149" s="21"/>
      <c r="AW149" s="12"/>
      <c r="AX149" t="s">
        <v>5617</v>
      </c>
      <c r="AZ149" s="19" t="s">
        <v>5424</v>
      </c>
    </row>
    <row r="150" spans="1:52" x14ac:dyDescent="0.55000000000000004">
      <c r="A150" t="s">
        <v>3829</v>
      </c>
      <c r="B150" t="s">
        <v>3830</v>
      </c>
      <c r="C150">
        <v>2001</v>
      </c>
      <c r="D150" t="s">
        <v>152</v>
      </c>
      <c r="E150">
        <v>21</v>
      </c>
      <c r="F150" s="4">
        <v>44595</v>
      </c>
      <c r="H150">
        <v>71</v>
      </c>
      <c r="I150">
        <v>82</v>
      </c>
      <c r="K150" s="2" t="s">
        <v>3831</v>
      </c>
      <c r="L150" s="2" t="s">
        <v>3832</v>
      </c>
      <c r="M150" t="s">
        <v>3833</v>
      </c>
      <c r="N150" t="s">
        <v>3834</v>
      </c>
      <c r="O150" t="s">
        <v>26</v>
      </c>
      <c r="P150" t="s">
        <v>27</v>
      </c>
      <c r="Q150" t="s">
        <v>43</v>
      </c>
      <c r="R150" t="s">
        <v>43</v>
      </c>
      <c r="S150" t="s">
        <v>28</v>
      </c>
      <c r="T150" t="s">
        <v>43</v>
      </c>
      <c r="U150" t="s">
        <v>28</v>
      </c>
      <c r="V150" t="s">
        <v>28</v>
      </c>
      <c r="W150" s="16" t="s">
        <v>5629</v>
      </c>
      <c r="X150" t="s">
        <v>5624</v>
      </c>
      <c r="Y150" t="s">
        <v>4495</v>
      </c>
      <c r="Z150" t="s">
        <v>4358</v>
      </c>
      <c r="AA150" t="s">
        <v>5369</v>
      </c>
      <c r="AB150" t="s">
        <v>4459</v>
      </c>
      <c r="AC150" t="s">
        <v>4460</v>
      </c>
      <c r="AE150" t="s">
        <v>5709</v>
      </c>
      <c r="AF150" t="s">
        <v>4356</v>
      </c>
      <c r="AG150" t="s">
        <v>4461</v>
      </c>
      <c r="AH150" t="s">
        <v>4462</v>
      </c>
      <c r="AI150" t="s">
        <v>4343</v>
      </c>
      <c r="AJ150">
        <v>3</v>
      </c>
      <c r="AK150">
        <v>132</v>
      </c>
      <c r="AL150" t="s">
        <v>5408</v>
      </c>
      <c r="AM150" t="s">
        <v>4334</v>
      </c>
      <c r="AO150">
        <v>3</v>
      </c>
      <c r="AP150">
        <v>53.381349999999998</v>
      </c>
      <c r="AQ150">
        <v>-1.4884230000000001</v>
      </c>
      <c r="AT150">
        <v>18</v>
      </c>
      <c r="AU150">
        <v>150</v>
      </c>
      <c r="AV150" s="21">
        <v>9</v>
      </c>
      <c r="AW150" s="12">
        <v>3.7</v>
      </c>
      <c r="AX150" t="s">
        <v>4458</v>
      </c>
      <c r="AZ150" s="20" t="s">
        <v>5696</v>
      </c>
    </row>
    <row r="151" spans="1:52" x14ac:dyDescent="0.55000000000000004">
      <c r="A151" t="s">
        <v>4010</v>
      </c>
      <c r="B151" t="s">
        <v>4011</v>
      </c>
      <c r="C151">
        <v>1998</v>
      </c>
      <c r="D151" t="s">
        <v>68</v>
      </c>
      <c r="E151">
        <v>140</v>
      </c>
      <c r="F151">
        <v>1</v>
      </c>
      <c r="H151">
        <v>125</v>
      </c>
      <c r="I151">
        <v>134</v>
      </c>
      <c r="K151" s="2" t="s">
        <v>4012</v>
      </c>
      <c r="L151" s="2" t="s">
        <v>4013</v>
      </c>
      <c r="M151" t="s">
        <v>5264</v>
      </c>
      <c r="N151" t="s">
        <v>4014</v>
      </c>
      <c r="O151" t="s">
        <v>26</v>
      </c>
      <c r="P151" t="s">
        <v>27</v>
      </c>
      <c r="Q151" t="s">
        <v>43</v>
      </c>
      <c r="R151" t="s">
        <v>43</v>
      </c>
      <c r="S151" t="s">
        <v>28</v>
      </c>
      <c r="T151" t="s">
        <v>28</v>
      </c>
      <c r="U151" t="s">
        <v>28</v>
      </c>
      <c r="V151" t="s">
        <v>28</v>
      </c>
      <c r="W151" s="16" t="s">
        <v>5629</v>
      </c>
      <c r="X151" t="s">
        <v>5624</v>
      </c>
      <c r="Y151" t="s">
        <v>4495</v>
      </c>
      <c r="Z151" t="s">
        <v>4358</v>
      </c>
      <c r="AA151" t="s">
        <v>5369</v>
      </c>
      <c r="AB151" t="s">
        <v>5397</v>
      </c>
      <c r="AC151" t="s">
        <v>5398</v>
      </c>
      <c r="AE151" t="s">
        <v>5708</v>
      </c>
      <c r="AF151" t="s">
        <v>4356</v>
      </c>
      <c r="AG151" t="s">
        <v>4476</v>
      </c>
      <c r="AH151" t="s">
        <v>5399</v>
      </c>
      <c r="AI151" t="s">
        <v>4343</v>
      </c>
      <c r="AJ151">
        <v>1</v>
      </c>
      <c r="AK151">
        <v>200</v>
      </c>
      <c r="AL151" t="s">
        <v>5408</v>
      </c>
      <c r="AM151" t="s">
        <v>4334</v>
      </c>
      <c r="AO151">
        <v>3</v>
      </c>
      <c r="AP151">
        <v>51.759008999999999</v>
      </c>
      <c r="AQ151">
        <v>-1.25234</v>
      </c>
      <c r="AV151" s="21">
        <v>12.1</v>
      </c>
      <c r="AW151" s="12">
        <v>1.7</v>
      </c>
      <c r="AX151" t="s">
        <v>5586</v>
      </c>
    </row>
    <row r="152" spans="1:52" x14ac:dyDescent="0.55000000000000004">
      <c r="A152" t="s">
        <v>4567</v>
      </c>
      <c r="B152" t="s">
        <v>4568</v>
      </c>
      <c r="C152">
        <v>1997</v>
      </c>
      <c r="D152" t="s">
        <v>68</v>
      </c>
      <c r="E152">
        <v>135</v>
      </c>
      <c r="H152">
        <v>133</v>
      </c>
      <c r="I152">
        <v>142</v>
      </c>
      <c r="K152" s="2" t="s">
        <v>4569</v>
      </c>
      <c r="L152" s="2" t="s">
        <v>4570</v>
      </c>
      <c r="M152" t="s">
        <v>4571</v>
      </c>
      <c r="O152" t="s">
        <v>26</v>
      </c>
      <c r="P152" t="s">
        <v>4384</v>
      </c>
      <c r="Q152" t="s">
        <v>43</v>
      </c>
      <c r="R152" t="s">
        <v>43</v>
      </c>
      <c r="S152" t="s">
        <v>28</v>
      </c>
      <c r="T152" t="s">
        <v>28</v>
      </c>
      <c r="U152" t="s">
        <v>28</v>
      </c>
      <c r="V152" t="s">
        <v>28</v>
      </c>
      <c r="W152" t="s">
        <v>4336</v>
      </c>
      <c r="X152" t="s">
        <v>5624</v>
      </c>
      <c r="Y152" t="s">
        <v>4495</v>
      </c>
      <c r="Z152" t="s">
        <v>4358</v>
      </c>
      <c r="AA152" t="s">
        <v>5369</v>
      </c>
      <c r="AB152" t="s">
        <v>4375</v>
      </c>
      <c r="AC152" t="s">
        <v>4486</v>
      </c>
      <c r="AE152" t="s">
        <v>5708</v>
      </c>
      <c r="AF152" t="s">
        <v>4356</v>
      </c>
      <c r="AG152" t="s">
        <v>4572</v>
      </c>
      <c r="AH152" t="s">
        <v>4573</v>
      </c>
      <c r="AI152" t="s">
        <v>4415</v>
      </c>
      <c r="AL152" t="s">
        <v>5408</v>
      </c>
      <c r="AM152" t="s">
        <v>4334</v>
      </c>
      <c r="AP152">
        <v>55.7119</v>
      </c>
      <c r="AQ152">
        <v>13.2035</v>
      </c>
      <c r="AT152">
        <v>17</v>
      </c>
      <c r="AU152">
        <v>200</v>
      </c>
      <c r="AV152" s="21">
        <v>20</v>
      </c>
      <c r="AW152" s="12"/>
      <c r="AX152" t="s">
        <v>5552</v>
      </c>
    </row>
    <row r="153" spans="1:52" x14ac:dyDescent="0.55000000000000004">
      <c r="A153" t="s">
        <v>4567</v>
      </c>
      <c r="B153" t="s">
        <v>4568</v>
      </c>
      <c r="C153">
        <v>1997</v>
      </c>
      <c r="D153" t="s">
        <v>68</v>
      </c>
      <c r="E153">
        <v>135</v>
      </c>
      <c r="H153">
        <v>133</v>
      </c>
      <c r="I153">
        <v>142</v>
      </c>
      <c r="K153" s="2" t="s">
        <v>4569</v>
      </c>
      <c r="L153" s="2" t="s">
        <v>4570</v>
      </c>
      <c r="M153" t="s">
        <v>4571</v>
      </c>
      <c r="O153" t="s">
        <v>26</v>
      </c>
      <c r="P153" t="s">
        <v>4384</v>
      </c>
      <c r="Q153" t="s">
        <v>43</v>
      </c>
      <c r="R153" t="s">
        <v>43</v>
      </c>
      <c r="S153" t="s">
        <v>28</v>
      </c>
      <c r="T153" t="s">
        <v>28</v>
      </c>
      <c r="U153" t="s">
        <v>28</v>
      </c>
      <c r="V153" t="s">
        <v>28</v>
      </c>
      <c r="W153" t="s">
        <v>4336</v>
      </c>
      <c r="X153" t="s">
        <v>5624</v>
      </c>
      <c r="Y153" t="s">
        <v>4495</v>
      </c>
      <c r="Z153" t="s">
        <v>4358</v>
      </c>
      <c r="AA153" t="s">
        <v>5369</v>
      </c>
      <c r="AB153" t="s">
        <v>4375</v>
      </c>
      <c r="AC153" t="s">
        <v>4486</v>
      </c>
      <c r="AE153" t="s">
        <v>5708</v>
      </c>
      <c r="AF153" t="s">
        <v>4356</v>
      </c>
      <c r="AG153" t="s">
        <v>4572</v>
      </c>
      <c r="AH153" t="s">
        <v>4573</v>
      </c>
      <c r="AI153" t="s">
        <v>4415</v>
      </c>
      <c r="AL153" t="s">
        <v>5408</v>
      </c>
      <c r="AM153" t="s">
        <v>4334</v>
      </c>
      <c r="AP153">
        <v>55.7119</v>
      </c>
      <c r="AQ153">
        <v>13.2035</v>
      </c>
      <c r="AT153">
        <v>17</v>
      </c>
      <c r="AU153">
        <v>200</v>
      </c>
      <c r="AV153" s="21">
        <v>29</v>
      </c>
      <c r="AW153" s="12"/>
      <c r="AX153" t="s">
        <v>5552</v>
      </c>
    </row>
    <row r="154" spans="1:52" x14ac:dyDescent="0.55000000000000004">
      <c r="A154" t="s">
        <v>5394</v>
      </c>
      <c r="B154" t="s">
        <v>4085</v>
      </c>
      <c r="C154">
        <v>1996</v>
      </c>
      <c r="D154" t="s">
        <v>513</v>
      </c>
      <c r="E154">
        <v>6</v>
      </c>
      <c r="F154">
        <v>6</v>
      </c>
      <c r="H154">
        <v>465</v>
      </c>
      <c r="I154">
        <v>467</v>
      </c>
      <c r="K154" s="2" t="s">
        <v>4086</v>
      </c>
      <c r="L154" s="2" t="s">
        <v>4087</v>
      </c>
      <c r="M154" t="s">
        <v>5275</v>
      </c>
      <c r="N154" t="s">
        <v>4088</v>
      </c>
      <c r="O154" t="s">
        <v>26</v>
      </c>
      <c r="P154" t="s">
        <v>27</v>
      </c>
      <c r="Q154" t="s">
        <v>43</v>
      </c>
      <c r="R154" t="s">
        <v>43</v>
      </c>
      <c r="S154" t="s">
        <v>28</v>
      </c>
      <c r="T154" t="s">
        <v>28</v>
      </c>
      <c r="U154" t="s">
        <v>28</v>
      </c>
      <c r="V154" t="s">
        <v>28</v>
      </c>
      <c r="W154" s="16" t="s">
        <v>5629</v>
      </c>
      <c r="X154" t="s">
        <v>5624</v>
      </c>
      <c r="Y154" t="s">
        <v>4495</v>
      </c>
      <c r="Z154" t="s">
        <v>4358</v>
      </c>
      <c r="AA154" t="s">
        <v>5369</v>
      </c>
      <c r="AB154" t="s">
        <v>4484</v>
      </c>
      <c r="AC154" t="s">
        <v>4485</v>
      </c>
      <c r="AE154" t="s">
        <v>5709</v>
      </c>
      <c r="AF154" t="s">
        <v>4356</v>
      </c>
      <c r="AG154" t="s">
        <v>5395</v>
      </c>
      <c r="AH154" t="s">
        <v>5396</v>
      </c>
      <c r="AI154" t="s">
        <v>4357</v>
      </c>
      <c r="AJ154">
        <v>72</v>
      </c>
      <c r="AK154">
        <v>72</v>
      </c>
      <c r="AL154" t="s">
        <v>5408</v>
      </c>
      <c r="AM154" t="s">
        <v>4334</v>
      </c>
      <c r="AO154">
        <v>5</v>
      </c>
      <c r="AP154">
        <v>55.710760000000001</v>
      </c>
      <c r="AQ154">
        <v>13.208595000000001</v>
      </c>
      <c r="AT154">
        <f>AVERAGE(18,16)</f>
        <v>17</v>
      </c>
      <c r="AU154">
        <v>200</v>
      </c>
      <c r="AV154" s="21">
        <f>(0.5/(0.5+74.2+27.7+0+1.5))*100</f>
        <v>0.48123195380173239</v>
      </c>
      <c r="AW154" s="12"/>
      <c r="AX154" t="s">
        <v>5592</v>
      </c>
    </row>
    <row r="155" spans="1:52" x14ac:dyDescent="0.55000000000000004">
      <c r="A155" t="s">
        <v>5394</v>
      </c>
      <c r="B155" t="s">
        <v>4085</v>
      </c>
      <c r="C155">
        <v>1996</v>
      </c>
      <c r="D155" t="s">
        <v>513</v>
      </c>
      <c r="E155">
        <v>6</v>
      </c>
      <c r="F155">
        <v>6</v>
      </c>
      <c r="H155">
        <v>465</v>
      </c>
      <c r="I155">
        <v>467</v>
      </c>
      <c r="K155" s="2" t="s">
        <v>4086</v>
      </c>
      <c r="L155" s="2" t="s">
        <v>4087</v>
      </c>
      <c r="M155" t="s">
        <v>5275</v>
      </c>
      <c r="N155" t="s">
        <v>4088</v>
      </c>
      <c r="O155" t="s">
        <v>26</v>
      </c>
      <c r="P155" t="s">
        <v>27</v>
      </c>
      <c r="Q155" t="s">
        <v>43</v>
      </c>
      <c r="R155" t="s">
        <v>43</v>
      </c>
      <c r="S155" t="s">
        <v>28</v>
      </c>
      <c r="T155" t="s">
        <v>28</v>
      </c>
      <c r="U155" t="s">
        <v>28</v>
      </c>
      <c r="V155" t="s">
        <v>28</v>
      </c>
      <c r="W155" s="16" t="s">
        <v>5629</v>
      </c>
      <c r="X155" t="s">
        <v>5624</v>
      </c>
      <c r="Y155" t="s">
        <v>4495</v>
      </c>
      <c r="Z155" t="s">
        <v>4358</v>
      </c>
      <c r="AA155" t="s">
        <v>5369</v>
      </c>
      <c r="AB155" t="s">
        <v>4375</v>
      </c>
      <c r="AC155" t="s">
        <v>4486</v>
      </c>
      <c r="AE155" t="s">
        <v>5708</v>
      </c>
      <c r="AF155" t="s">
        <v>4356</v>
      </c>
      <c r="AG155" t="s">
        <v>5395</v>
      </c>
      <c r="AH155" t="s">
        <v>5396</v>
      </c>
      <c r="AI155" t="s">
        <v>4357</v>
      </c>
      <c r="AJ155">
        <v>72</v>
      </c>
      <c r="AK155">
        <v>72</v>
      </c>
      <c r="AL155" t="s">
        <v>5408</v>
      </c>
      <c r="AM155" t="s">
        <v>4334</v>
      </c>
      <c r="AO155">
        <v>3</v>
      </c>
      <c r="AP155">
        <v>55.710760000000001</v>
      </c>
      <c r="AQ155">
        <v>13.208595000000001</v>
      </c>
      <c r="AT155">
        <f>AVERAGE(18,16)</f>
        <v>17</v>
      </c>
      <c r="AU155">
        <v>200</v>
      </c>
      <c r="AV155" s="21">
        <f>(6.3/(6.3+95.2+68.4+2+2.2))*100</f>
        <v>3.6186099942561745</v>
      </c>
      <c r="AW155" s="12"/>
      <c r="AX155" t="s">
        <v>5553</v>
      </c>
    </row>
    <row r="156" spans="1:52" x14ac:dyDescent="0.55000000000000004">
      <c r="A156" t="s">
        <v>4487</v>
      </c>
      <c r="B156" t="s">
        <v>5280</v>
      </c>
      <c r="C156">
        <v>1994</v>
      </c>
      <c r="D156" t="s">
        <v>2167</v>
      </c>
      <c r="E156">
        <v>369</v>
      </c>
      <c r="H156">
        <v>58</v>
      </c>
      <c r="I156">
        <v>60</v>
      </c>
      <c r="K156" s="2" t="s">
        <v>4489</v>
      </c>
      <c r="L156" s="2" t="s">
        <v>4488</v>
      </c>
      <c r="O156" t="s">
        <v>26</v>
      </c>
      <c r="P156" t="s">
        <v>4384</v>
      </c>
      <c r="Q156" t="s">
        <v>43</v>
      </c>
      <c r="R156" t="s">
        <v>43</v>
      </c>
      <c r="S156" t="s">
        <v>28</v>
      </c>
      <c r="T156" t="s">
        <v>28</v>
      </c>
      <c r="U156" t="s">
        <v>28</v>
      </c>
      <c r="V156" t="s">
        <v>28</v>
      </c>
      <c r="W156" t="s">
        <v>4336</v>
      </c>
      <c r="X156" t="s">
        <v>5624</v>
      </c>
      <c r="Y156" t="s">
        <v>4495</v>
      </c>
      <c r="Z156" t="s">
        <v>4358</v>
      </c>
      <c r="AA156" t="s">
        <v>5369</v>
      </c>
      <c r="AB156" t="s">
        <v>4471</v>
      </c>
      <c r="AC156" t="s">
        <v>4490</v>
      </c>
      <c r="AE156" t="s">
        <v>5709</v>
      </c>
      <c r="AF156" t="s">
        <v>4356</v>
      </c>
      <c r="AG156" t="s">
        <v>4491</v>
      </c>
      <c r="AH156" t="s">
        <v>4492</v>
      </c>
      <c r="AI156" t="s">
        <v>4343</v>
      </c>
      <c r="AJ156">
        <v>1</v>
      </c>
      <c r="AK156">
        <v>72</v>
      </c>
      <c r="AL156" t="s">
        <v>5408</v>
      </c>
      <c r="AM156" t="s">
        <v>4334</v>
      </c>
      <c r="AO156">
        <v>8</v>
      </c>
      <c r="AP156">
        <v>44.558874000000003</v>
      </c>
      <c r="AQ156">
        <v>-123.289715</v>
      </c>
      <c r="AV156" s="21">
        <v>7</v>
      </c>
      <c r="AW156" s="12"/>
      <c r="AX156" t="s">
        <v>5598</v>
      </c>
      <c r="AZ156" s="20" t="s">
        <v>5706</v>
      </c>
    </row>
    <row r="157" spans="1:52" x14ac:dyDescent="0.55000000000000004">
      <c r="A157" t="s">
        <v>4128</v>
      </c>
      <c r="B157" t="s">
        <v>5288</v>
      </c>
      <c r="C157">
        <v>1994</v>
      </c>
      <c r="D157" t="s">
        <v>68</v>
      </c>
      <c r="E157">
        <v>128</v>
      </c>
      <c r="F157">
        <v>1</v>
      </c>
      <c r="H157">
        <v>109</v>
      </c>
      <c r="I157">
        <v>114</v>
      </c>
      <c r="K157" s="2" t="s">
        <v>4129</v>
      </c>
      <c r="L157" s="2" t="s">
        <v>4130</v>
      </c>
      <c r="M157" t="s">
        <v>5289</v>
      </c>
      <c r="N157" t="s">
        <v>4131</v>
      </c>
      <c r="O157" t="s">
        <v>26</v>
      </c>
      <c r="P157" t="s">
        <v>27</v>
      </c>
      <c r="Q157" t="s">
        <v>43</v>
      </c>
      <c r="R157" t="s">
        <v>43</v>
      </c>
      <c r="S157" t="s">
        <v>28</v>
      </c>
      <c r="T157" t="s">
        <v>28</v>
      </c>
      <c r="U157" t="s">
        <v>28</v>
      </c>
      <c r="V157" t="s">
        <v>28</v>
      </c>
      <c r="W157" s="16" t="s">
        <v>5629</v>
      </c>
      <c r="X157" t="s">
        <v>5624</v>
      </c>
      <c r="Y157" t="s">
        <v>4495</v>
      </c>
      <c r="Z157" t="s">
        <v>4358</v>
      </c>
      <c r="AA157" t="s">
        <v>5369</v>
      </c>
      <c r="AB157" t="s">
        <v>4376</v>
      </c>
      <c r="AC157" t="s">
        <v>4475</v>
      </c>
      <c r="AE157" t="s">
        <v>5708</v>
      </c>
      <c r="AF157" t="s">
        <v>4356</v>
      </c>
      <c r="AG157" t="s">
        <v>4476</v>
      </c>
      <c r="AH157" t="s">
        <v>4477</v>
      </c>
      <c r="AI157" t="s">
        <v>4343</v>
      </c>
      <c r="AJ157">
        <v>0.75</v>
      </c>
      <c r="AK157">
        <v>202</v>
      </c>
      <c r="AL157" t="s">
        <v>5408</v>
      </c>
      <c r="AM157" t="s">
        <v>4334</v>
      </c>
      <c r="AO157">
        <v>3</v>
      </c>
      <c r="AP157">
        <v>51.758614000000001</v>
      </c>
      <c r="AQ157">
        <v>-1.2567349999999999</v>
      </c>
      <c r="AT157">
        <v>13.5</v>
      </c>
      <c r="AU157">
        <v>400</v>
      </c>
      <c r="AV157" s="21">
        <v>45.4</v>
      </c>
      <c r="AW157" s="12">
        <v>4.5999999999999996</v>
      </c>
      <c r="AX157" t="s">
        <v>5545</v>
      </c>
    </row>
    <row r="158" spans="1:52" x14ac:dyDescent="0.55000000000000004">
      <c r="A158" t="s">
        <v>4128</v>
      </c>
      <c r="B158" t="s">
        <v>5288</v>
      </c>
      <c r="C158">
        <v>1994</v>
      </c>
      <c r="D158" t="s">
        <v>68</v>
      </c>
      <c r="E158">
        <v>128</v>
      </c>
      <c r="F158">
        <v>1</v>
      </c>
      <c r="H158">
        <v>109</v>
      </c>
      <c r="I158">
        <v>114</v>
      </c>
      <c r="K158" s="2" t="s">
        <v>4129</v>
      </c>
      <c r="L158" s="2" t="s">
        <v>4130</v>
      </c>
      <c r="M158" t="s">
        <v>5289</v>
      </c>
      <c r="N158" t="s">
        <v>4131</v>
      </c>
      <c r="O158" t="s">
        <v>26</v>
      </c>
      <c r="P158" t="s">
        <v>27</v>
      </c>
      <c r="Q158" t="s">
        <v>43</v>
      </c>
      <c r="R158" t="s">
        <v>43</v>
      </c>
      <c r="S158" t="s">
        <v>28</v>
      </c>
      <c r="T158" t="s">
        <v>28</v>
      </c>
      <c r="U158" t="s">
        <v>28</v>
      </c>
      <c r="V158" t="s">
        <v>28</v>
      </c>
      <c r="W158" s="16" t="s">
        <v>5629</v>
      </c>
      <c r="X158" t="s">
        <v>5624</v>
      </c>
      <c r="Y158" t="s">
        <v>4495</v>
      </c>
      <c r="Z158" t="s">
        <v>4358</v>
      </c>
      <c r="AA158" t="s">
        <v>5369</v>
      </c>
      <c r="AB158" t="s">
        <v>4376</v>
      </c>
      <c r="AC158" t="s">
        <v>4475</v>
      </c>
      <c r="AE158" t="s">
        <v>5708</v>
      </c>
      <c r="AF158" t="s">
        <v>4356</v>
      </c>
      <c r="AG158" t="s">
        <v>4476</v>
      </c>
      <c r="AH158" t="s">
        <v>4477</v>
      </c>
      <c r="AI158" t="s">
        <v>4343</v>
      </c>
      <c r="AJ158">
        <v>0.75</v>
      </c>
      <c r="AK158">
        <v>202</v>
      </c>
      <c r="AL158" t="s">
        <v>5408</v>
      </c>
      <c r="AM158" t="s">
        <v>4334</v>
      </c>
      <c r="AO158">
        <v>3</v>
      </c>
      <c r="AP158">
        <v>51.758614000000001</v>
      </c>
      <c r="AQ158">
        <v>-1.2567349999999999</v>
      </c>
      <c r="AT158">
        <v>13.5</v>
      </c>
      <c r="AU158">
        <v>400</v>
      </c>
      <c r="AV158" s="21">
        <v>51.7</v>
      </c>
      <c r="AW158" s="12">
        <v>1.6</v>
      </c>
      <c r="AX158" t="s">
        <v>5546</v>
      </c>
    </row>
    <row r="159" spans="1:52" x14ac:dyDescent="0.55000000000000004">
      <c r="A159" t="s">
        <v>4128</v>
      </c>
      <c r="B159" t="s">
        <v>5288</v>
      </c>
      <c r="C159">
        <v>1994</v>
      </c>
      <c r="D159" t="s">
        <v>68</v>
      </c>
      <c r="E159">
        <v>128</v>
      </c>
      <c r="F159">
        <v>1</v>
      </c>
      <c r="H159">
        <v>109</v>
      </c>
      <c r="I159">
        <v>114</v>
      </c>
      <c r="K159" s="2" t="s">
        <v>4129</v>
      </c>
      <c r="L159" s="2" t="s">
        <v>4130</v>
      </c>
      <c r="M159" t="s">
        <v>5289</v>
      </c>
      <c r="N159" t="s">
        <v>4131</v>
      </c>
      <c r="O159" t="s">
        <v>26</v>
      </c>
      <c r="P159" t="s">
        <v>27</v>
      </c>
      <c r="Q159" t="s">
        <v>43</v>
      </c>
      <c r="R159" t="s">
        <v>43</v>
      </c>
      <c r="S159" t="s">
        <v>28</v>
      </c>
      <c r="T159" t="s">
        <v>28</v>
      </c>
      <c r="U159" t="s">
        <v>28</v>
      </c>
      <c r="V159" t="s">
        <v>28</v>
      </c>
      <c r="W159" s="16" t="s">
        <v>5629</v>
      </c>
      <c r="X159" t="s">
        <v>5624</v>
      </c>
      <c r="Y159" t="s">
        <v>4495</v>
      </c>
      <c r="Z159" t="s">
        <v>4358</v>
      </c>
      <c r="AA159" t="s">
        <v>5369</v>
      </c>
      <c r="AB159" t="s">
        <v>4376</v>
      </c>
      <c r="AC159" t="s">
        <v>4475</v>
      </c>
      <c r="AE159" t="s">
        <v>5708</v>
      </c>
      <c r="AF159" t="s">
        <v>4356</v>
      </c>
      <c r="AG159" t="s">
        <v>4476</v>
      </c>
      <c r="AH159" t="s">
        <v>4477</v>
      </c>
      <c r="AI159" t="s">
        <v>4343</v>
      </c>
      <c r="AJ159">
        <v>0.75</v>
      </c>
      <c r="AK159">
        <v>202</v>
      </c>
      <c r="AL159" t="s">
        <v>5408</v>
      </c>
      <c r="AM159" t="s">
        <v>4334</v>
      </c>
      <c r="AO159">
        <v>3</v>
      </c>
      <c r="AP159">
        <v>51.758614000000001</v>
      </c>
      <c r="AQ159">
        <v>-1.2567349999999999</v>
      </c>
      <c r="AT159">
        <v>13.5</v>
      </c>
      <c r="AU159">
        <v>400</v>
      </c>
      <c r="AV159" s="21">
        <v>47.3</v>
      </c>
      <c r="AW159" s="12">
        <v>2.1</v>
      </c>
      <c r="AX159" t="s">
        <v>5547</v>
      </c>
    </row>
    <row r="160" spans="1:52" x14ac:dyDescent="0.55000000000000004">
      <c r="A160" t="s">
        <v>4128</v>
      </c>
      <c r="B160" t="s">
        <v>5288</v>
      </c>
      <c r="C160">
        <v>1994</v>
      </c>
      <c r="D160" t="s">
        <v>68</v>
      </c>
      <c r="E160">
        <v>128</v>
      </c>
      <c r="F160">
        <v>1</v>
      </c>
      <c r="H160">
        <v>109</v>
      </c>
      <c r="I160">
        <v>114</v>
      </c>
      <c r="K160" s="2" t="s">
        <v>4129</v>
      </c>
      <c r="L160" s="2" t="s">
        <v>4130</v>
      </c>
      <c r="M160" t="s">
        <v>5289</v>
      </c>
      <c r="N160" t="s">
        <v>4131</v>
      </c>
      <c r="O160" t="s">
        <v>26</v>
      </c>
      <c r="P160" t="s">
        <v>27</v>
      </c>
      <c r="Q160" t="s">
        <v>43</v>
      </c>
      <c r="R160" t="s">
        <v>43</v>
      </c>
      <c r="S160" t="s">
        <v>28</v>
      </c>
      <c r="T160" t="s">
        <v>28</v>
      </c>
      <c r="U160" t="s">
        <v>28</v>
      </c>
      <c r="V160" t="s">
        <v>28</v>
      </c>
      <c r="W160" s="16" t="s">
        <v>5629</v>
      </c>
      <c r="X160" t="s">
        <v>5624</v>
      </c>
      <c r="Y160" t="s">
        <v>4495</v>
      </c>
      <c r="Z160" t="s">
        <v>4358</v>
      </c>
      <c r="AA160" t="s">
        <v>5369</v>
      </c>
      <c r="AB160" t="s">
        <v>4376</v>
      </c>
      <c r="AC160" t="s">
        <v>4475</v>
      </c>
      <c r="AE160" t="s">
        <v>5708</v>
      </c>
      <c r="AF160" t="s">
        <v>4356</v>
      </c>
      <c r="AG160" t="s">
        <v>4476</v>
      </c>
      <c r="AH160" t="s">
        <v>4477</v>
      </c>
      <c r="AI160" t="s">
        <v>4343</v>
      </c>
      <c r="AJ160">
        <v>0.75</v>
      </c>
      <c r="AK160">
        <v>202</v>
      </c>
      <c r="AL160" t="s">
        <v>5408</v>
      </c>
      <c r="AM160" t="s">
        <v>4334</v>
      </c>
      <c r="AO160">
        <v>4</v>
      </c>
      <c r="AP160">
        <v>51.758614000000001</v>
      </c>
      <c r="AQ160">
        <v>-1.2567349999999999</v>
      </c>
      <c r="AT160">
        <v>13.5</v>
      </c>
      <c r="AU160">
        <v>400</v>
      </c>
      <c r="AV160" s="21">
        <v>47.2</v>
      </c>
      <c r="AW160" s="12">
        <v>2.8</v>
      </c>
      <c r="AX160" t="s">
        <v>5548</v>
      </c>
    </row>
    <row r="161" spans="1:54" x14ac:dyDescent="0.55000000000000004">
      <c r="A161" t="s">
        <v>5307</v>
      </c>
      <c r="B161" t="s">
        <v>5308</v>
      </c>
      <c r="C161">
        <v>1991</v>
      </c>
      <c r="D161" t="s">
        <v>68</v>
      </c>
      <c r="E161">
        <v>119</v>
      </c>
      <c r="F161">
        <v>2</v>
      </c>
      <c r="H161">
        <v>235</v>
      </c>
      <c r="I161">
        <v>242</v>
      </c>
      <c r="K161" s="2" t="s">
        <v>4182</v>
      </c>
      <c r="L161" s="2" t="s">
        <v>4183</v>
      </c>
      <c r="M161" t="s">
        <v>5309</v>
      </c>
      <c r="N161" t="s">
        <v>4184</v>
      </c>
      <c r="O161" t="s">
        <v>26</v>
      </c>
      <c r="P161" t="s">
        <v>27</v>
      </c>
      <c r="Q161" t="s">
        <v>43</v>
      </c>
      <c r="R161" t="s">
        <v>43</v>
      </c>
      <c r="S161" t="s">
        <v>28</v>
      </c>
      <c r="T161" t="s">
        <v>28</v>
      </c>
      <c r="U161" t="s">
        <v>28</v>
      </c>
      <c r="V161" t="s">
        <v>28</v>
      </c>
      <c r="W161" s="16" t="s">
        <v>5629</v>
      </c>
      <c r="X161" t="s">
        <v>5624</v>
      </c>
      <c r="Y161" t="s">
        <v>4495</v>
      </c>
      <c r="Z161" t="s">
        <v>4358</v>
      </c>
      <c r="AA161" t="s">
        <v>5369</v>
      </c>
      <c r="AB161" t="s">
        <v>4471</v>
      </c>
      <c r="AC161" t="s">
        <v>5383</v>
      </c>
      <c r="AE161" t="s">
        <v>5709</v>
      </c>
      <c r="AF161" t="s">
        <v>4356</v>
      </c>
      <c r="AG161" t="s">
        <v>5384</v>
      </c>
      <c r="AH161" t="s">
        <v>5385</v>
      </c>
      <c r="AI161" t="s">
        <v>4343</v>
      </c>
      <c r="AJ161">
        <v>24</v>
      </c>
      <c r="AK161">
        <v>24</v>
      </c>
      <c r="AL161" t="s">
        <v>5408</v>
      </c>
      <c r="AM161" t="s">
        <v>4334</v>
      </c>
      <c r="AO161">
        <v>6</v>
      </c>
      <c r="AP161" s="2">
        <v>55.711948</v>
      </c>
      <c r="AQ161" s="2">
        <v>13.203476999999999</v>
      </c>
      <c r="AT161">
        <v>20</v>
      </c>
      <c r="AU161">
        <v>100</v>
      </c>
      <c r="AV161" s="21">
        <f>3.9*0.93</f>
        <v>3.6270000000000002</v>
      </c>
      <c r="AW161" s="12"/>
      <c r="AX161" t="s">
        <v>5593</v>
      </c>
      <c r="AY161" t="s">
        <v>43</v>
      </c>
    </row>
    <row r="162" spans="1:54" x14ac:dyDescent="0.55000000000000004">
      <c r="A162" t="s">
        <v>5307</v>
      </c>
      <c r="B162" t="s">
        <v>5308</v>
      </c>
      <c r="C162">
        <v>1991</v>
      </c>
      <c r="D162" t="s">
        <v>68</v>
      </c>
      <c r="E162">
        <v>119</v>
      </c>
      <c r="F162">
        <v>2</v>
      </c>
      <c r="H162">
        <v>235</v>
      </c>
      <c r="I162">
        <v>242</v>
      </c>
      <c r="K162" s="2" t="s">
        <v>4182</v>
      </c>
      <c r="L162" s="2" t="s">
        <v>4183</v>
      </c>
      <c r="M162" t="s">
        <v>5309</v>
      </c>
      <c r="N162" t="s">
        <v>4184</v>
      </c>
      <c r="O162" t="s">
        <v>26</v>
      </c>
      <c r="P162" t="s">
        <v>27</v>
      </c>
      <c r="Q162" t="s">
        <v>43</v>
      </c>
      <c r="R162" t="s">
        <v>43</v>
      </c>
      <c r="S162" t="s">
        <v>28</v>
      </c>
      <c r="T162" t="s">
        <v>28</v>
      </c>
      <c r="U162" t="s">
        <v>28</v>
      </c>
      <c r="V162" t="s">
        <v>28</v>
      </c>
      <c r="W162" s="16" t="s">
        <v>5629</v>
      </c>
      <c r="X162" t="s">
        <v>5624</v>
      </c>
      <c r="Y162" t="s">
        <v>4495</v>
      </c>
      <c r="Z162" t="s">
        <v>4358</v>
      </c>
      <c r="AA162" t="s">
        <v>5369</v>
      </c>
      <c r="AB162" t="s">
        <v>4471</v>
      </c>
      <c r="AC162" t="s">
        <v>5383</v>
      </c>
      <c r="AE162" t="s">
        <v>5709</v>
      </c>
      <c r="AF162" t="s">
        <v>4356</v>
      </c>
      <c r="AG162" t="s">
        <v>5384</v>
      </c>
      <c r="AH162" t="s">
        <v>5385</v>
      </c>
      <c r="AI162" t="s">
        <v>4343</v>
      </c>
      <c r="AJ162">
        <v>24</v>
      </c>
      <c r="AK162">
        <v>34</v>
      </c>
      <c r="AL162" t="s">
        <v>5408</v>
      </c>
      <c r="AM162" t="s">
        <v>4334</v>
      </c>
      <c r="AO162">
        <v>6</v>
      </c>
      <c r="AP162" s="2">
        <v>55.711948</v>
      </c>
      <c r="AQ162" s="2">
        <v>13.203476999999999</v>
      </c>
      <c r="AT162">
        <v>20</v>
      </c>
      <c r="AU162">
        <v>100</v>
      </c>
      <c r="AV162" s="21">
        <f>5.4*0.93</f>
        <v>5.0220000000000002</v>
      </c>
      <c r="AW162" s="12"/>
      <c r="AX162" t="s">
        <v>5593</v>
      </c>
      <c r="AY162" t="s">
        <v>43</v>
      </c>
    </row>
    <row r="163" spans="1:54" x14ac:dyDescent="0.55000000000000004">
      <c r="A163" t="s">
        <v>5307</v>
      </c>
      <c r="B163" t="s">
        <v>5308</v>
      </c>
      <c r="C163">
        <v>1991</v>
      </c>
      <c r="D163" t="s">
        <v>68</v>
      </c>
      <c r="E163">
        <v>119</v>
      </c>
      <c r="F163">
        <v>2</v>
      </c>
      <c r="H163">
        <v>235</v>
      </c>
      <c r="I163">
        <v>242</v>
      </c>
      <c r="K163" s="2" t="s">
        <v>4182</v>
      </c>
      <c r="L163" s="2" t="s">
        <v>4183</v>
      </c>
      <c r="M163" t="s">
        <v>5309</v>
      </c>
      <c r="N163" t="s">
        <v>4184</v>
      </c>
      <c r="O163" t="s">
        <v>26</v>
      </c>
      <c r="P163" t="s">
        <v>27</v>
      </c>
      <c r="Q163" t="s">
        <v>43</v>
      </c>
      <c r="R163" t="s">
        <v>43</v>
      </c>
      <c r="S163" t="s">
        <v>28</v>
      </c>
      <c r="T163" t="s">
        <v>28</v>
      </c>
      <c r="U163" t="s">
        <v>28</v>
      </c>
      <c r="V163" t="s">
        <v>28</v>
      </c>
      <c r="W163" s="16" t="s">
        <v>5629</v>
      </c>
      <c r="X163" t="s">
        <v>5624</v>
      </c>
      <c r="Y163" t="s">
        <v>4495</v>
      </c>
      <c r="Z163" t="s">
        <v>4358</v>
      </c>
      <c r="AA163" t="s">
        <v>5369</v>
      </c>
      <c r="AB163" t="s">
        <v>4471</v>
      </c>
      <c r="AC163" t="s">
        <v>5383</v>
      </c>
      <c r="AE163" t="s">
        <v>5709</v>
      </c>
      <c r="AF163" t="s">
        <v>4356</v>
      </c>
      <c r="AG163" t="s">
        <v>5384</v>
      </c>
      <c r="AH163" t="s">
        <v>5385</v>
      </c>
      <c r="AI163" t="s">
        <v>4343</v>
      </c>
      <c r="AJ163">
        <v>24</v>
      </c>
      <c r="AK163">
        <v>48</v>
      </c>
      <c r="AL163" t="s">
        <v>5408</v>
      </c>
      <c r="AM163" t="s">
        <v>4334</v>
      </c>
      <c r="AO163">
        <v>6</v>
      </c>
      <c r="AP163" s="2">
        <v>55.711948</v>
      </c>
      <c r="AQ163" s="2">
        <v>13.203476999999999</v>
      </c>
      <c r="AT163">
        <v>20</v>
      </c>
      <c r="AU163">
        <v>100</v>
      </c>
      <c r="AV163" s="21">
        <f>3.3*0.93</f>
        <v>3.069</v>
      </c>
      <c r="AW163" s="12"/>
      <c r="AX163" t="s">
        <v>5593</v>
      </c>
      <c r="AY163" t="s">
        <v>43</v>
      </c>
    </row>
    <row r="164" spans="1:54" s="2" customFormat="1" x14ac:dyDescent="0.55000000000000004">
      <c r="A164" t="s">
        <v>5307</v>
      </c>
      <c r="B164" t="s">
        <v>5308</v>
      </c>
      <c r="C164">
        <v>1991</v>
      </c>
      <c r="D164" t="s">
        <v>68</v>
      </c>
      <c r="E164">
        <v>119</v>
      </c>
      <c r="F164">
        <v>2</v>
      </c>
      <c r="G164"/>
      <c r="H164">
        <v>235</v>
      </c>
      <c r="I164">
        <v>242</v>
      </c>
      <c r="J164"/>
      <c r="K164" s="2" t="s">
        <v>4182</v>
      </c>
      <c r="L164" s="2" t="s">
        <v>4183</v>
      </c>
      <c r="M164" t="s">
        <v>5309</v>
      </c>
      <c r="N164" t="s">
        <v>4184</v>
      </c>
      <c r="O164" t="s">
        <v>26</v>
      </c>
      <c r="P164" t="s">
        <v>27</v>
      </c>
      <c r="Q164" t="s">
        <v>43</v>
      </c>
      <c r="R164" t="s">
        <v>43</v>
      </c>
      <c r="S164" t="s">
        <v>28</v>
      </c>
      <c r="T164" t="s">
        <v>28</v>
      </c>
      <c r="U164" t="s">
        <v>28</v>
      </c>
      <c r="V164" t="s">
        <v>28</v>
      </c>
      <c r="W164" s="16" t="s">
        <v>5629</v>
      </c>
      <c r="X164" t="s">
        <v>5624</v>
      </c>
      <c r="Y164" t="s">
        <v>4495</v>
      </c>
      <c r="Z164" t="s">
        <v>4358</v>
      </c>
      <c r="AA164" t="s">
        <v>5369</v>
      </c>
      <c r="AB164" t="s">
        <v>4471</v>
      </c>
      <c r="AC164" t="s">
        <v>5383</v>
      </c>
      <c r="AD164"/>
      <c r="AE164" t="s">
        <v>5709</v>
      </c>
      <c r="AF164" t="s">
        <v>4356</v>
      </c>
      <c r="AG164" t="s">
        <v>5384</v>
      </c>
      <c r="AH164" t="s">
        <v>5385</v>
      </c>
      <c r="AI164" t="s">
        <v>4343</v>
      </c>
      <c r="AJ164">
        <v>24</v>
      </c>
      <c r="AK164">
        <v>96</v>
      </c>
      <c r="AL164" t="s">
        <v>5408</v>
      </c>
      <c r="AM164" t="s">
        <v>4334</v>
      </c>
      <c r="AN164"/>
      <c r="AO164">
        <v>6</v>
      </c>
      <c r="AP164" s="2">
        <v>55.711948</v>
      </c>
      <c r="AQ164" s="2">
        <v>13.203476999999999</v>
      </c>
      <c r="AR164"/>
      <c r="AS164"/>
      <c r="AT164">
        <v>20</v>
      </c>
      <c r="AU164">
        <v>100</v>
      </c>
      <c r="AV164" s="21">
        <f>5.7*0.93</f>
        <v>5.3010000000000002</v>
      </c>
      <c r="AW164" s="12"/>
      <c r="AX164" t="s">
        <v>5593</v>
      </c>
      <c r="AY164" t="s">
        <v>43</v>
      </c>
      <c r="AZ164" s="19"/>
      <c r="BA164"/>
      <c r="BB164"/>
    </row>
    <row r="165" spans="1:54" x14ac:dyDescent="0.55000000000000004">
      <c r="A165" t="s">
        <v>5307</v>
      </c>
      <c r="B165" t="s">
        <v>5308</v>
      </c>
      <c r="C165">
        <v>1991</v>
      </c>
      <c r="D165" t="s">
        <v>68</v>
      </c>
      <c r="E165">
        <v>119</v>
      </c>
      <c r="F165">
        <v>2</v>
      </c>
      <c r="H165">
        <v>235</v>
      </c>
      <c r="I165">
        <v>242</v>
      </c>
      <c r="K165" s="2" t="s">
        <v>4182</v>
      </c>
      <c r="L165" s="2" t="s">
        <v>4183</v>
      </c>
      <c r="M165" t="s">
        <v>5309</v>
      </c>
      <c r="N165" t="s">
        <v>4184</v>
      </c>
      <c r="O165" t="s">
        <v>26</v>
      </c>
      <c r="P165" t="s">
        <v>27</v>
      </c>
      <c r="Q165" t="s">
        <v>43</v>
      </c>
      <c r="R165" t="s">
        <v>43</v>
      </c>
      <c r="S165" t="s">
        <v>28</v>
      </c>
      <c r="T165" t="s">
        <v>28</v>
      </c>
      <c r="U165" t="s">
        <v>28</v>
      </c>
      <c r="V165" t="s">
        <v>28</v>
      </c>
      <c r="W165" s="16" t="s">
        <v>5629</v>
      </c>
      <c r="X165" t="s">
        <v>5624</v>
      </c>
      <c r="Y165" t="s">
        <v>4495</v>
      </c>
      <c r="Z165" t="s">
        <v>4358</v>
      </c>
      <c r="AA165" t="s">
        <v>5369</v>
      </c>
      <c r="AB165" t="s">
        <v>4471</v>
      </c>
      <c r="AC165" t="s">
        <v>5383</v>
      </c>
      <c r="AE165" t="s">
        <v>5709</v>
      </c>
      <c r="AF165" t="s">
        <v>4356</v>
      </c>
      <c r="AG165" t="s">
        <v>5384</v>
      </c>
      <c r="AH165" t="s">
        <v>5385</v>
      </c>
      <c r="AI165" t="s">
        <v>4343</v>
      </c>
      <c r="AJ165">
        <v>24</v>
      </c>
      <c r="AK165">
        <v>192</v>
      </c>
      <c r="AL165" t="s">
        <v>5408</v>
      </c>
      <c r="AM165" t="s">
        <v>4334</v>
      </c>
      <c r="AO165">
        <v>6</v>
      </c>
      <c r="AP165" s="2">
        <v>55.711948</v>
      </c>
      <c r="AQ165" s="2">
        <v>13.203476999999999</v>
      </c>
      <c r="AT165">
        <v>20</v>
      </c>
      <c r="AU165">
        <v>100</v>
      </c>
      <c r="AV165" s="21">
        <f>4.2*0.93</f>
        <v>3.9060000000000006</v>
      </c>
      <c r="AW165" s="12"/>
      <c r="AX165" t="s">
        <v>5593</v>
      </c>
      <c r="AY165" t="s">
        <v>43</v>
      </c>
    </row>
    <row r="166" spans="1:54" x14ac:dyDescent="0.55000000000000004">
      <c r="A166" t="s">
        <v>5307</v>
      </c>
      <c r="B166" t="s">
        <v>5308</v>
      </c>
      <c r="C166">
        <v>1991</v>
      </c>
      <c r="D166" t="s">
        <v>68</v>
      </c>
      <c r="E166">
        <v>119</v>
      </c>
      <c r="F166">
        <v>2</v>
      </c>
      <c r="H166">
        <v>235</v>
      </c>
      <c r="I166">
        <v>242</v>
      </c>
      <c r="K166" s="2" t="s">
        <v>4182</v>
      </c>
      <c r="L166" s="2" t="s">
        <v>4183</v>
      </c>
      <c r="M166" t="s">
        <v>5309</v>
      </c>
      <c r="N166" t="s">
        <v>4184</v>
      </c>
      <c r="O166" t="s">
        <v>26</v>
      </c>
      <c r="P166" t="s">
        <v>27</v>
      </c>
      <c r="Q166" t="s">
        <v>43</v>
      </c>
      <c r="R166" t="s">
        <v>43</v>
      </c>
      <c r="S166" t="s">
        <v>28</v>
      </c>
      <c r="T166" t="s">
        <v>28</v>
      </c>
      <c r="U166" t="s">
        <v>28</v>
      </c>
      <c r="V166" t="s">
        <v>28</v>
      </c>
      <c r="W166" s="16" t="s">
        <v>5629</v>
      </c>
      <c r="X166" t="s">
        <v>5624</v>
      </c>
      <c r="Y166" t="s">
        <v>4495</v>
      </c>
      <c r="Z166" t="s">
        <v>4358</v>
      </c>
      <c r="AA166" t="s">
        <v>5369</v>
      </c>
      <c r="AB166" t="s">
        <v>4471</v>
      </c>
      <c r="AC166" t="s">
        <v>5383</v>
      </c>
      <c r="AE166" t="s">
        <v>5709</v>
      </c>
      <c r="AF166" t="s">
        <v>4356</v>
      </c>
      <c r="AG166" t="s">
        <v>5384</v>
      </c>
      <c r="AH166" t="s">
        <v>5385</v>
      </c>
      <c r="AI166" t="s">
        <v>4343</v>
      </c>
      <c r="AJ166">
        <v>24</v>
      </c>
      <c r="AK166">
        <v>24</v>
      </c>
      <c r="AL166" t="s">
        <v>5408</v>
      </c>
      <c r="AM166" t="s">
        <v>4334</v>
      </c>
      <c r="AO166">
        <v>6</v>
      </c>
      <c r="AP166" s="2">
        <v>55.711948</v>
      </c>
      <c r="AQ166" s="2">
        <v>13.203476999999999</v>
      </c>
      <c r="AT166">
        <v>20</v>
      </c>
      <c r="AU166">
        <v>100</v>
      </c>
      <c r="AV166" s="21">
        <f>0.4*0.93</f>
        <v>0.37200000000000005</v>
      </c>
      <c r="AW166" s="12"/>
      <c r="AX166" t="s">
        <v>5594</v>
      </c>
      <c r="AY166" t="s">
        <v>43</v>
      </c>
    </row>
    <row r="167" spans="1:54" x14ac:dyDescent="0.55000000000000004">
      <c r="A167" t="s">
        <v>5307</v>
      </c>
      <c r="B167" t="s">
        <v>5308</v>
      </c>
      <c r="C167">
        <v>1991</v>
      </c>
      <c r="D167" t="s">
        <v>68</v>
      </c>
      <c r="E167">
        <v>119</v>
      </c>
      <c r="F167">
        <v>2</v>
      </c>
      <c r="H167">
        <v>235</v>
      </c>
      <c r="I167">
        <v>242</v>
      </c>
      <c r="K167" s="2" t="s">
        <v>4182</v>
      </c>
      <c r="L167" s="2" t="s">
        <v>4183</v>
      </c>
      <c r="M167" t="s">
        <v>5309</v>
      </c>
      <c r="N167" t="s">
        <v>4184</v>
      </c>
      <c r="O167" t="s">
        <v>26</v>
      </c>
      <c r="P167" t="s">
        <v>27</v>
      </c>
      <c r="Q167" t="s">
        <v>43</v>
      </c>
      <c r="R167" t="s">
        <v>43</v>
      </c>
      <c r="S167" t="s">
        <v>28</v>
      </c>
      <c r="T167" t="s">
        <v>28</v>
      </c>
      <c r="U167" t="s">
        <v>28</v>
      </c>
      <c r="V167" t="s">
        <v>28</v>
      </c>
      <c r="W167" s="16" t="s">
        <v>5629</v>
      </c>
      <c r="X167" t="s">
        <v>5624</v>
      </c>
      <c r="Y167" t="s">
        <v>4495</v>
      </c>
      <c r="Z167" t="s">
        <v>4358</v>
      </c>
      <c r="AA167" t="s">
        <v>5369</v>
      </c>
      <c r="AB167" t="s">
        <v>4471</v>
      </c>
      <c r="AC167" t="s">
        <v>5383</v>
      </c>
      <c r="AE167" t="s">
        <v>5709</v>
      </c>
      <c r="AF167" t="s">
        <v>4356</v>
      </c>
      <c r="AG167" t="s">
        <v>5384</v>
      </c>
      <c r="AH167" t="s">
        <v>5385</v>
      </c>
      <c r="AI167" t="s">
        <v>4343</v>
      </c>
      <c r="AJ167">
        <v>24</v>
      </c>
      <c r="AK167">
        <v>34</v>
      </c>
      <c r="AL167" t="s">
        <v>5408</v>
      </c>
      <c r="AM167" t="s">
        <v>4334</v>
      </c>
      <c r="AO167">
        <v>6</v>
      </c>
      <c r="AP167" s="2">
        <v>55.711948</v>
      </c>
      <c r="AQ167" s="2">
        <v>13.203476999999999</v>
      </c>
      <c r="AT167">
        <v>20</v>
      </c>
      <c r="AU167">
        <v>100</v>
      </c>
      <c r="AV167" s="21">
        <f>2.3*0.93</f>
        <v>2.1389999999999998</v>
      </c>
      <c r="AW167" s="12"/>
      <c r="AX167" t="s">
        <v>5594</v>
      </c>
      <c r="AY167" t="s">
        <v>43</v>
      </c>
    </row>
    <row r="168" spans="1:54" x14ac:dyDescent="0.55000000000000004">
      <c r="A168" t="s">
        <v>5307</v>
      </c>
      <c r="B168" t="s">
        <v>5308</v>
      </c>
      <c r="C168">
        <v>1991</v>
      </c>
      <c r="D168" t="s">
        <v>68</v>
      </c>
      <c r="E168">
        <v>119</v>
      </c>
      <c r="F168">
        <v>2</v>
      </c>
      <c r="H168">
        <v>235</v>
      </c>
      <c r="I168">
        <v>242</v>
      </c>
      <c r="K168" s="2" t="s">
        <v>4182</v>
      </c>
      <c r="L168" s="2" t="s">
        <v>4183</v>
      </c>
      <c r="M168" t="s">
        <v>5309</v>
      </c>
      <c r="N168" t="s">
        <v>4184</v>
      </c>
      <c r="O168" t="s">
        <v>26</v>
      </c>
      <c r="P168" t="s">
        <v>27</v>
      </c>
      <c r="Q168" t="s">
        <v>43</v>
      </c>
      <c r="R168" t="s">
        <v>43</v>
      </c>
      <c r="S168" t="s">
        <v>28</v>
      </c>
      <c r="T168" t="s">
        <v>28</v>
      </c>
      <c r="U168" t="s">
        <v>28</v>
      </c>
      <c r="V168" t="s">
        <v>28</v>
      </c>
      <c r="W168" s="16" t="s">
        <v>5629</v>
      </c>
      <c r="X168" t="s">
        <v>5624</v>
      </c>
      <c r="Y168" t="s">
        <v>4495</v>
      </c>
      <c r="Z168" t="s">
        <v>4358</v>
      </c>
      <c r="AA168" t="s">
        <v>5369</v>
      </c>
      <c r="AB168" t="s">
        <v>4471</v>
      </c>
      <c r="AC168" t="s">
        <v>5383</v>
      </c>
      <c r="AE168" t="s">
        <v>5709</v>
      </c>
      <c r="AF168" t="s">
        <v>4356</v>
      </c>
      <c r="AG168" t="s">
        <v>5384</v>
      </c>
      <c r="AH168" t="s">
        <v>5385</v>
      </c>
      <c r="AI168" t="s">
        <v>4343</v>
      </c>
      <c r="AJ168">
        <v>24</v>
      </c>
      <c r="AK168">
        <v>48</v>
      </c>
      <c r="AL168" t="s">
        <v>5408</v>
      </c>
      <c r="AM168" t="s">
        <v>4334</v>
      </c>
      <c r="AO168">
        <v>6</v>
      </c>
      <c r="AP168" s="2">
        <v>55.711948</v>
      </c>
      <c r="AQ168" s="2">
        <v>13.203476999999999</v>
      </c>
      <c r="AT168">
        <v>20</v>
      </c>
      <c r="AU168">
        <v>100</v>
      </c>
      <c r="AV168" s="21">
        <f>1.7*0.93</f>
        <v>1.581</v>
      </c>
      <c r="AW168" s="12"/>
      <c r="AX168" t="s">
        <v>5594</v>
      </c>
      <c r="AY168" t="s">
        <v>43</v>
      </c>
    </row>
    <row r="169" spans="1:54" x14ac:dyDescent="0.55000000000000004">
      <c r="A169" t="s">
        <v>5307</v>
      </c>
      <c r="B169" t="s">
        <v>5308</v>
      </c>
      <c r="C169">
        <v>1991</v>
      </c>
      <c r="D169" t="s">
        <v>68</v>
      </c>
      <c r="E169">
        <v>119</v>
      </c>
      <c r="F169">
        <v>2</v>
      </c>
      <c r="H169">
        <v>235</v>
      </c>
      <c r="I169">
        <v>242</v>
      </c>
      <c r="K169" s="2" t="s">
        <v>4182</v>
      </c>
      <c r="L169" s="2" t="s">
        <v>4183</v>
      </c>
      <c r="M169" t="s">
        <v>5309</v>
      </c>
      <c r="N169" t="s">
        <v>4184</v>
      </c>
      <c r="O169" t="s">
        <v>26</v>
      </c>
      <c r="P169" t="s">
        <v>27</v>
      </c>
      <c r="Q169" t="s">
        <v>43</v>
      </c>
      <c r="R169" t="s">
        <v>43</v>
      </c>
      <c r="S169" t="s">
        <v>28</v>
      </c>
      <c r="T169" t="s">
        <v>28</v>
      </c>
      <c r="U169" t="s">
        <v>28</v>
      </c>
      <c r="V169" t="s">
        <v>28</v>
      </c>
      <c r="W169" s="16" t="s">
        <v>5629</v>
      </c>
      <c r="X169" t="s">
        <v>5624</v>
      </c>
      <c r="Y169" t="s">
        <v>4495</v>
      </c>
      <c r="Z169" t="s">
        <v>4358</v>
      </c>
      <c r="AA169" t="s">
        <v>5369</v>
      </c>
      <c r="AB169" t="s">
        <v>4471</v>
      </c>
      <c r="AC169" t="s">
        <v>5383</v>
      </c>
      <c r="AE169" t="s">
        <v>5709</v>
      </c>
      <c r="AF169" t="s">
        <v>4356</v>
      </c>
      <c r="AG169" t="s">
        <v>5384</v>
      </c>
      <c r="AH169" t="s">
        <v>5385</v>
      </c>
      <c r="AI169" t="s">
        <v>4343</v>
      </c>
      <c r="AJ169">
        <v>24</v>
      </c>
      <c r="AK169">
        <v>96</v>
      </c>
      <c r="AL169" t="s">
        <v>5408</v>
      </c>
      <c r="AM169" t="s">
        <v>4334</v>
      </c>
      <c r="AO169">
        <v>6</v>
      </c>
      <c r="AP169" s="2">
        <v>55.711948</v>
      </c>
      <c r="AQ169" s="2">
        <v>13.203476999999999</v>
      </c>
      <c r="AT169">
        <v>20</v>
      </c>
      <c r="AU169">
        <v>100</v>
      </c>
      <c r="AV169" s="21">
        <f>3.3*0.93</f>
        <v>3.069</v>
      </c>
      <c r="AW169" s="12"/>
      <c r="AX169" t="s">
        <v>5594</v>
      </c>
      <c r="AY169" t="s">
        <v>43</v>
      </c>
    </row>
    <row r="170" spans="1:54" x14ac:dyDescent="0.55000000000000004">
      <c r="A170" t="s">
        <v>5307</v>
      </c>
      <c r="B170" t="s">
        <v>5308</v>
      </c>
      <c r="C170">
        <v>1991</v>
      </c>
      <c r="D170" t="s">
        <v>68</v>
      </c>
      <c r="E170">
        <v>119</v>
      </c>
      <c r="F170">
        <v>2</v>
      </c>
      <c r="H170">
        <v>235</v>
      </c>
      <c r="I170">
        <v>242</v>
      </c>
      <c r="K170" s="2" t="s">
        <v>4182</v>
      </c>
      <c r="L170" s="2" t="s">
        <v>4183</v>
      </c>
      <c r="M170" t="s">
        <v>5309</v>
      </c>
      <c r="N170" t="s">
        <v>4184</v>
      </c>
      <c r="O170" t="s">
        <v>26</v>
      </c>
      <c r="P170" t="s">
        <v>27</v>
      </c>
      <c r="Q170" t="s">
        <v>43</v>
      </c>
      <c r="R170" t="s">
        <v>43</v>
      </c>
      <c r="S170" t="s">
        <v>28</v>
      </c>
      <c r="T170" t="s">
        <v>28</v>
      </c>
      <c r="U170" t="s">
        <v>28</v>
      </c>
      <c r="V170" t="s">
        <v>28</v>
      </c>
      <c r="W170" s="16" t="s">
        <v>5629</v>
      </c>
      <c r="X170" t="s">
        <v>5624</v>
      </c>
      <c r="Y170" t="s">
        <v>4495</v>
      </c>
      <c r="Z170" t="s">
        <v>4358</v>
      </c>
      <c r="AA170" t="s">
        <v>5369</v>
      </c>
      <c r="AB170" t="s">
        <v>4471</v>
      </c>
      <c r="AC170" t="s">
        <v>5383</v>
      </c>
      <c r="AE170" t="s">
        <v>5709</v>
      </c>
      <c r="AF170" t="s">
        <v>4356</v>
      </c>
      <c r="AG170" t="s">
        <v>5384</v>
      </c>
      <c r="AH170" t="s">
        <v>5385</v>
      </c>
      <c r="AI170" t="s">
        <v>4343</v>
      </c>
      <c r="AJ170">
        <v>24</v>
      </c>
      <c r="AK170">
        <v>192</v>
      </c>
      <c r="AL170" t="s">
        <v>5408</v>
      </c>
      <c r="AM170" t="s">
        <v>4334</v>
      </c>
      <c r="AO170">
        <v>6</v>
      </c>
      <c r="AP170" s="2">
        <v>55.711948</v>
      </c>
      <c r="AQ170" s="2">
        <v>13.203476999999999</v>
      </c>
      <c r="AT170">
        <v>20</v>
      </c>
      <c r="AU170">
        <v>100</v>
      </c>
      <c r="AV170" s="21">
        <f>5.1*0.93</f>
        <v>4.7430000000000003</v>
      </c>
      <c r="AW170" s="12"/>
      <c r="AX170" t="s">
        <v>5594</v>
      </c>
      <c r="AY170" t="s">
        <v>43</v>
      </c>
    </row>
    <row r="171" spans="1:54" x14ac:dyDescent="0.55000000000000004">
      <c r="A171" t="s">
        <v>4269</v>
      </c>
      <c r="B171" t="s">
        <v>4566</v>
      </c>
      <c r="C171">
        <v>1982</v>
      </c>
      <c r="D171" t="s">
        <v>60</v>
      </c>
      <c r="E171">
        <v>63</v>
      </c>
      <c r="F171">
        <v>2</v>
      </c>
      <c r="H171">
        <v>370</v>
      </c>
      <c r="I171">
        <v>380</v>
      </c>
      <c r="K171" s="2" t="s">
        <v>4271</v>
      </c>
      <c r="L171" s="2" t="s">
        <v>4272</v>
      </c>
      <c r="M171" t="s">
        <v>4273</v>
      </c>
      <c r="O171" t="s">
        <v>26</v>
      </c>
      <c r="P171" t="s">
        <v>27</v>
      </c>
      <c r="Q171" t="s">
        <v>43</v>
      </c>
      <c r="R171" t="s">
        <v>43</v>
      </c>
      <c r="S171" t="s">
        <v>28</v>
      </c>
      <c r="T171" t="s">
        <v>28</v>
      </c>
      <c r="U171" t="s">
        <v>28</v>
      </c>
      <c r="V171" t="s">
        <v>28</v>
      </c>
      <c r="W171" s="16" t="s">
        <v>5629</v>
      </c>
      <c r="X171" t="s">
        <v>5624</v>
      </c>
      <c r="Y171" t="s">
        <v>4495</v>
      </c>
      <c r="Z171" t="s">
        <v>4358</v>
      </c>
      <c r="AA171" t="s">
        <v>5369</v>
      </c>
      <c r="AB171" t="s">
        <v>4562</v>
      </c>
      <c r="AC171" t="s">
        <v>4563</v>
      </c>
      <c r="AE171" t="s">
        <v>5709</v>
      </c>
      <c r="AF171" t="s">
        <v>4356</v>
      </c>
      <c r="AG171" t="s">
        <v>4419</v>
      </c>
      <c r="AH171" t="s">
        <v>4420</v>
      </c>
      <c r="AI171" t="s">
        <v>4415</v>
      </c>
      <c r="AL171" t="s">
        <v>5408</v>
      </c>
      <c r="AM171" t="s">
        <v>4355</v>
      </c>
      <c r="AO171">
        <v>24</v>
      </c>
      <c r="AP171">
        <v>47.319901000000002</v>
      </c>
      <c r="AQ171">
        <v>-121.58784900000001</v>
      </c>
      <c r="AT171">
        <v>5.5</v>
      </c>
      <c r="AV171" s="21">
        <v>19.8</v>
      </c>
      <c r="AW171" s="12"/>
      <c r="AX171" t="s">
        <v>5549</v>
      </c>
    </row>
    <row r="172" spans="1:54" x14ac:dyDescent="0.55000000000000004">
      <c r="A172" t="s">
        <v>4269</v>
      </c>
      <c r="B172" t="s">
        <v>4270</v>
      </c>
      <c r="C172">
        <v>1982</v>
      </c>
      <c r="D172" t="s">
        <v>60</v>
      </c>
      <c r="E172">
        <v>63</v>
      </c>
      <c r="F172">
        <v>2</v>
      </c>
      <c r="H172">
        <v>370</v>
      </c>
      <c r="I172">
        <v>380</v>
      </c>
      <c r="K172" s="2" t="s">
        <v>4271</v>
      </c>
      <c r="L172" s="2" t="s">
        <v>4272</v>
      </c>
      <c r="M172" t="s">
        <v>4273</v>
      </c>
      <c r="O172" t="s">
        <v>26</v>
      </c>
      <c r="P172" t="s">
        <v>27</v>
      </c>
      <c r="Q172" t="s">
        <v>43</v>
      </c>
      <c r="R172" t="s">
        <v>43</v>
      </c>
      <c r="S172" t="s">
        <v>28</v>
      </c>
      <c r="T172" t="s">
        <v>28</v>
      </c>
      <c r="U172" t="s">
        <v>28</v>
      </c>
      <c r="V172" t="s">
        <v>28</v>
      </c>
      <c r="W172" s="16" t="s">
        <v>5629</v>
      </c>
      <c r="X172" t="s">
        <v>5624</v>
      </c>
      <c r="Y172" t="s">
        <v>4495</v>
      </c>
      <c r="Z172" t="s">
        <v>4358</v>
      </c>
      <c r="AA172" t="s">
        <v>5369</v>
      </c>
      <c r="AB172" t="s">
        <v>4562</v>
      </c>
      <c r="AC172" t="s">
        <v>4563</v>
      </c>
      <c r="AE172" t="s">
        <v>5709</v>
      </c>
      <c r="AF172" t="s">
        <v>4356</v>
      </c>
      <c r="AG172" t="s">
        <v>4419</v>
      </c>
      <c r="AH172" t="s">
        <v>4420</v>
      </c>
      <c r="AI172" t="s">
        <v>4415</v>
      </c>
      <c r="AL172" t="s">
        <v>5408</v>
      </c>
      <c r="AM172" t="s">
        <v>4355</v>
      </c>
      <c r="AO172">
        <v>3</v>
      </c>
      <c r="AP172">
        <v>47.319901000000002</v>
      </c>
      <c r="AQ172">
        <v>-121.58784900000001</v>
      </c>
      <c r="AT172">
        <v>5.5</v>
      </c>
      <c r="AV172" s="21">
        <v>21.5</v>
      </c>
      <c r="AW172" s="12"/>
      <c r="AX172" t="s">
        <v>5550</v>
      </c>
    </row>
    <row r="173" spans="1:54" x14ac:dyDescent="0.55000000000000004">
      <c r="A173" t="s">
        <v>490</v>
      </c>
      <c r="B173" t="s">
        <v>491</v>
      </c>
      <c r="C173">
        <v>2021</v>
      </c>
      <c r="D173" t="s">
        <v>466</v>
      </c>
      <c r="E173">
        <v>24</v>
      </c>
      <c r="F173">
        <v>6</v>
      </c>
      <c r="H173">
        <v>1193</v>
      </c>
      <c r="I173">
        <v>1204</v>
      </c>
      <c r="K173" s="2" t="s">
        <v>492</v>
      </c>
      <c r="L173" s="2" t="s">
        <v>493</v>
      </c>
      <c r="M173" t="s">
        <v>494</v>
      </c>
      <c r="N173" t="s">
        <v>495</v>
      </c>
      <c r="O173" t="s">
        <v>496</v>
      </c>
      <c r="P173" t="s">
        <v>27</v>
      </c>
      <c r="Q173" t="s">
        <v>43</v>
      </c>
      <c r="R173" t="s">
        <v>28</v>
      </c>
      <c r="S173" t="s">
        <v>43</v>
      </c>
      <c r="T173" t="s">
        <v>43</v>
      </c>
      <c r="U173" t="s">
        <v>43</v>
      </c>
      <c r="V173" t="s">
        <v>28</v>
      </c>
      <c r="W173" s="16" t="s">
        <v>5629</v>
      </c>
      <c r="X173" t="s">
        <v>5624</v>
      </c>
      <c r="Y173" t="s">
        <v>4495</v>
      </c>
      <c r="AF173" t="s">
        <v>5713</v>
      </c>
      <c r="AK173">
        <v>26280</v>
      </c>
      <c r="AS173" t="s">
        <v>4541</v>
      </c>
      <c r="AZ173" s="20" t="s">
        <v>5694</v>
      </c>
    </row>
    <row r="174" spans="1:54" x14ac:dyDescent="0.55000000000000004">
      <c r="A174" t="s">
        <v>490</v>
      </c>
      <c r="B174" t="s">
        <v>491</v>
      </c>
      <c r="C174">
        <v>2021</v>
      </c>
      <c r="D174" t="s">
        <v>466</v>
      </c>
      <c r="E174">
        <v>24</v>
      </c>
      <c r="F174">
        <v>6</v>
      </c>
      <c r="H174">
        <v>1193</v>
      </c>
      <c r="I174">
        <v>1204</v>
      </c>
      <c r="K174" s="2" t="s">
        <v>492</v>
      </c>
      <c r="L174" s="2" t="s">
        <v>493</v>
      </c>
      <c r="M174" t="s">
        <v>494</v>
      </c>
      <c r="N174" t="s">
        <v>495</v>
      </c>
      <c r="O174" t="s">
        <v>496</v>
      </c>
      <c r="P174" t="s">
        <v>27</v>
      </c>
      <c r="Q174" t="s">
        <v>43</v>
      </c>
      <c r="R174" t="s">
        <v>28</v>
      </c>
      <c r="S174" t="s">
        <v>43</v>
      </c>
      <c r="T174" t="s">
        <v>43</v>
      </c>
      <c r="U174" t="s">
        <v>43</v>
      </c>
      <c r="V174" t="s">
        <v>28</v>
      </c>
      <c r="W174" s="16" t="s">
        <v>5629</v>
      </c>
      <c r="X174" t="s">
        <v>5624</v>
      </c>
      <c r="Y174" t="s">
        <v>4495</v>
      </c>
      <c r="AF174" t="s">
        <v>5713</v>
      </c>
      <c r="AK174">
        <v>48</v>
      </c>
      <c r="AS174" t="s">
        <v>4542</v>
      </c>
    </row>
    <row r="175" spans="1:54" x14ac:dyDescent="0.55000000000000004">
      <c r="A175" t="s">
        <v>490</v>
      </c>
      <c r="B175" t="s">
        <v>491</v>
      </c>
      <c r="C175">
        <v>2021</v>
      </c>
      <c r="D175" t="s">
        <v>466</v>
      </c>
      <c r="E175">
        <v>24</v>
      </c>
      <c r="F175">
        <v>6</v>
      </c>
      <c r="H175">
        <v>1193</v>
      </c>
      <c r="I175">
        <v>1204</v>
      </c>
      <c r="K175" s="2" t="s">
        <v>492</v>
      </c>
      <c r="L175" s="2" t="s">
        <v>493</v>
      </c>
      <c r="M175" t="s">
        <v>494</v>
      </c>
      <c r="N175" t="s">
        <v>495</v>
      </c>
      <c r="O175" t="s">
        <v>496</v>
      </c>
      <c r="P175" t="s">
        <v>27</v>
      </c>
      <c r="Q175" t="s">
        <v>43</v>
      </c>
      <c r="R175" t="s">
        <v>28</v>
      </c>
      <c r="S175" t="s">
        <v>43</v>
      </c>
      <c r="T175" t="s">
        <v>43</v>
      </c>
      <c r="U175" t="s">
        <v>43</v>
      </c>
      <c r="V175" t="s">
        <v>28</v>
      </c>
      <c r="W175" s="16" t="s">
        <v>5629</v>
      </c>
      <c r="X175" t="s">
        <v>5624</v>
      </c>
      <c r="Y175" t="s">
        <v>4540</v>
      </c>
      <c r="AF175" t="s">
        <v>5713</v>
      </c>
      <c r="AS175" t="s">
        <v>4543</v>
      </c>
    </row>
    <row r="176" spans="1:54" x14ac:dyDescent="0.55000000000000004">
      <c r="A176" t="s">
        <v>490</v>
      </c>
      <c r="B176" t="s">
        <v>491</v>
      </c>
      <c r="C176">
        <v>2021</v>
      </c>
      <c r="D176" t="s">
        <v>466</v>
      </c>
      <c r="E176">
        <v>24</v>
      </c>
      <c r="F176">
        <v>6</v>
      </c>
      <c r="H176">
        <v>1193</v>
      </c>
      <c r="I176">
        <v>1204</v>
      </c>
      <c r="K176" s="2" t="s">
        <v>492</v>
      </c>
      <c r="L176" s="2" t="s">
        <v>493</v>
      </c>
      <c r="M176" t="s">
        <v>494</v>
      </c>
      <c r="N176" t="s">
        <v>495</v>
      </c>
      <c r="O176" t="s">
        <v>496</v>
      </c>
      <c r="P176" t="s">
        <v>27</v>
      </c>
      <c r="Q176" t="s">
        <v>43</v>
      </c>
      <c r="R176" t="s">
        <v>28</v>
      </c>
      <c r="S176" t="s">
        <v>43</v>
      </c>
      <c r="T176" t="s">
        <v>43</v>
      </c>
      <c r="U176" t="s">
        <v>43</v>
      </c>
      <c r="V176" t="s">
        <v>28</v>
      </c>
      <c r="W176" s="16" t="s">
        <v>5629</v>
      </c>
      <c r="X176" t="s">
        <v>5624</v>
      </c>
      <c r="Y176" t="s">
        <v>4540</v>
      </c>
      <c r="AF176" t="s">
        <v>5713</v>
      </c>
      <c r="AS176" t="s">
        <v>4544</v>
      </c>
    </row>
    <row r="177" spans="1:52" x14ac:dyDescent="0.55000000000000004">
      <c r="A177" t="s">
        <v>2402</v>
      </c>
      <c r="B177" t="s">
        <v>4345</v>
      </c>
      <c r="C177">
        <v>2006</v>
      </c>
      <c r="D177" t="s">
        <v>60</v>
      </c>
      <c r="E177">
        <v>87</v>
      </c>
      <c r="F177">
        <v>4</v>
      </c>
      <c r="H177">
        <v>816</v>
      </c>
      <c r="I177">
        <v>822</v>
      </c>
      <c r="K177" s="2" t="s">
        <v>4346</v>
      </c>
      <c r="L177" s="2" t="s">
        <v>4347</v>
      </c>
      <c r="M177" t="s">
        <v>4348</v>
      </c>
      <c r="N177" t="s">
        <v>4349</v>
      </c>
      <c r="O177" t="s">
        <v>26</v>
      </c>
      <c r="P177" t="s">
        <v>27</v>
      </c>
      <c r="Q177" t="s">
        <v>43</v>
      </c>
      <c r="R177" t="s">
        <v>43</v>
      </c>
      <c r="S177" t="s">
        <v>28</v>
      </c>
      <c r="T177" t="s">
        <v>28</v>
      </c>
      <c r="U177" t="s">
        <v>28</v>
      </c>
      <c r="V177" t="s">
        <v>43</v>
      </c>
      <c r="W177" s="16" t="s">
        <v>5629</v>
      </c>
      <c r="X177" t="s">
        <v>5624</v>
      </c>
      <c r="Y177" t="s">
        <v>4496</v>
      </c>
      <c r="Z177" t="s">
        <v>4359</v>
      </c>
      <c r="AA177" t="s">
        <v>5369</v>
      </c>
      <c r="AB177" t="s">
        <v>4374</v>
      </c>
      <c r="AC177" t="s">
        <v>5367</v>
      </c>
      <c r="AF177" t="s">
        <v>4354</v>
      </c>
      <c r="AG177" t="s">
        <v>4377</v>
      </c>
      <c r="AI177" t="s">
        <v>4464</v>
      </c>
      <c r="AL177" t="s">
        <v>5408</v>
      </c>
      <c r="AM177" t="s">
        <v>4355</v>
      </c>
      <c r="AO177">
        <v>3</v>
      </c>
      <c r="AP177">
        <v>68.633611110000004</v>
      </c>
      <c r="AQ177">
        <v>149.56694443999999</v>
      </c>
      <c r="AV177" s="21">
        <f>MEDIAN(8,17)</f>
        <v>12.5</v>
      </c>
      <c r="AW177" s="12">
        <f>STDEV(8,17)/SQRT(2)</f>
        <v>4.5</v>
      </c>
      <c r="AX177" t="s">
        <v>5615</v>
      </c>
      <c r="AZ177" s="19" t="s">
        <v>5626</v>
      </c>
    </row>
    <row r="178" spans="1:52" x14ac:dyDescent="0.55000000000000004">
      <c r="A178" t="s">
        <v>2402</v>
      </c>
      <c r="B178" t="s">
        <v>4345</v>
      </c>
      <c r="C178">
        <v>2006</v>
      </c>
      <c r="D178" t="s">
        <v>60</v>
      </c>
      <c r="E178">
        <v>87</v>
      </c>
      <c r="F178">
        <v>4</v>
      </c>
      <c r="H178">
        <v>816</v>
      </c>
      <c r="I178">
        <v>822</v>
      </c>
      <c r="K178" s="2" t="s">
        <v>4346</v>
      </c>
      <c r="L178" s="2" t="s">
        <v>4347</v>
      </c>
      <c r="M178" t="s">
        <v>4348</v>
      </c>
      <c r="N178" t="s">
        <v>4349</v>
      </c>
      <c r="O178" t="s">
        <v>26</v>
      </c>
      <c r="P178" t="s">
        <v>27</v>
      </c>
      <c r="Q178" t="s">
        <v>43</v>
      </c>
      <c r="R178" t="s">
        <v>43</v>
      </c>
      <c r="S178" t="s">
        <v>28</v>
      </c>
      <c r="T178" t="s">
        <v>28</v>
      </c>
      <c r="U178" t="s">
        <v>28</v>
      </c>
      <c r="V178" t="s">
        <v>43</v>
      </c>
      <c r="W178" s="16" t="s">
        <v>5629</v>
      </c>
      <c r="X178" t="s">
        <v>5624</v>
      </c>
      <c r="Y178" t="s">
        <v>4496</v>
      </c>
      <c r="Z178" t="s">
        <v>4359</v>
      </c>
      <c r="AA178" t="s">
        <v>5369</v>
      </c>
      <c r="AB178" t="s">
        <v>4373</v>
      </c>
      <c r="AC178" t="s">
        <v>5367</v>
      </c>
      <c r="AF178" t="s">
        <v>4354</v>
      </c>
      <c r="AG178" t="s">
        <v>4377</v>
      </c>
      <c r="AI178" t="s">
        <v>4464</v>
      </c>
      <c r="AL178" t="s">
        <v>5408</v>
      </c>
      <c r="AM178" t="s">
        <v>4355</v>
      </c>
      <c r="AO178">
        <v>3</v>
      </c>
      <c r="AP178">
        <v>68.633611110000004</v>
      </c>
      <c r="AQ178">
        <v>149.56694443999999</v>
      </c>
      <c r="AV178" s="21">
        <f>MEDIAN(8,17)</f>
        <v>12.5</v>
      </c>
      <c r="AW178" s="12">
        <f>STDEV(8,17)/SQRT(2)</f>
        <v>4.5</v>
      </c>
      <c r="AX178" t="s">
        <v>5559</v>
      </c>
    </row>
    <row r="179" spans="1:52" x14ac:dyDescent="0.55000000000000004">
      <c r="A179" t="s">
        <v>2402</v>
      </c>
      <c r="B179" t="s">
        <v>4345</v>
      </c>
      <c r="C179">
        <v>2006</v>
      </c>
      <c r="D179" t="s">
        <v>60</v>
      </c>
      <c r="E179">
        <v>87</v>
      </c>
      <c r="F179">
        <v>4</v>
      </c>
      <c r="H179">
        <v>816</v>
      </c>
      <c r="I179">
        <v>822</v>
      </c>
      <c r="K179" s="2" t="s">
        <v>4346</v>
      </c>
      <c r="L179" s="2" t="s">
        <v>4347</v>
      </c>
      <c r="M179" t="s">
        <v>4348</v>
      </c>
      <c r="N179" t="s">
        <v>4349</v>
      </c>
      <c r="O179" t="s">
        <v>26</v>
      </c>
      <c r="P179" t="s">
        <v>27</v>
      </c>
      <c r="Q179" t="s">
        <v>43</v>
      </c>
      <c r="R179" t="s">
        <v>43</v>
      </c>
      <c r="S179" t="s">
        <v>28</v>
      </c>
      <c r="T179" t="s">
        <v>28</v>
      </c>
      <c r="U179" t="s">
        <v>28</v>
      </c>
      <c r="V179" t="s">
        <v>43</v>
      </c>
      <c r="W179" s="16" t="s">
        <v>5629</v>
      </c>
      <c r="X179" t="s">
        <v>5624</v>
      </c>
      <c r="Y179" t="s">
        <v>4496</v>
      </c>
      <c r="Z179" t="s">
        <v>4359</v>
      </c>
      <c r="AA179" t="s">
        <v>5369</v>
      </c>
      <c r="AB179" t="s">
        <v>4372</v>
      </c>
      <c r="AC179" t="s">
        <v>5613</v>
      </c>
      <c r="AF179" t="s">
        <v>4354</v>
      </c>
      <c r="AG179" t="s">
        <v>4377</v>
      </c>
      <c r="AI179" t="s">
        <v>4464</v>
      </c>
      <c r="AL179" t="s">
        <v>5408</v>
      </c>
      <c r="AM179" t="s">
        <v>4355</v>
      </c>
      <c r="AO179">
        <v>3</v>
      </c>
      <c r="AP179">
        <v>68.633611110000004</v>
      </c>
      <c r="AQ179">
        <v>149.56694443999999</v>
      </c>
      <c r="AV179" s="21">
        <f>MEDIAN(8,17)</f>
        <v>12.5</v>
      </c>
      <c r="AW179" s="12">
        <f>STDEV(8,17)/SQRT(2)</f>
        <v>4.5</v>
      </c>
      <c r="AX179" t="s">
        <v>5614</v>
      </c>
    </row>
    <row r="180" spans="1:52" x14ac:dyDescent="0.55000000000000004">
      <c r="A180" t="s">
        <v>5358</v>
      </c>
      <c r="B180" t="s">
        <v>3505</v>
      </c>
      <c r="C180">
        <v>2004</v>
      </c>
      <c r="D180" t="s">
        <v>68</v>
      </c>
      <c r="E180">
        <v>162</v>
      </c>
      <c r="H180">
        <v>459</v>
      </c>
      <c r="I180">
        <v>469</v>
      </c>
      <c r="K180" s="2" t="s">
        <v>3506</v>
      </c>
      <c r="L180" s="2" t="s">
        <v>5359</v>
      </c>
      <c r="P180" t="s">
        <v>4384</v>
      </c>
      <c r="Q180" t="s">
        <v>43</v>
      </c>
      <c r="R180" t="s">
        <v>43</v>
      </c>
      <c r="S180" t="s">
        <v>28</v>
      </c>
      <c r="T180" t="s">
        <v>28</v>
      </c>
      <c r="U180" t="s">
        <v>28</v>
      </c>
      <c r="V180" t="s">
        <v>28</v>
      </c>
      <c r="W180" t="s">
        <v>4336</v>
      </c>
      <c r="X180" t="s">
        <v>5624</v>
      </c>
      <c r="Y180" t="s">
        <v>4495</v>
      </c>
      <c r="Z180" t="s">
        <v>4359</v>
      </c>
      <c r="AA180" t="s">
        <v>5369</v>
      </c>
      <c r="AB180" t="s">
        <v>5361</v>
      </c>
      <c r="AC180" t="s">
        <v>5360</v>
      </c>
      <c r="AF180" t="s">
        <v>4354</v>
      </c>
      <c r="AG180" t="s">
        <v>4419</v>
      </c>
      <c r="AH180" t="s">
        <v>4420</v>
      </c>
      <c r="AI180" t="s">
        <v>4343</v>
      </c>
      <c r="AJ180">
        <f t="shared" ref="AJ180:AJ187" si="5">24*3</f>
        <v>72</v>
      </c>
      <c r="AK180">
        <f t="shared" ref="AK180:AK187" si="6">24*8</f>
        <v>192</v>
      </c>
      <c r="AL180" t="s">
        <v>5408</v>
      </c>
      <c r="AM180" t="s">
        <v>4355</v>
      </c>
      <c r="AO180">
        <v>9</v>
      </c>
      <c r="AP180">
        <v>68.349999999999994</v>
      </c>
      <c r="AQ180">
        <v>19</v>
      </c>
      <c r="AT180">
        <v>-0.8</v>
      </c>
      <c r="AV180" s="21">
        <v>0.1055</v>
      </c>
      <c r="AW180" s="12"/>
      <c r="AX180" t="s">
        <v>5560</v>
      </c>
    </row>
    <row r="181" spans="1:52" x14ac:dyDescent="0.55000000000000004">
      <c r="A181" t="s">
        <v>5358</v>
      </c>
      <c r="B181" t="s">
        <v>3505</v>
      </c>
      <c r="C181">
        <v>2004</v>
      </c>
      <c r="D181" t="s">
        <v>68</v>
      </c>
      <c r="E181">
        <v>162</v>
      </c>
      <c r="H181">
        <v>459</v>
      </c>
      <c r="I181">
        <v>469</v>
      </c>
      <c r="K181" s="2" t="s">
        <v>3506</v>
      </c>
      <c r="L181" s="2" t="s">
        <v>5359</v>
      </c>
      <c r="P181" t="s">
        <v>4384</v>
      </c>
      <c r="Q181" t="s">
        <v>43</v>
      </c>
      <c r="R181" t="s">
        <v>43</v>
      </c>
      <c r="S181" t="s">
        <v>28</v>
      </c>
      <c r="T181" t="s">
        <v>28</v>
      </c>
      <c r="U181" t="s">
        <v>28</v>
      </c>
      <c r="V181" t="s">
        <v>28</v>
      </c>
      <c r="W181" t="s">
        <v>4336</v>
      </c>
      <c r="X181" t="s">
        <v>5624</v>
      </c>
      <c r="Y181" t="s">
        <v>4495</v>
      </c>
      <c r="Z181" t="s">
        <v>4359</v>
      </c>
      <c r="AA181" t="s">
        <v>5369</v>
      </c>
      <c r="AB181" t="s">
        <v>5361</v>
      </c>
      <c r="AC181" t="s">
        <v>5360</v>
      </c>
      <c r="AF181" t="s">
        <v>4354</v>
      </c>
      <c r="AG181" t="s">
        <v>4419</v>
      </c>
      <c r="AH181" t="s">
        <v>4420</v>
      </c>
      <c r="AI181" t="s">
        <v>4343</v>
      </c>
      <c r="AJ181">
        <f t="shared" si="5"/>
        <v>72</v>
      </c>
      <c r="AK181">
        <f t="shared" si="6"/>
        <v>192</v>
      </c>
      <c r="AL181" t="s">
        <v>5409</v>
      </c>
      <c r="AM181" t="s">
        <v>4355</v>
      </c>
      <c r="AO181">
        <v>9</v>
      </c>
      <c r="AP181">
        <v>68.349999999999994</v>
      </c>
      <c r="AQ181">
        <v>19</v>
      </c>
      <c r="AT181">
        <v>-0.8</v>
      </c>
      <c r="AV181" s="21">
        <v>0.1275</v>
      </c>
      <c r="AW181" s="12"/>
      <c r="AX181" t="s">
        <v>5561</v>
      </c>
    </row>
    <row r="182" spans="1:52" x14ac:dyDescent="0.55000000000000004">
      <c r="A182" t="s">
        <v>5358</v>
      </c>
      <c r="B182" t="s">
        <v>3505</v>
      </c>
      <c r="C182">
        <v>2004</v>
      </c>
      <c r="D182" t="s">
        <v>68</v>
      </c>
      <c r="E182">
        <v>162</v>
      </c>
      <c r="H182">
        <v>459</v>
      </c>
      <c r="I182">
        <v>469</v>
      </c>
      <c r="K182" s="2" t="s">
        <v>3506</v>
      </c>
      <c r="L182" s="14" t="s">
        <v>5359</v>
      </c>
      <c r="P182" t="s">
        <v>4384</v>
      </c>
      <c r="Q182" t="s">
        <v>43</v>
      </c>
      <c r="R182" t="s">
        <v>43</v>
      </c>
      <c r="S182" t="s">
        <v>28</v>
      </c>
      <c r="T182" t="s">
        <v>28</v>
      </c>
      <c r="U182" t="s">
        <v>28</v>
      </c>
      <c r="V182" t="s">
        <v>28</v>
      </c>
      <c r="W182" t="s">
        <v>4336</v>
      </c>
      <c r="X182" t="s">
        <v>5624</v>
      </c>
      <c r="Y182" t="s">
        <v>4495</v>
      </c>
      <c r="Z182" t="s">
        <v>4359</v>
      </c>
      <c r="AA182" t="s">
        <v>5369</v>
      </c>
      <c r="AB182" t="s">
        <v>5361</v>
      </c>
      <c r="AC182" t="s">
        <v>5360</v>
      </c>
      <c r="AF182" t="s">
        <v>4354</v>
      </c>
      <c r="AG182" t="s">
        <v>4419</v>
      </c>
      <c r="AH182" t="s">
        <v>4420</v>
      </c>
      <c r="AI182" t="s">
        <v>4343</v>
      </c>
      <c r="AJ182">
        <f t="shared" si="5"/>
        <v>72</v>
      </c>
      <c r="AK182">
        <f t="shared" si="6"/>
        <v>192</v>
      </c>
      <c r="AL182" t="s">
        <v>5408</v>
      </c>
      <c r="AM182" t="s">
        <v>4355</v>
      </c>
      <c r="AO182">
        <v>9</v>
      </c>
      <c r="AP182">
        <v>68.349999999999994</v>
      </c>
      <c r="AQ182">
        <v>19</v>
      </c>
      <c r="AT182">
        <v>-0.8</v>
      </c>
      <c r="AV182" s="21">
        <v>0.18</v>
      </c>
      <c r="AW182" s="12"/>
      <c r="AX182" t="s">
        <v>5562</v>
      </c>
    </row>
    <row r="183" spans="1:52" x14ac:dyDescent="0.55000000000000004">
      <c r="A183" t="s">
        <v>5358</v>
      </c>
      <c r="B183" t="s">
        <v>3505</v>
      </c>
      <c r="C183">
        <v>2004</v>
      </c>
      <c r="D183" t="s">
        <v>68</v>
      </c>
      <c r="E183">
        <v>162</v>
      </c>
      <c r="H183">
        <v>459</v>
      </c>
      <c r="I183">
        <v>469</v>
      </c>
      <c r="K183" s="2" t="s">
        <v>3506</v>
      </c>
      <c r="L183" s="2" t="s">
        <v>5359</v>
      </c>
      <c r="P183" t="s">
        <v>4384</v>
      </c>
      <c r="Q183" t="s">
        <v>43</v>
      </c>
      <c r="R183" t="s">
        <v>43</v>
      </c>
      <c r="S183" t="s">
        <v>28</v>
      </c>
      <c r="T183" t="s">
        <v>28</v>
      </c>
      <c r="U183" t="s">
        <v>28</v>
      </c>
      <c r="V183" t="s">
        <v>28</v>
      </c>
      <c r="W183" t="s">
        <v>4336</v>
      </c>
      <c r="X183" t="s">
        <v>5624</v>
      </c>
      <c r="Y183" t="s">
        <v>4495</v>
      </c>
      <c r="Z183" t="s">
        <v>4359</v>
      </c>
      <c r="AA183" t="s">
        <v>5369</v>
      </c>
      <c r="AB183" t="s">
        <v>5361</v>
      </c>
      <c r="AC183" t="s">
        <v>5360</v>
      </c>
      <c r="AF183" t="s">
        <v>4354</v>
      </c>
      <c r="AG183" t="s">
        <v>4419</v>
      </c>
      <c r="AH183" t="s">
        <v>4420</v>
      </c>
      <c r="AI183" t="s">
        <v>4343</v>
      </c>
      <c r="AJ183">
        <f t="shared" si="5"/>
        <v>72</v>
      </c>
      <c r="AK183">
        <f t="shared" si="6"/>
        <v>192</v>
      </c>
      <c r="AL183" t="s">
        <v>5409</v>
      </c>
      <c r="AM183" t="s">
        <v>4355</v>
      </c>
      <c r="AO183">
        <v>9</v>
      </c>
      <c r="AP183">
        <v>68.349999999999994</v>
      </c>
      <c r="AQ183">
        <v>19</v>
      </c>
      <c r="AT183">
        <v>-0.8</v>
      </c>
      <c r="AV183" s="21">
        <v>0.10299999999999999</v>
      </c>
      <c r="AW183" s="12"/>
      <c r="AX183" t="s">
        <v>5563</v>
      </c>
    </row>
    <row r="184" spans="1:52" x14ac:dyDescent="0.55000000000000004">
      <c r="A184" t="s">
        <v>5358</v>
      </c>
      <c r="B184" t="s">
        <v>3505</v>
      </c>
      <c r="C184">
        <v>2004</v>
      </c>
      <c r="D184" t="s">
        <v>68</v>
      </c>
      <c r="E184">
        <v>162</v>
      </c>
      <c r="H184">
        <v>459</v>
      </c>
      <c r="I184">
        <v>469</v>
      </c>
      <c r="K184" s="2" t="s">
        <v>3506</v>
      </c>
      <c r="L184" s="2" t="s">
        <v>5359</v>
      </c>
      <c r="P184" t="s">
        <v>4384</v>
      </c>
      <c r="Q184" t="s">
        <v>43</v>
      </c>
      <c r="R184" t="s">
        <v>43</v>
      </c>
      <c r="S184" t="s">
        <v>28</v>
      </c>
      <c r="T184" t="s">
        <v>28</v>
      </c>
      <c r="U184" t="s">
        <v>28</v>
      </c>
      <c r="V184" t="s">
        <v>28</v>
      </c>
      <c r="W184" t="s">
        <v>4336</v>
      </c>
      <c r="X184" t="s">
        <v>5624</v>
      </c>
      <c r="Y184" t="s">
        <v>4495</v>
      </c>
      <c r="Z184" t="s">
        <v>4359</v>
      </c>
      <c r="AA184" t="s">
        <v>5369</v>
      </c>
      <c r="AB184" t="s">
        <v>5361</v>
      </c>
      <c r="AC184" t="s">
        <v>5360</v>
      </c>
      <c r="AF184" t="s">
        <v>4354</v>
      </c>
      <c r="AG184" t="s">
        <v>4419</v>
      </c>
      <c r="AH184" t="s">
        <v>4420</v>
      </c>
      <c r="AI184" t="s">
        <v>4343</v>
      </c>
      <c r="AJ184">
        <f t="shared" si="5"/>
        <v>72</v>
      </c>
      <c r="AK184">
        <f t="shared" si="6"/>
        <v>192</v>
      </c>
      <c r="AL184" t="s">
        <v>5408</v>
      </c>
      <c r="AM184" t="s">
        <v>4355</v>
      </c>
      <c r="AO184">
        <v>9</v>
      </c>
      <c r="AP184">
        <v>68.349999999999994</v>
      </c>
      <c r="AQ184">
        <v>19</v>
      </c>
      <c r="AT184">
        <v>-0.8</v>
      </c>
      <c r="AV184" s="21">
        <v>9.6500000000000002E-2</v>
      </c>
      <c r="AW184" s="12"/>
      <c r="AX184" t="s">
        <v>5564</v>
      </c>
    </row>
    <row r="185" spans="1:52" x14ac:dyDescent="0.55000000000000004">
      <c r="A185" t="s">
        <v>5358</v>
      </c>
      <c r="B185" t="s">
        <v>3505</v>
      </c>
      <c r="C185">
        <v>2004</v>
      </c>
      <c r="D185" t="s">
        <v>68</v>
      </c>
      <c r="E185">
        <v>162</v>
      </c>
      <c r="H185">
        <v>459</v>
      </c>
      <c r="I185">
        <v>469</v>
      </c>
      <c r="K185" s="2" t="s">
        <v>3506</v>
      </c>
      <c r="L185" s="2" t="s">
        <v>5359</v>
      </c>
      <c r="P185" t="s">
        <v>4384</v>
      </c>
      <c r="Q185" t="s">
        <v>43</v>
      </c>
      <c r="R185" t="s">
        <v>43</v>
      </c>
      <c r="S185" t="s">
        <v>28</v>
      </c>
      <c r="T185" t="s">
        <v>28</v>
      </c>
      <c r="U185" t="s">
        <v>28</v>
      </c>
      <c r="V185" t="s">
        <v>28</v>
      </c>
      <c r="W185" t="s">
        <v>4336</v>
      </c>
      <c r="X185" t="s">
        <v>5624</v>
      </c>
      <c r="Y185" t="s">
        <v>4495</v>
      </c>
      <c r="Z185" t="s">
        <v>4359</v>
      </c>
      <c r="AA185" t="s">
        <v>5369</v>
      </c>
      <c r="AB185" t="s">
        <v>5361</v>
      </c>
      <c r="AC185" t="s">
        <v>5360</v>
      </c>
      <c r="AF185" t="s">
        <v>4354</v>
      </c>
      <c r="AG185" t="s">
        <v>4419</v>
      </c>
      <c r="AH185" t="s">
        <v>4420</v>
      </c>
      <c r="AI185" t="s">
        <v>4343</v>
      </c>
      <c r="AJ185">
        <f t="shared" si="5"/>
        <v>72</v>
      </c>
      <c r="AK185">
        <f t="shared" si="6"/>
        <v>192</v>
      </c>
      <c r="AL185" t="s">
        <v>5409</v>
      </c>
      <c r="AM185" t="s">
        <v>4355</v>
      </c>
      <c r="AO185">
        <v>9</v>
      </c>
      <c r="AP185">
        <v>68.349999999999994</v>
      </c>
      <c r="AQ185">
        <v>19</v>
      </c>
      <c r="AT185">
        <v>-0.8</v>
      </c>
      <c r="AV185" s="21">
        <v>0.14849999999999999</v>
      </c>
      <c r="AW185" s="12"/>
      <c r="AX185" t="s">
        <v>5565</v>
      </c>
    </row>
    <row r="186" spans="1:52" x14ac:dyDescent="0.55000000000000004">
      <c r="A186" t="s">
        <v>5358</v>
      </c>
      <c r="B186" t="s">
        <v>3505</v>
      </c>
      <c r="C186">
        <v>2004</v>
      </c>
      <c r="D186" t="s">
        <v>68</v>
      </c>
      <c r="E186">
        <v>162</v>
      </c>
      <c r="H186">
        <v>459</v>
      </c>
      <c r="I186">
        <v>469</v>
      </c>
      <c r="K186" s="2" t="s">
        <v>3506</v>
      </c>
      <c r="L186" s="2" t="s">
        <v>5359</v>
      </c>
      <c r="P186" t="s">
        <v>4384</v>
      </c>
      <c r="Q186" t="s">
        <v>43</v>
      </c>
      <c r="R186" t="s">
        <v>43</v>
      </c>
      <c r="S186" t="s">
        <v>28</v>
      </c>
      <c r="T186" t="s">
        <v>28</v>
      </c>
      <c r="U186" t="s">
        <v>28</v>
      </c>
      <c r="V186" t="s">
        <v>28</v>
      </c>
      <c r="W186" t="s">
        <v>4336</v>
      </c>
      <c r="X186" t="s">
        <v>5624</v>
      </c>
      <c r="Y186" t="s">
        <v>4495</v>
      </c>
      <c r="Z186" t="s">
        <v>4359</v>
      </c>
      <c r="AA186" t="s">
        <v>5369</v>
      </c>
      <c r="AB186" t="s">
        <v>5361</v>
      </c>
      <c r="AC186" t="s">
        <v>5360</v>
      </c>
      <c r="AF186" t="s">
        <v>4354</v>
      </c>
      <c r="AG186" t="s">
        <v>4419</v>
      </c>
      <c r="AH186" t="s">
        <v>4420</v>
      </c>
      <c r="AI186" t="s">
        <v>4343</v>
      </c>
      <c r="AJ186">
        <f t="shared" si="5"/>
        <v>72</v>
      </c>
      <c r="AK186">
        <f t="shared" si="6"/>
        <v>192</v>
      </c>
      <c r="AL186" t="s">
        <v>5408</v>
      </c>
      <c r="AM186" t="s">
        <v>4355</v>
      </c>
      <c r="AO186">
        <v>9</v>
      </c>
      <c r="AP186">
        <v>68.349999999999994</v>
      </c>
      <c r="AQ186">
        <v>19</v>
      </c>
      <c r="AT186">
        <v>-0.8</v>
      </c>
      <c r="AV186" s="21">
        <v>0.1305</v>
      </c>
      <c r="AW186" s="12"/>
      <c r="AX186" t="s">
        <v>5566</v>
      </c>
    </row>
    <row r="187" spans="1:52" x14ac:dyDescent="0.55000000000000004">
      <c r="A187" t="s">
        <v>5358</v>
      </c>
      <c r="B187" t="s">
        <v>3505</v>
      </c>
      <c r="C187">
        <v>2004</v>
      </c>
      <c r="D187" t="s">
        <v>68</v>
      </c>
      <c r="E187">
        <v>162</v>
      </c>
      <c r="H187">
        <v>459</v>
      </c>
      <c r="I187">
        <v>469</v>
      </c>
      <c r="K187" s="2" t="s">
        <v>3506</v>
      </c>
      <c r="L187" s="2" t="s">
        <v>5359</v>
      </c>
      <c r="P187" t="s">
        <v>4384</v>
      </c>
      <c r="Q187" t="s">
        <v>43</v>
      </c>
      <c r="R187" t="s">
        <v>43</v>
      </c>
      <c r="S187" t="s">
        <v>28</v>
      </c>
      <c r="T187" t="s">
        <v>28</v>
      </c>
      <c r="U187" t="s">
        <v>28</v>
      </c>
      <c r="V187" t="s">
        <v>28</v>
      </c>
      <c r="W187" t="s">
        <v>4336</v>
      </c>
      <c r="X187" t="s">
        <v>5624</v>
      </c>
      <c r="Y187" t="s">
        <v>4495</v>
      </c>
      <c r="Z187" t="s">
        <v>4359</v>
      </c>
      <c r="AA187" t="s">
        <v>5369</v>
      </c>
      <c r="AB187" t="s">
        <v>5361</v>
      </c>
      <c r="AC187" t="s">
        <v>5360</v>
      </c>
      <c r="AF187" t="s">
        <v>4354</v>
      </c>
      <c r="AG187" t="s">
        <v>4419</v>
      </c>
      <c r="AH187" t="s">
        <v>4420</v>
      </c>
      <c r="AI187" t="s">
        <v>4343</v>
      </c>
      <c r="AJ187">
        <f t="shared" si="5"/>
        <v>72</v>
      </c>
      <c r="AK187">
        <f t="shared" si="6"/>
        <v>192</v>
      </c>
      <c r="AL187" t="s">
        <v>5409</v>
      </c>
      <c r="AM187" t="s">
        <v>4355</v>
      </c>
      <c r="AO187">
        <v>9</v>
      </c>
      <c r="AP187">
        <v>68.349999999999994</v>
      </c>
      <c r="AQ187">
        <v>19</v>
      </c>
      <c r="AT187">
        <v>-0.8</v>
      </c>
      <c r="AV187" s="21">
        <v>0.14899999999999999</v>
      </c>
      <c r="AW187" s="12"/>
      <c r="AX187" t="s">
        <v>5567</v>
      </c>
    </row>
    <row r="188" spans="1:52" x14ac:dyDescent="0.55000000000000004">
      <c r="A188" t="s">
        <v>5362</v>
      </c>
      <c r="B188" s="6" t="s">
        <v>5363</v>
      </c>
      <c r="C188">
        <v>2004</v>
      </c>
      <c r="D188" t="s">
        <v>53</v>
      </c>
      <c r="E188">
        <v>36</v>
      </c>
      <c r="H188">
        <v>245</v>
      </c>
      <c r="I188">
        <v>253</v>
      </c>
      <c r="K188" s="14" t="s">
        <v>5365</v>
      </c>
      <c r="L188" s="14" t="s">
        <v>5364</v>
      </c>
      <c r="P188" t="s">
        <v>4384</v>
      </c>
      <c r="Q188" t="s">
        <v>43</v>
      </c>
      <c r="R188" t="s">
        <v>43</v>
      </c>
      <c r="S188" t="s">
        <v>28</v>
      </c>
      <c r="T188" t="s">
        <v>28</v>
      </c>
      <c r="U188" t="s">
        <v>28</v>
      </c>
      <c r="V188" t="s">
        <v>28</v>
      </c>
      <c r="W188" t="s">
        <v>4336</v>
      </c>
      <c r="X188" t="s">
        <v>5624</v>
      </c>
      <c r="Y188" t="s">
        <v>4495</v>
      </c>
      <c r="Z188" t="s">
        <v>4359</v>
      </c>
      <c r="AA188" t="s">
        <v>5369</v>
      </c>
      <c r="AB188" t="s">
        <v>5361</v>
      </c>
      <c r="AC188" t="s">
        <v>5360</v>
      </c>
      <c r="AF188" t="s">
        <v>4354</v>
      </c>
      <c r="AG188" t="s">
        <v>4419</v>
      </c>
      <c r="AH188" t="s">
        <v>4420</v>
      </c>
      <c r="AI188" t="s">
        <v>4343</v>
      </c>
      <c r="AJ188">
        <v>2</v>
      </c>
      <c r="AK188">
        <f>24*1</f>
        <v>24</v>
      </c>
      <c r="AL188" t="s">
        <v>5408</v>
      </c>
      <c r="AM188" t="s">
        <v>4355</v>
      </c>
      <c r="AO188">
        <v>9</v>
      </c>
      <c r="AP188">
        <v>68.349999999999994</v>
      </c>
      <c r="AQ188">
        <v>19</v>
      </c>
      <c r="AT188">
        <v>-0.8</v>
      </c>
      <c r="AV188" s="21">
        <v>0.31999999999999984</v>
      </c>
      <c r="AW188" s="12"/>
      <c r="AX188" t="s">
        <v>5568</v>
      </c>
    </row>
    <row r="189" spans="1:52" x14ac:dyDescent="0.55000000000000004">
      <c r="A189" t="s">
        <v>5362</v>
      </c>
      <c r="B189" s="6" t="s">
        <v>5363</v>
      </c>
      <c r="C189">
        <v>2004</v>
      </c>
      <c r="D189" t="s">
        <v>53</v>
      </c>
      <c r="E189">
        <v>36</v>
      </c>
      <c r="H189">
        <v>245</v>
      </c>
      <c r="I189">
        <v>253</v>
      </c>
      <c r="K189" s="14" t="s">
        <v>5365</v>
      </c>
      <c r="L189" s="14" t="s">
        <v>5364</v>
      </c>
      <c r="P189" t="s">
        <v>4384</v>
      </c>
      <c r="Q189" t="s">
        <v>43</v>
      </c>
      <c r="R189" t="s">
        <v>43</v>
      </c>
      <c r="S189" t="s">
        <v>28</v>
      </c>
      <c r="T189" t="s">
        <v>28</v>
      </c>
      <c r="U189" t="s">
        <v>28</v>
      </c>
      <c r="V189" t="s">
        <v>28</v>
      </c>
      <c r="W189" t="s">
        <v>4336</v>
      </c>
      <c r="X189" t="s">
        <v>5624</v>
      </c>
      <c r="Y189" t="s">
        <v>4495</v>
      </c>
      <c r="Z189" t="s">
        <v>4359</v>
      </c>
      <c r="AA189" t="s">
        <v>5369</v>
      </c>
      <c r="AB189" t="s">
        <v>5361</v>
      </c>
      <c r="AC189" t="s">
        <v>5360</v>
      </c>
      <c r="AF189" t="s">
        <v>4354</v>
      </c>
      <c r="AG189" t="s">
        <v>4419</v>
      </c>
      <c r="AH189" t="s">
        <v>4420</v>
      </c>
      <c r="AI189" t="s">
        <v>4343</v>
      </c>
      <c r="AJ189">
        <v>2</v>
      </c>
      <c r="AK189">
        <f>24*2</f>
        <v>48</v>
      </c>
      <c r="AL189" t="s">
        <v>5408</v>
      </c>
      <c r="AM189" t="s">
        <v>4355</v>
      </c>
      <c r="AO189">
        <v>9</v>
      </c>
      <c r="AP189">
        <v>68.349999999999994</v>
      </c>
      <c r="AQ189">
        <v>19</v>
      </c>
      <c r="AT189">
        <v>-0.8</v>
      </c>
      <c r="AV189" s="21">
        <v>1.0499999999999998</v>
      </c>
      <c r="AW189" s="12"/>
      <c r="AX189" t="s">
        <v>5569</v>
      </c>
    </row>
    <row r="190" spans="1:52" x14ac:dyDescent="0.55000000000000004">
      <c r="A190" t="s">
        <v>5362</v>
      </c>
      <c r="B190" s="6" t="s">
        <v>5363</v>
      </c>
      <c r="C190">
        <v>2004</v>
      </c>
      <c r="D190" t="s">
        <v>53</v>
      </c>
      <c r="E190">
        <v>36</v>
      </c>
      <c r="H190">
        <v>245</v>
      </c>
      <c r="I190">
        <v>253</v>
      </c>
      <c r="K190" s="14" t="s">
        <v>5365</v>
      </c>
      <c r="L190" s="14" t="s">
        <v>5364</v>
      </c>
      <c r="P190" t="s">
        <v>4384</v>
      </c>
      <c r="Q190" t="s">
        <v>43</v>
      </c>
      <c r="R190" t="s">
        <v>43</v>
      </c>
      <c r="S190" t="s">
        <v>28</v>
      </c>
      <c r="T190" t="s">
        <v>28</v>
      </c>
      <c r="U190" t="s">
        <v>28</v>
      </c>
      <c r="V190" t="s">
        <v>28</v>
      </c>
      <c r="W190" t="s">
        <v>4336</v>
      </c>
      <c r="X190" t="s">
        <v>5624</v>
      </c>
      <c r="Y190" t="s">
        <v>4495</v>
      </c>
      <c r="Z190" t="s">
        <v>4359</v>
      </c>
      <c r="AA190" t="s">
        <v>5369</v>
      </c>
      <c r="AB190" t="s">
        <v>5361</v>
      </c>
      <c r="AC190" t="s">
        <v>5360</v>
      </c>
      <c r="AF190" t="s">
        <v>4354</v>
      </c>
      <c r="AG190" t="s">
        <v>4419</v>
      </c>
      <c r="AH190" t="s">
        <v>4420</v>
      </c>
      <c r="AI190" t="s">
        <v>4343</v>
      </c>
      <c r="AJ190">
        <v>2</v>
      </c>
      <c r="AK190">
        <f>24*4</f>
        <v>96</v>
      </c>
      <c r="AL190" t="s">
        <v>5408</v>
      </c>
      <c r="AM190" t="s">
        <v>4355</v>
      </c>
      <c r="AO190">
        <v>9</v>
      </c>
      <c r="AP190">
        <v>68.349999999999994</v>
      </c>
      <c r="AQ190">
        <v>19</v>
      </c>
      <c r="AT190">
        <v>-0.8</v>
      </c>
      <c r="AV190" s="21">
        <v>2.1999999999999993</v>
      </c>
      <c r="AW190" s="12"/>
      <c r="AX190" t="s">
        <v>5570</v>
      </c>
    </row>
    <row r="191" spans="1:52" x14ac:dyDescent="0.55000000000000004">
      <c r="A191" t="s">
        <v>5362</v>
      </c>
      <c r="B191" s="6" t="s">
        <v>5363</v>
      </c>
      <c r="C191">
        <v>2004</v>
      </c>
      <c r="D191" t="s">
        <v>53</v>
      </c>
      <c r="E191">
        <v>36</v>
      </c>
      <c r="H191">
        <v>245</v>
      </c>
      <c r="I191">
        <v>253</v>
      </c>
      <c r="K191" s="14" t="s">
        <v>5365</v>
      </c>
      <c r="L191" s="14" t="s">
        <v>5364</v>
      </c>
      <c r="P191" t="s">
        <v>4384</v>
      </c>
      <c r="Q191" t="s">
        <v>43</v>
      </c>
      <c r="R191" t="s">
        <v>43</v>
      </c>
      <c r="S191" t="s">
        <v>28</v>
      </c>
      <c r="T191" t="s">
        <v>28</v>
      </c>
      <c r="U191" t="s">
        <v>28</v>
      </c>
      <c r="V191" t="s">
        <v>28</v>
      </c>
      <c r="W191" t="s">
        <v>4336</v>
      </c>
      <c r="X191" t="s">
        <v>5624</v>
      </c>
      <c r="Y191" t="s">
        <v>4495</v>
      </c>
      <c r="Z191" t="s">
        <v>4359</v>
      </c>
      <c r="AA191" t="s">
        <v>5369</v>
      </c>
      <c r="AB191" t="s">
        <v>5361</v>
      </c>
      <c r="AC191" t="s">
        <v>5360</v>
      </c>
      <c r="AF191" t="s">
        <v>4354</v>
      </c>
      <c r="AG191" t="s">
        <v>4419</v>
      </c>
      <c r="AH191" t="s">
        <v>4420</v>
      </c>
      <c r="AI191" t="s">
        <v>4343</v>
      </c>
      <c r="AJ191">
        <v>2</v>
      </c>
      <c r="AK191">
        <f>24*8</f>
        <v>192</v>
      </c>
      <c r="AL191" t="s">
        <v>5408</v>
      </c>
      <c r="AM191" t="s">
        <v>4355</v>
      </c>
      <c r="AO191">
        <v>9</v>
      </c>
      <c r="AP191">
        <v>68.349999999999994</v>
      </c>
      <c r="AQ191">
        <v>19</v>
      </c>
      <c r="AT191">
        <v>-0.8</v>
      </c>
      <c r="AV191" s="21">
        <v>2.1000000000000014</v>
      </c>
      <c r="AW191" s="12"/>
      <c r="AX191" t="s">
        <v>5571</v>
      </c>
    </row>
    <row r="192" spans="1:52" x14ac:dyDescent="0.55000000000000004">
      <c r="A192" t="s">
        <v>5362</v>
      </c>
      <c r="B192" s="6" t="s">
        <v>5363</v>
      </c>
      <c r="C192">
        <v>2004</v>
      </c>
      <c r="D192" t="s">
        <v>53</v>
      </c>
      <c r="E192">
        <v>36</v>
      </c>
      <c r="H192">
        <v>245</v>
      </c>
      <c r="I192">
        <v>253</v>
      </c>
      <c r="K192" s="14" t="s">
        <v>5365</v>
      </c>
      <c r="L192" s="14" t="s">
        <v>5364</v>
      </c>
      <c r="P192" t="s">
        <v>4384</v>
      </c>
      <c r="Q192" t="s">
        <v>43</v>
      </c>
      <c r="R192" t="s">
        <v>43</v>
      </c>
      <c r="S192" t="s">
        <v>28</v>
      </c>
      <c r="T192" t="s">
        <v>28</v>
      </c>
      <c r="U192" t="s">
        <v>28</v>
      </c>
      <c r="V192" t="s">
        <v>28</v>
      </c>
      <c r="W192" t="s">
        <v>4336</v>
      </c>
      <c r="X192" t="s">
        <v>5624</v>
      </c>
      <c r="Y192" t="s">
        <v>4495</v>
      </c>
      <c r="Z192" t="s">
        <v>4359</v>
      </c>
      <c r="AA192" t="s">
        <v>5369</v>
      </c>
      <c r="AB192" t="s">
        <v>5361</v>
      </c>
      <c r="AC192" t="s">
        <v>5360</v>
      </c>
      <c r="AF192" t="s">
        <v>4354</v>
      </c>
      <c r="AG192" t="s">
        <v>4419</v>
      </c>
      <c r="AH192" t="s">
        <v>4420</v>
      </c>
      <c r="AI192" t="s">
        <v>4343</v>
      </c>
      <c r="AJ192">
        <v>2</v>
      </c>
      <c r="AK192">
        <f>24*16</f>
        <v>384</v>
      </c>
      <c r="AL192" t="s">
        <v>5408</v>
      </c>
      <c r="AM192" t="s">
        <v>4355</v>
      </c>
      <c r="AO192">
        <v>9</v>
      </c>
      <c r="AP192">
        <v>68.349999999999994</v>
      </c>
      <c r="AQ192">
        <v>19</v>
      </c>
      <c r="AT192">
        <v>-0.8</v>
      </c>
      <c r="AV192" s="21">
        <v>2.4399999999999995</v>
      </c>
      <c r="AW192" s="12"/>
      <c r="AX192" t="s">
        <v>5572</v>
      </c>
    </row>
    <row r="193" spans="1:50" x14ac:dyDescent="0.55000000000000004">
      <c r="A193" t="s">
        <v>5362</v>
      </c>
      <c r="B193" s="6" t="s">
        <v>5363</v>
      </c>
      <c r="C193">
        <v>2004</v>
      </c>
      <c r="D193" t="s">
        <v>53</v>
      </c>
      <c r="E193">
        <v>36</v>
      </c>
      <c r="H193">
        <v>245</v>
      </c>
      <c r="I193">
        <v>253</v>
      </c>
      <c r="K193" s="14" t="s">
        <v>5365</v>
      </c>
      <c r="L193" s="14" t="s">
        <v>5364</v>
      </c>
      <c r="P193" t="s">
        <v>4384</v>
      </c>
      <c r="Q193" t="s">
        <v>43</v>
      </c>
      <c r="R193" t="s">
        <v>43</v>
      </c>
      <c r="S193" t="s">
        <v>28</v>
      </c>
      <c r="T193" t="s">
        <v>28</v>
      </c>
      <c r="U193" t="s">
        <v>28</v>
      </c>
      <c r="V193" t="s">
        <v>28</v>
      </c>
      <c r="W193" t="s">
        <v>4336</v>
      </c>
      <c r="X193" t="s">
        <v>5624</v>
      </c>
      <c r="Y193" t="s">
        <v>4495</v>
      </c>
      <c r="Z193" t="s">
        <v>4359</v>
      </c>
      <c r="AA193" t="s">
        <v>5369</v>
      </c>
      <c r="AB193" t="s">
        <v>5361</v>
      </c>
      <c r="AC193" t="s">
        <v>5360</v>
      </c>
      <c r="AF193" t="s">
        <v>4354</v>
      </c>
      <c r="AG193" t="s">
        <v>4419</v>
      </c>
      <c r="AH193" t="s">
        <v>4420</v>
      </c>
      <c r="AI193" t="s">
        <v>4343</v>
      </c>
      <c r="AJ193">
        <v>2</v>
      </c>
      <c r="AK193">
        <f>24*32</f>
        <v>768</v>
      </c>
      <c r="AL193" t="s">
        <v>5408</v>
      </c>
      <c r="AM193" t="s">
        <v>4355</v>
      </c>
      <c r="AO193">
        <v>9</v>
      </c>
      <c r="AP193">
        <v>68.349999999999994</v>
      </c>
      <c r="AQ193">
        <v>19</v>
      </c>
      <c r="AT193">
        <v>-0.8</v>
      </c>
      <c r="AV193" s="21">
        <v>1.54</v>
      </c>
      <c r="AW193" s="12"/>
      <c r="AX193" t="s">
        <v>5573</v>
      </c>
    </row>
    <row r="194" spans="1:50" x14ac:dyDescent="0.55000000000000004">
      <c r="A194" t="s">
        <v>5362</v>
      </c>
      <c r="B194" s="6" t="s">
        <v>5363</v>
      </c>
      <c r="C194">
        <v>2004</v>
      </c>
      <c r="D194" t="s">
        <v>53</v>
      </c>
      <c r="E194">
        <v>36</v>
      </c>
      <c r="H194">
        <v>245</v>
      </c>
      <c r="I194">
        <v>253</v>
      </c>
      <c r="K194" s="14" t="s">
        <v>5365</v>
      </c>
      <c r="L194" s="14" t="s">
        <v>5364</v>
      </c>
      <c r="P194" t="s">
        <v>4384</v>
      </c>
      <c r="Q194" t="s">
        <v>43</v>
      </c>
      <c r="R194" t="s">
        <v>43</v>
      </c>
      <c r="S194" t="s">
        <v>28</v>
      </c>
      <c r="T194" t="s">
        <v>28</v>
      </c>
      <c r="U194" t="s">
        <v>28</v>
      </c>
      <c r="V194" t="s">
        <v>28</v>
      </c>
      <c r="W194" t="s">
        <v>4336</v>
      </c>
      <c r="X194" t="s">
        <v>5624</v>
      </c>
      <c r="Y194" t="s">
        <v>4495</v>
      </c>
      <c r="Z194" t="s">
        <v>4359</v>
      </c>
      <c r="AA194" t="s">
        <v>5369</v>
      </c>
      <c r="AB194" t="s">
        <v>5361</v>
      </c>
      <c r="AC194" t="s">
        <v>5360</v>
      </c>
      <c r="AF194" t="s">
        <v>4354</v>
      </c>
      <c r="AG194" t="s">
        <v>4419</v>
      </c>
      <c r="AH194" t="s">
        <v>4420</v>
      </c>
      <c r="AI194" t="s">
        <v>4343</v>
      </c>
      <c r="AJ194">
        <v>2</v>
      </c>
      <c r="AK194">
        <f>24*1</f>
        <v>24</v>
      </c>
      <c r="AL194" t="s">
        <v>5408</v>
      </c>
      <c r="AM194" t="s">
        <v>4355</v>
      </c>
      <c r="AO194">
        <v>9</v>
      </c>
      <c r="AP194">
        <v>68.349999999999994</v>
      </c>
      <c r="AQ194">
        <v>19</v>
      </c>
      <c r="AT194">
        <v>-0.8</v>
      </c>
      <c r="AV194" s="21">
        <v>0.89999999999999991</v>
      </c>
      <c r="AW194" s="12"/>
      <c r="AX194" t="s">
        <v>5574</v>
      </c>
    </row>
    <row r="195" spans="1:50" x14ac:dyDescent="0.55000000000000004">
      <c r="A195" t="s">
        <v>5362</v>
      </c>
      <c r="B195" s="6" t="s">
        <v>5363</v>
      </c>
      <c r="C195">
        <v>2004</v>
      </c>
      <c r="D195" t="s">
        <v>53</v>
      </c>
      <c r="E195">
        <v>36</v>
      </c>
      <c r="H195">
        <v>245</v>
      </c>
      <c r="I195">
        <v>253</v>
      </c>
      <c r="K195" s="14" t="s">
        <v>5365</v>
      </c>
      <c r="L195" s="14" t="s">
        <v>5364</v>
      </c>
      <c r="P195" t="s">
        <v>4384</v>
      </c>
      <c r="Q195" t="s">
        <v>43</v>
      </c>
      <c r="R195" t="s">
        <v>43</v>
      </c>
      <c r="S195" t="s">
        <v>28</v>
      </c>
      <c r="T195" t="s">
        <v>28</v>
      </c>
      <c r="U195" t="s">
        <v>28</v>
      </c>
      <c r="V195" t="s">
        <v>28</v>
      </c>
      <c r="W195" t="s">
        <v>4336</v>
      </c>
      <c r="X195" t="s">
        <v>5624</v>
      </c>
      <c r="Y195" t="s">
        <v>4495</v>
      </c>
      <c r="Z195" t="s">
        <v>4359</v>
      </c>
      <c r="AA195" t="s">
        <v>5369</v>
      </c>
      <c r="AB195" t="s">
        <v>5361</v>
      </c>
      <c r="AC195" t="s">
        <v>5360</v>
      </c>
      <c r="AF195" t="s">
        <v>4354</v>
      </c>
      <c r="AG195" t="s">
        <v>4419</v>
      </c>
      <c r="AH195" t="s">
        <v>4420</v>
      </c>
      <c r="AI195" t="s">
        <v>4343</v>
      </c>
      <c r="AJ195">
        <v>2</v>
      </c>
      <c r="AK195">
        <f>24*2</f>
        <v>48</v>
      </c>
      <c r="AL195" t="s">
        <v>5408</v>
      </c>
      <c r="AM195" t="s">
        <v>4355</v>
      </c>
      <c r="AO195">
        <v>9</v>
      </c>
      <c r="AP195">
        <v>68.349999999999994</v>
      </c>
      <c r="AQ195">
        <v>19</v>
      </c>
      <c r="AT195">
        <v>-0.8</v>
      </c>
      <c r="AV195" s="21">
        <v>2.0100000000000002</v>
      </c>
      <c r="AW195" s="12"/>
      <c r="AX195" t="s">
        <v>5575</v>
      </c>
    </row>
    <row r="196" spans="1:50" x14ac:dyDescent="0.55000000000000004">
      <c r="A196" t="s">
        <v>5362</v>
      </c>
      <c r="B196" s="6" t="s">
        <v>5363</v>
      </c>
      <c r="C196">
        <v>2004</v>
      </c>
      <c r="D196" t="s">
        <v>53</v>
      </c>
      <c r="E196">
        <v>36</v>
      </c>
      <c r="H196">
        <v>245</v>
      </c>
      <c r="I196">
        <v>253</v>
      </c>
      <c r="K196" s="14" t="s">
        <v>5365</v>
      </c>
      <c r="L196" s="14" t="s">
        <v>5364</v>
      </c>
      <c r="P196" t="s">
        <v>4384</v>
      </c>
      <c r="Q196" t="s">
        <v>43</v>
      </c>
      <c r="R196" t="s">
        <v>43</v>
      </c>
      <c r="S196" t="s">
        <v>28</v>
      </c>
      <c r="T196" t="s">
        <v>28</v>
      </c>
      <c r="U196" t="s">
        <v>28</v>
      </c>
      <c r="V196" t="s">
        <v>28</v>
      </c>
      <c r="W196" t="s">
        <v>4336</v>
      </c>
      <c r="X196" t="s">
        <v>5624</v>
      </c>
      <c r="Y196" t="s">
        <v>4495</v>
      </c>
      <c r="Z196" t="s">
        <v>4359</v>
      </c>
      <c r="AA196" t="s">
        <v>5369</v>
      </c>
      <c r="AB196" t="s">
        <v>5361</v>
      </c>
      <c r="AC196" t="s">
        <v>5360</v>
      </c>
      <c r="AF196" t="s">
        <v>4354</v>
      </c>
      <c r="AG196" t="s">
        <v>4419</v>
      </c>
      <c r="AH196" t="s">
        <v>4420</v>
      </c>
      <c r="AI196" t="s">
        <v>4343</v>
      </c>
      <c r="AJ196">
        <v>2</v>
      </c>
      <c r="AK196">
        <f>24*4</f>
        <v>96</v>
      </c>
      <c r="AL196" t="s">
        <v>5408</v>
      </c>
      <c r="AM196" t="s">
        <v>4355</v>
      </c>
      <c r="AO196">
        <v>9</v>
      </c>
      <c r="AP196">
        <v>68.349999999999994</v>
      </c>
      <c r="AQ196">
        <v>19</v>
      </c>
      <c r="AT196">
        <v>-0.8</v>
      </c>
      <c r="AV196" s="21">
        <v>5.0499999999999989</v>
      </c>
      <c r="AW196" s="12"/>
      <c r="AX196" t="s">
        <v>5576</v>
      </c>
    </row>
    <row r="197" spans="1:50" x14ac:dyDescent="0.55000000000000004">
      <c r="A197" t="s">
        <v>5362</v>
      </c>
      <c r="B197" s="6" t="s">
        <v>5363</v>
      </c>
      <c r="C197">
        <v>2004</v>
      </c>
      <c r="D197" t="s">
        <v>53</v>
      </c>
      <c r="E197">
        <v>36</v>
      </c>
      <c r="H197">
        <v>245</v>
      </c>
      <c r="I197">
        <v>253</v>
      </c>
      <c r="K197" s="14" t="s">
        <v>5365</v>
      </c>
      <c r="L197" s="14" t="s">
        <v>5364</v>
      </c>
      <c r="P197" t="s">
        <v>4384</v>
      </c>
      <c r="Q197" t="s">
        <v>43</v>
      </c>
      <c r="R197" t="s">
        <v>43</v>
      </c>
      <c r="S197" t="s">
        <v>28</v>
      </c>
      <c r="T197" t="s">
        <v>28</v>
      </c>
      <c r="U197" t="s">
        <v>28</v>
      </c>
      <c r="V197" t="s">
        <v>28</v>
      </c>
      <c r="W197" t="s">
        <v>4336</v>
      </c>
      <c r="X197" t="s">
        <v>5624</v>
      </c>
      <c r="Y197" t="s">
        <v>4495</v>
      </c>
      <c r="Z197" t="s">
        <v>4359</v>
      </c>
      <c r="AA197" t="s">
        <v>5369</v>
      </c>
      <c r="AB197" t="s">
        <v>5361</v>
      </c>
      <c r="AC197" t="s">
        <v>5360</v>
      </c>
      <c r="AF197" t="s">
        <v>4354</v>
      </c>
      <c r="AG197" t="s">
        <v>4419</v>
      </c>
      <c r="AH197" t="s">
        <v>4420</v>
      </c>
      <c r="AI197" t="s">
        <v>4343</v>
      </c>
      <c r="AJ197">
        <v>2</v>
      </c>
      <c r="AK197">
        <f>24*8</f>
        <v>192</v>
      </c>
      <c r="AL197" t="s">
        <v>5408</v>
      </c>
      <c r="AM197" t="s">
        <v>4355</v>
      </c>
      <c r="AO197">
        <v>9</v>
      </c>
      <c r="AP197">
        <v>68.349999999999994</v>
      </c>
      <c r="AQ197">
        <v>19</v>
      </c>
      <c r="AT197">
        <v>-0.8</v>
      </c>
      <c r="AV197" s="21">
        <v>4.1499999999999995</v>
      </c>
      <c r="AW197" s="12"/>
      <c r="AX197" t="s">
        <v>5577</v>
      </c>
    </row>
    <row r="198" spans="1:50" x14ac:dyDescent="0.55000000000000004">
      <c r="A198" t="s">
        <v>5362</v>
      </c>
      <c r="B198" s="6" t="s">
        <v>5363</v>
      </c>
      <c r="C198">
        <v>2004</v>
      </c>
      <c r="D198" t="s">
        <v>53</v>
      </c>
      <c r="E198">
        <v>36</v>
      </c>
      <c r="H198">
        <v>245</v>
      </c>
      <c r="I198">
        <v>253</v>
      </c>
      <c r="K198" s="14" t="s">
        <v>5365</v>
      </c>
      <c r="L198" s="14" t="s">
        <v>5364</v>
      </c>
      <c r="P198" t="s">
        <v>4384</v>
      </c>
      <c r="Q198" t="s">
        <v>43</v>
      </c>
      <c r="R198" t="s">
        <v>43</v>
      </c>
      <c r="S198" t="s">
        <v>28</v>
      </c>
      <c r="T198" t="s">
        <v>28</v>
      </c>
      <c r="U198" t="s">
        <v>28</v>
      </c>
      <c r="V198" t="s">
        <v>28</v>
      </c>
      <c r="W198" t="s">
        <v>4336</v>
      </c>
      <c r="X198" t="s">
        <v>5624</v>
      </c>
      <c r="Y198" t="s">
        <v>4495</v>
      </c>
      <c r="Z198" t="s">
        <v>4359</v>
      </c>
      <c r="AA198" t="s">
        <v>5369</v>
      </c>
      <c r="AB198" t="s">
        <v>5361</v>
      </c>
      <c r="AC198" t="s">
        <v>5360</v>
      </c>
      <c r="AF198" t="s">
        <v>4354</v>
      </c>
      <c r="AG198" t="s">
        <v>4419</v>
      </c>
      <c r="AH198" t="s">
        <v>4420</v>
      </c>
      <c r="AI198" t="s">
        <v>4343</v>
      </c>
      <c r="AJ198">
        <v>2</v>
      </c>
      <c r="AK198">
        <f>24*16</f>
        <v>384</v>
      </c>
      <c r="AL198" t="s">
        <v>5408</v>
      </c>
      <c r="AM198" t="s">
        <v>4355</v>
      </c>
      <c r="AO198">
        <v>9</v>
      </c>
      <c r="AP198">
        <v>68.349999999999994</v>
      </c>
      <c r="AQ198">
        <v>19</v>
      </c>
      <c r="AT198">
        <v>-0.8</v>
      </c>
      <c r="AV198" s="21">
        <v>4.7300000000000004</v>
      </c>
      <c r="AW198" s="12"/>
      <c r="AX198" t="s">
        <v>5578</v>
      </c>
    </row>
    <row r="199" spans="1:50" x14ac:dyDescent="0.55000000000000004">
      <c r="A199" t="s">
        <v>5362</v>
      </c>
      <c r="B199" s="6" t="s">
        <v>5363</v>
      </c>
      <c r="C199">
        <v>2004</v>
      </c>
      <c r="D199" t="s">
        <v>53</v>
      </c>
      <c r="E199">
        <v>36</v>
      </c>
      <c r="H199">
        <v>245</v>
      </c>
      <c r="I199">
        <v>253</v>
      </c>
      <c r="K199" s="14" t="s">
        <v>5365</v>
      </c>
      <c r="L199" s="14" t="s">
        <v>5364</v>
      </c>
      <c r="P199" t="s">
        <v>4384</v>
      </c>
      <c r="Q199" t="s">
        <v>43</v>
      </c>
      <c r="R199" t="s">
        <v>43</v>
      </c>
      <c r="S199" t="s">
        <v>28</v>
      </c>
      <c r="T199" t="s">
        <v>28</v>
      </c>
      <c r="U199" t="s">
        <v>28</v>
      </c>
      <c r="V199" t="s">
        <v>28</v>
      </c>
      <c r="W199" t="s">
        <v>4336</v>
      </c>
      <c r="X199" t="s">
        <v>5624</v>
      </c>
      <c r="Y199" t="s">
        <v>4495</v>
      </c>
      <c r="Z199" t="s">
        <v>4359</v>
      </c>
      <c r="AA199" t="s">
        <v>5369</v>
      </c>
      <c r="AB199" t="s">
        <v>5361</v>
      </c>
      <c r="AC199" t="s">
        <v>5360</v>
      </c>
      <c r="AF199" t="s">
        <v>4354</v>
      </c>
      <c r="AG199" t="s">
        <v>4419</v>
      </c>
      <c r="AH199" t="s">
        <v>4420</v>
      </c>
      <c r="AI199" t="s">
        <v>4343</v>
      </c>
      <c r="AJ199">
        <v>2</v>
      </c>
      <c r="AK199">
        <f>24*32</f>
        <v>768</v>
      </c>
      <c r="AL199" t="s">
        <v>5408</v>
      </c>
      <c r="AM199" t="s">
        <v>4355</v>
      </c>
      <c r="AO199">
        <v>9</v>
      </c>
      <c r="AP199">
        <v>68.349999999999994</v>
      </c>
      <c r="AQ199">
        <v>19</v>
      </c>
      <c r="AT199">
        <v>-0.8</v>
      </c>
      <c r="AV199" s="21">
        <v>2.84</v>
      </c>
      <c r="AW199" s="12"/>
      <c r="AX199" t="s">
        <v>5579</v>
      </c>
    </row>
    <row r="200" spans="1:50" x14ac:dyDescent="0.55000000000000004">
      <c r="A200" t="s">
        <v>5362</v>
      </c>
      <c r="B200" s="6" t="s">
        <v>5363</v>
      </c>
      <c r="C200">
        <v>2004</v>
      </c>
      <c r="D200" t="s">
        <v>53</v>
      </c>
      <c r="E200">
        <v>36</v>
      </c>
      <c r="H200">
        <v>245</v>
      </c>
      <c r="I200">
        <v>253</v>
      </c>
      <c r="K200" s="14" t="s">
        <v>5365</v>
      </c>
      <c r="L200" s="14" t="s">
        <v>5364</v>
      </c>
      <c r="P200" t="s">
        <v>4384</v>
      </c>
      <c r="Q200" t="s">
        <v>43</v>
      </c>
      <c r="R200" t="s">
        <v>43</v>
      </c>
      <c r="S200" t="s">
        <v>28</v>
      </c>
      <c r="T200" t="s">
        <v>28</v>
      </c>
      <c r="U200" t="s">
        <v>28</v>
      </c>
      <c r="V200" t="s">
        <v>28</v>
      </c>
      <c r="W200" t="s">
        <v>4336</v>
      </c>
      <c r="X200" t="s">
        <v>5624</v>
      </c>
      <c r="Y200" t="s">
        <v>4495</v>
      </c>
      <c r="Z200" t="s">
        <v>4359</v>
      </c>
      <c r="AA200" t="s">
        <v>5369</v>
      </c>
      <c r="AB200" t="s">
        <v>5361</v>
      </c>
      <c r="AC200" t="s">
        <v>5360</v>
      </c>
      <c r="AF200" t="s">
        <v>4354</v>
      </c>
      <c r="AG200" t="s">
        <v>4419</v>
      </c>
      <c r="AH200" t="s">
        <v>4420</v>
      </c>
      <c r="AI200" t="s">
        <v>4343</v>
      </c>
      <c r="AJ200">
        <v>2</v>
      </c>
      <c r="AK200">
        <f>24*1</f>
        <v>24</v>
      </c>
      <c r="AL200" t="s">
        <v>5408</v>
      </c>
      <c r="AM200" t="s">
        <v>4355</v>
      </c>
      <c r="AO200">
        <v>9</v>
      </c>
      <c r="AP200">
        <v>68.349999999999994</v>
      </c>
      <c r="AQ200">
        <v>19</v>
      </c>
      <c r="AT200">
        <v>-0.8</v>
      </c>
      <c r="AV200" s="21">
        <v>1.1400000000000006</v>
      </c>
      <c r="AW200" s="12"/>
      <c r="AX200" t="s">
        <v>5580</v>
      </c>
    </row>
    <row r="201" spans="1:50" x14ac:dyDescent="0.55000000000000004">
      <c r="A201" t="s">
        <v>5362</v>
      </c>
      <c r="B201" s="6" t="s">
        <v>5363</v>
      </c>
      <c r="C201">
        <v>2004</v>
      </c>
      <c r="D201" t="s">
        <v>53</v>
      </c>
      <c r="E201">
        <v>36</v>
      </c>
      <c r="H201">
        <v>245</v>
      </c>
      <c r="I201">
        <v>253</v>
      </c>
      <c r="K201" s="14" t="s">
        <v>5365</v>
      </c>
      <c r="L201" s="14" t="s">
        <v>5364</v>
      </c>
      <c r="P201" t="s">
        <v>4384</v>
      </c>
      <c r="Q201" t="s">
        <v>43</v>
      </c>
      <c r="R201" t="s">
        <v>43</v>
      </c>
      <c r="S201" t="s">
        <v>28</v>
      </c>
      <c r="T201" t="s">
        <v>28</v>
      </c>
      <c r="U201" t="s">
        <v>28</v>
      </c>
      <c r="V201" t="s">
        <v>28</v>
      </c>
      <c r="W201" t="s">
        <v>4336</v>
      </c>
      <c r="X201" t="s">
        <v>5624</v>
      </c>
      <c r="Y201" t="s">
        <v>4495</v>
      </c>
      <c r="Z201" t="s">
        <v>4359</v>
      </c>
      <c r="AA201" t="s">
        <v>5369</v>
      </c>
      <c r="AB201" t="s">
        <v>5361</v>
      </c>
      <c r="AC201" t="s">
        <v>5360</v>
      </c>
      <c r="AF201" t="s">
        <v>4354</v>
      </c>
      <c r="AG201" t="s">
        <v>4419</v>
      </c>
      <c r="AH201" t="s">
        <v>4420</v>
      </c>
      <c r="AI201" t="s">
        <v>4343</v>
      </c>
      <c r="AJ201">
        <v>2</v>
      </c>
      <c r="AK201">
        <f>24*2</f>
        <v>48</v>
      </c>
      <c r="AL201" t="s">
        <v>5408</v>
      </c>
      <c r="AM201" t="s">
        <v>4355</v>
      </c>
      <c r="AO201">
        <v>9</v>
      </c>
      <c r="AP201">
        <v>68.349999999999994</v>
      </c>
      <c r="AQ201">
        <v>19</v>
      </c>
      <c r="AT201">
        <v>-0.8</v>
      </c>
      <c r="AV201" s="21">
        <v>4.07</v>
      </c>
      <c r="AW201" s="12"/>
      <c r="AX201" t="s">
        <v>5581</v>
      </c>
    </row>
    <row r="202" spans="1:50" x14ac:dyDescent="0.55000000000000004">
      <c r="A202" t="s">
        <v>5362</v>
      </c>
      <c r="B202" s="6" t="s">
        <v>5363</v>
      </c>
      <c r="C202">
        <v>2004</v>
      </c>
      <c r="D202" t="s">
        <v>53</v>
      </c>
      <c r="E202">
        <v>36</v>
      </c>
      <c r="H202">
        <v>245</v>
      </c>
      <c r="I202">
        <v>253</v>
      </c>
      <c r="K202" s="14" t="s">
        <v>5365</v>
      </c>
      <c r="L202" s="14" t="s">
        <v>5364</v>
      </c>
      <c r="P202" t="s">
        <v>4384</v>
      </c>
      <c r="Q202" t="s">
        <v>43</v>
      </c>
      <c r="R202" t="s">
        <v>43</v>
      </c>
      <c r="S202" t="s">
        <v>28</v>
      </c>
      <c r="T202" t="s">
        <v>28</v>
      </c>
      <c r="U202" t="s">
        <v>28</v>
      </c>
      <c r="V202" t="s">
        <v>28</v>
      </c>
      <c r="W202" t="s">
        <v>4336</v>
      </c>
      <c r="X202" t="s">
        <v>5624</v>
      </c>
      <c r="Y202" t="s">
        <v>4495</v>
      </c>
      <c r="Z202" t="s">
        <v>4359</v>
      </c>
      <c r="AA202" t="s">
        <v>5369</v>
      </c>
      <c r="AB202" t="s">
        <v>5361</v>
      </c>
      <c r="AC202" t="s">
        <v>5360</v>
      </c>
      <c r="AF202" t="s">
        <v>4354</v>
      </c>
      <c r="AG202" t="s">
        <v>4419</v>
      </c>
      <c r="AH202" t="s">
        <v>4420</v>
      </c>
      <c r="AI202" t="s">
        <v>4343</v>
      </c>
      <c r="AJ202">
        <v>2</v>
      </c>
      <c r="AK202">
        <f>24*4</f>
        <v>96</v>
      </c>
      <c r="AL202" t="s">
        <v>5408</v>
      </c>
      <c r="AM202" t="s">
        <v>4355</v>
      </c>
      <c r="AO202">
        <v>9</v>
      </c>
      <c r="AP202">
        <v>68.349999999999994</v>
      </c>
      <c r="AQ202">
        <v>19</v>
      </c>
      <c r="AT202">
        <v>-0.8</v>
      </c>
      <c r="AV202" s="21">
        <v>5.3600000000000012</v>
      </c>
      <c r="AW202" s="12"/>
      <c r="AX202" t="s">
        <v>5582</v>
      </c>
    </row>
    <row r="203" spans="1:50" x14ac:dyDescent="0.55000000000000004">
      <c r="A203" t="s">
        <v>5362</v>
      </c>
      <c r="B203" s="6" t="s">
        <v>5363</v>
      </c>
      <c r="C203">
        <v>2004</v>
      </c>
      <c r="D203" t="s">
        <v>53</v>
      </c>
      <c r="E203">
        <v>36</v>
      </c>
      <c r="H203">
        <v>245</v>
      </c>
      <c r="I203">
        <v>253</v>
      </c>
      <c r="K203" s="14" t="s">
        <v>5365</v>
      </c>
      <c r="L203" s="14" t="s">
        <v>5364</v>
      </c>
      <c r="P203" t="s">
        <v>4384</v>
      </c>
      <c r="Q203" t="s">
        <v>43</v>
      </c>
      <c r="R203" t="s">
        <v>43</v>
      </c>
      <c r="S203" t="s">
        <v>28</v>
      </c>
      <c r="T203" t="s">
        <v>28</v>
      </c>
      <c r="U203" t="s">
        <v>28</v>
      </c>
      <c r="V203" t="s">
        <v>28</v>
      </c>
      <c r="W203" t="s">
        <v>4336</v>
      </c>
      <c r="X203" t="s">
        <v>5624</v>
      </c>
      <c r="Y203" t="s">
        <v>4495</v>
      </c>
      <c r="Z203" t="s">
        <v>4359</v>
      </c>
      <c r="AA203" t="s">
        <v>5369</v>
      </c>
      <c r="AB203" t="s">
        <v>5361</v>
      </c>
      <c r="AC203" t="s">
        <v>5360</v>
      </c>
      <c r="AF203" t="s">
        <v>4354</v>
      </c>
      <c r="AG203" t="s">
        <v>4419</v>
      </c>
      <c r="AH203" t="s">
        <v>4420</v>
      </c>
      <c r="AI203" t="s">
        <v>4343</v>
      </c>
      <c r="AJ203">
        <v>2</v>
      </c>
      <c r="AK203">
        <f>24*8</f>
        <v>192</v>
      </c>
      <c r="AL203" t="s">
        <v>5408</v>
      </c>
      <c r="AM203" t="s">
        <v>4355</v>
      </c>
      <c r="AO203">
        <v>9</v>
      </c>
      <c r="AP203">
        <v>68.349999999999994</v>
      </c>
      <c r="AQ203">
        <v>19</v>
      </c>
      <c r="AT203">
        <v>-0.8</v>
      </c>
      <c r="AV203" s="21">
        <v>3.9000000000000004</v>
      </c>
      <c r="AW203" s="12"/>
      <c r="AX203" t="s">
        <v>5583</v>
      </c>
    </row>
    <row r="204" spans="1:50" x14ac:dyDescent="0.55000000000000004">
      <c r="A204" t="s">
        <v>5362</v>
      </c>
      <c r="B204" s="6" t="s">
        <v>5363</v>
      </c>
      <c r="C204">
        <v>2004</v>
      </c>
      <c r="D204" t="s">
        <v>53</v>
      </c>
      <c r="E204">
        <v>36</v>
      </c>
      <c r="H204">
        <v>245</v>
      </c>
      <c r="I204">
        <v>253</v>
      </c>
      <c r="K204" s="14" t="s">
        <v>5365</v>
      </c>
      <c r="L204" s="14" t="s">
        <v>5364</v>
      </c>
      <c r="P204" t="s">
        <v>4384</v>
      </c>
      <c r="Q204" t="s">
        <v>43</v>
      </c>
      <c r="R204" t="s">
        <v>43</v>
      </c>
      <c r="S204" t="s">
        <v>28</v>
      </c>
      <c r="T204" t="s">
        <v>28</v>
      </c>
      <c r="U204" t="s">
        <v>28</v>
      </c>
      <c r="V204" t="s">
        <v>28</v>
      </c>
      <c r="W204" t="s">
        <v>4336</v>
      </c>
      <c r="X204" t="s">
        <v>5624</v>
      </c>
      <c r="Y204" t="s">
        <v>4495</v>
      </c>
      <c r="Z204" t="s">
        <v>4359</v>
      </c>
      <c r="AA204" t="s">
        <v>5369</v>
      </c>
      <c r="AB204" t="s">
        <v>5361</v>
      </c>
      <c r="AC204" t="s">
        <v>5360</v>
      </c>
      <c r="AF204" t="s">
        <v>4354</v>
      </c>
      <c r="AG204" t="s">
        <v>4419</v>
      </c>
      <c r="AH204" t="s">
        <v>4420</v>
      </c>
      <c r="AI204" t="s">
        <v>4343</v>
      </c>
      <c r="AJ204">
        <v>2</v>
      </c>
      <c r="AK204">
        <f>24*16</f>
        <v>384</v>
      </c>
      <c r="AL204" t="s">
        <v>5408</v>
      </c>
      <c r="AM204" t="s">
        <v>4355</v>
      </c>
      <c r="AO204">
        <v>9</v>
      </c>
      <c r="AP204">
        <v>68.349999999999994</v>
      </c>
      <c r="AQ204">
        <v>19</v>
      </c>
      <c r="AT204">
        <v>-0.8</v>
      </c>
      <c r="AV204" s="21">
        <v>3.740000000000002</v>
      </c>
      <c r="AW204" s="12"/>
      <c r="AX204" t="s">
        <v>5584</v>
      </c>
    </row>
    <row r="205" spans="1:50" x14ac:dyDescent="0.55000000000000004">
      <c r="A205" t="s">
        <v>5362</v>
      </c>
      <c r="B205" s="6" t="s">
        <v>5363</v>
      </c>
      <c r="C205">
        <v>2004</v>
      </c>
      <c r="D205" t="s">
        <v>53</v>
      </c>
      <c r="E205">
        <v>36</v>
      </c>
      <c r="H205">
        <v>245</v>
      </c>
      <c r="I205">
        <v>253</v>
      </c>
      <c r="K205" s="14" t="s">
        <v>5365</v>
      </c>
      <c r="L205" s="14" t="s">
        <v>5364</v>
      </c>
      <c r="P205" t="s">
        <v>4384</v>
      </c>
      <c r="Q205" t="s">
        <v>43</v>
      </c>
      <c r="R205" t="s">
        <v>43</v>
      </c>
      <c r="S205" t="s">
        <v>28</v>
      </c>
      <c r="T205" t="s">
        <v>28</v>
      </c>
      <c r="U205" t="s">
        <v>28</v>
      </c>
      <c r="V205" t="s">
        <v>28</v>
      </c>
      <c r="W205" t="s">
        <v>4336</v>
      </c>
      <c r="X205" t="s">
        <v>5624</v>
      </c>
      <c r="Y205" t="s">
        <v>4495</v>
      </c>
      <c r="Z205" t="s">
        <v>4359</v>
      </c>
      <c r="AA205" t="s">
        <v>5369</v>
      </c>
      <c r="AB205" t="s">
        <v>5361</v>
      </c>
      <c r="AC205" t="s">
        <v>5360</v>
      </c>
      <c r="AF205" t="s">
        <v>4354</v>
      </c>
      <c r="AG205" t="s">
        <v>4419</v>
      </c>
      <c r="AH205" t="s">
        <v>4420</v>
      </c>
      <c r="AI205" t="s">
        <v>4343</v>
      </c>
      <c r="AJ205">
        <v>2</v>
      </c>
      <c r="AK205">
        <f>24*32</f>
        <v>768</v>
      </c>
      <c r="AL205" t="s">
        <v>5408</v>
      </c>
      <c r="AM205" t="s">
        <v>4355</v>
      </c>
      <c r="AO205">
        <v>9</v>
      </c>
      <c r="AP205">
        <v>68.349999999999994</v>
      </c>
      <c r="AQ205">
        <v>19</v>
      </c>
      <c r="AT205">
        <v>-0.8</v>
      </c>
      <c r="AV205" s="21">
        <v>9.66</v>
      </c>
      <c r="AW205" s="12"/>
      <c r="AX205" t="s">
        <v>5585</v>
      </c>
    </row>
    <row r="206" spans="1:50" x14ac:dyDescent="0.55000000000000004">
      <c r="A206" t="s">
        <v>4306</v>
      </c>
      <c r="B206" t="s">
        <v>4307</v>
      </c>
      <c r="C206">
        <v>1973</v>
      </c>
      <c r="D206" t="s">
        <v>68</v>
      </c>
      <c r="E206">
        <v>72</v>
      </c>
      <c r="F206">
        <v>6</v>
      </c>
      <c r="H206">
        <v>1325</v>
      </c>
      <c r="I206">
        <v>1331</v>
      </c>
      <c r="K206" s="2" t="s">
        <v>4308</v>
      </c>
      <c r="L206" s="2" t="s">
        <v>4309</v>
      </c>
      <c r="M206" t="s">
        <v>5351</v>
      </c>
      <c r="O206" t="s">
        <v>26</v>
      </c>
      <c r="P206" t="s">
        <v>27</v>
      </c>
      <c r="Q206" t="s">
        <v>43</v>
      </c>
      <c r="R206" t="s">
        <v>43</v>
      </c>
      <c r="S206" t="s">
        <v>28</v>
      </c>
      <c r="T206" t="s">
        <v>28</v>
      </c>
      <c r="U206" t="s">
        <v>28</v>
      </c>
      <c r="V206" t="s">
        <v>28</v>
      </c>
      <c r="W206" s="16" t="s">
        <v>5629</v>
      </c>
      <c r="X206" t="s">
        <v>5624</v>
      </c>
      <c r="Y206" t="s">
        <v>4496</v>
      </c>
      <c r="Z206" t="s">
        <v>4359</v>
      </c>
      <c r="AA206" t="s">
        <v>5369</v>
      </c>
      <c r="AB206" t="s">
        <v>5378</v>
      </c>
      <c r="AC206" t="s">
        <v>5379</v>
      </c>
      <c r="AF206" t="s">
        <v>4354</v>
      </c>
      <c r="AG206" s="8" t="s">
        <v>5392</v>
      </c>
      <c r="AH206" t="s">
        <v>5393</v>
      </c>
      <c r="AI206" t="s">
        <v>4343</v>
      </c>
      <c r="AJ206">
        <v>48</v>
      </c>
      <c r="AK206">
        <v>48</v>
      </c>
      <c r="AL206" t="s">
        <v>5408</v>
      </c>
      <c r="AM206" t="s">
        <v>4440</v>
      </c>
      <c r="AO206">
        <v>6</v>
      </c>
      <c r="AP206">
        <v>53.381349999999998</v>
      </c>
      <c r="AQ206">
        <v>-1.4884230000000001</v>
      </c>
      <c r="AV206" s="21">
        <v>0.308106026310633</v>
      </c>
      <c r="AW206" s="12"/>
      <c r="AX206" t="s">
        <v>5556</v>
      </c>
    </row>
    <row r="207" spans="1:50" x14ac:dyDescent="0.55000000000000004">
      <c r="A207" t="s">
        <v>4306</v>
      </c>
      <c r="B207" t="s">
        <v>4307</v>
      </c>
      <c r="C207">
        <v>1973</v>
      </c>
      <c r="D207" t="s">
        <v>68</v>
      </c>
      <c r="E207">
        <v>72</v>
      </c>
      <c r="F207">
        <v>6</v>
      </c>
      <c r="H207">
        <v>1325</v>
      </c>
      <c r="I207">
        <v>1331</v>
      </c>
      <c r="K207" s="2" t="s">
        <v>4308</v>
      </c>
      <c r="L207" s="2" t="s">
        <v>4309</v>
      </c>
      <c r="M207" t="s">
        <v>5351</v>
      </c>
      <c r="O207" t="s">
        <v>26</v>
      </c>
      <c r="P207" t="s">
        <v>27</v>
      </c>
      <c r="Q207" t="s">
        <v>43</v>
      </c>
      <c r="R207" t="s">
        <v>43</v>
      </c>
      <c r="S207" t="s">
        <v>28</v>
      </c>
      <c r="T207" t="s">
        <v>28</v>
      </c>
      <c r="U207" t="s">
        <v>28</v>
      </c>
      <c r="V207" t="s">
        <v>28</v>
      </c>
      <c r="W207" s="16" t="s">
        <v>5629</v>
      </c>
      <c r="X207" t="s">
        <v>5624</v>
      </c>
      <c r="Y207" t="s">
        <v>4496</v>
      </c>
      <c r="Z207" t="s">
        <v>4359</v>
      </c>
      <c r="AA207" t="s">
        <v>5369</v>
      </c>
      <c r="AB207" t="s">
        <v>5378</v>
      </c>
      <c r="AC207" t="s">
        <v>5379</v>
      </c>
      <c r="AF207" t="s">
        <v>4354</v>
      </c>
      <c r="AG207" s="8" t="s">
        <v>5392</v>
      </c>
      <c r="AH207" t="s">
        <v>5393</v>
      </c>
      <c r="AI207" t="s">
        <v>4343</v>
      </c>
      <c r="AJ207">
        <v>48</v>
      </c>
      <c r="AK207">
        <v>48</v>
      </c>
      <c r="AL207" t="s">
        <v>5408</v>
      </c>
      <c r="AM207" t="s">
        <v>4440</v>
      </c>
      <c r="AO207">
        <v>6</v>
      </c>
      <c r="AP207">
        <v>53.381349999999998</v>
      </c>
      <c r="AQ207">
        <v>-1.4884230000000001</v>
      </c>
      <c r="AV207" s="21">
        <v>0.50748210800260252</v>
      </c>
      <c r="AW207" s="12"/>
      <c r="AX207" t="s">
        <v>5556</v>
      </c>
    </row>
    <row r="208" spans="1:50" x14ac:dyDescent="0.55000000000000004">
      <c r="A208" t="s">
        <v>4306</v>
      </c>
      <c r="B208" t="s">
        <v>4307</v>
      </c>
      <c r="C208">
        <v>1973</v>
      </c>
      <c r="D208" t="s">
        <v>68</v>
      </c>
      <c r="E208">
        <v>72</v>
      </c>
      <c r="F208">
        <v>6</v>
      </c>
      <c r="H208">
        <v>1325</v>
      </c>
      <c r="I208">
        <v>1331</v>
      </c>
      <c r="K208" s="2" t="s">
        <v>4308</v>
      </c>
      <c r="L208" s="2" t="s">
        <v>4309</v>
      </c>
      <c r="M208" t="s">
        <v>5351</v>
      </c>
      <c r="O208" t="s">
        <v>26</v>
      </c>
      <c r="P208" t="s">
        <v>27</v>
      </c>
      <c r="Q208" t="s">
        <v>43</v>
      </c>
      <c r="R208" t="s">
        <v>43</v>
      </c>
      <c r="S208" t="s">
        <v>28</v>
      </c>
      <c r="T208" t="s">
        <v>28</v>
      </c>
      <c r="U208" t="s">
        <v>28</v>
      </c>
      <c r="V208" t="s">
        <v>28</v>
      </c>
      <c r="W208" s="16" t="s">
        <v>5629</v>
      </c>
      <c r="X208" t="s">
        <v>5624</v>
      </c>
      <c r="Y208" t="s">
        <v>4496</v>
      </c>
      <c r="Z208" t="s">
        <v>4359</v>
      </c>
      <c r="AA208" t="s">
        <v>5369</v>
      </c>
      <c r="AB208" t="s">
        <v>5378</v>
      </c>
      <c r="AC208" t="s">
        <v>5379</v>
      </c>
      <c r="AF208" t="s">
        <v>4354</v>
      </c>
      <c r="AG208" s="8" t="s">
        <v>5392</v>
      </c>
      <c r="AH208" t="s">
        <v>5393</v>
      </c>
      <c r="AI208" t="s">
        <v>4343</v>
      </c>
      <c r="AJ208">
        <v>72</v>
      </c>
      <c r="AK208">
        <v>72</v>
      </c>
      <c r="AL208" t="s">
        <v>5408</v>
      </c>
      <c r="AM208" t="s">
        <v>4440</v>
      </c>
      <c r="AO208">
        <v>6</v>
      </c>
      <c r="AP208">
        <v>53.381349999999998</v>
      </c>
      <c r="AQ208">
        <v>-1.4884230000000001</v>
      </c>
      <c r="AV208" s="21">
        <v>0.5506633654115668</v>
      </c>
      <c r="AW208" s="12"/>
      <c r="AX208" t="s">
        <v>5556</v>
      </c>
    </row>
    <row r="209" spans="1:52" x14ac:dyDescent="0.55000000000000004">
      <c r="A209" t="s">
        <v>3078</v>
      </c>
      <c r="B209" t="s">
        <v>3079</v>
      </c>
      <c r="C209">
        <v>2008</v>
      </c>
      <c r="D209" t="s">
        <v>68</v>
      </c>
      <c r="E209">
        <v>180</v>
      </c>
      <c r="F209">
        <v>1</v>
      </c>
      <c r="H209">
        <v>176</v>
      </c>
      <c r="I209">
        <v>184</v>
      </c>
      <c r="K209" s="2" t="s">
        <v>3080</v>
      </c>
      <c r="L209" s="2" t="s">
        <v>3081</v>
      </c>
      <c r="M209" t="s">
        <v>5093</v>
      </c>
      <c r="N209" t="s">
        <v>3082</v>
      </c>
      <c r="O209" t="s">
        <v>26</v>
      </c>
      <c r="P209" t="s">
        <v>27</v>
      </c>
      <c r="Q209" t="s">
        <v>43</v>
      </c>
      <c r="R209" t="s">
        <v>43</v>
      </c>
      <c r="S209" t="s">
        <v>28</v>
      </c>
      <c r="T209" t="s">
        <v>28</v>
      </c>
      <c r="U209" t="s">
        <v>28</v>
      </c>
      <c r="V209" t="s">
        <v>28</v>
      </c>
      <c r="W209" s="16" t="s">
        <v>5629</v>
      </c>
      <c r="X209" t="s">
        <v>5624</v>
      </c>
      <c r="Y209" t="s">
        <v>4495</v>
      </c>
      <c r="Z209" t="s">
        <v>5380</v>
      </c>
      <c r="AA209" t="s">
        <v>4360</v>
      </c>
      <c r="AB209" t="s">
        <v>4434</v>
      </c>
      <c r="AC209" t="s">
        <v>4435</v>
      </c>
      <c r="AF209" t="s">
        <v>4436</v>
      </c>
      <c r="AG209" t="s">
        <v>4437</v>
      </c>
      <c r="AH209" t="s">
        <v>4438</v>
      </c>
      <c r="AI209" t="s">
        <v>4343</v>
      </c>
      <c r="AJ209">
        <v>9</v>
      </c>
      <c r="AK209">
        <v>100</v>
      </c>
      <c r="AL209" t="s">
        <v>5408</v>
      </c>
      <c r="AM209" t="s">
        <v>4334</v>
      </c>
      <c r="AO209">
        <v>5</v>
      </c>
      <c r="AP209">
        <v>53.381349999999998</v>
      </c>
      <c r="AQ209">
        <v>-1.4884230000000001</v>
      </c>
      <c r="AT209">
        <v>12.5</v>
      </c>
      <c r="AU209">
        <v>150</v>
      </c>
      <c r="AV209" s="21">
        <v>0.4</v>
      </c>
      <c r="AW209" s="12">
        <v>0.1</v>
      </c>
      <c r="AX209" t="s">
        <v>5529</v>
      </c>
      <c r="AZ209" s="19" t="s">
        <v>5628</v>
      </c>
    </row>
    <row r="210" spans="1:52" x14ac:dyDescent="0.55000000000000004">
      <c r="A210" t="s">
        <v>3292</v>
      </c>
      <c r="B210" t="s">
        <v>3293</v>
      </c>
      <c r="C210">
        <v>2006</v>
      </c>
      <c r="D210" t="s">
        <v>68</v>
      </c>
      <c r="E210">
        <v>171</v>
      </c>
      <c r="F210">
        <v>2</v>
      </c>
      <c r="H210">
        <v>405</v>
      </c>
      <c r="I210">
        <v>416</v>
      </c>
      <c r="K210" s="2" t="s">
        <v>3294</v>
      </c>
      <c r="L210" s="2" t="s">
        <v>3295</v>
      </c>
      <c r="M210" t="s">
        <v>5149</v>
      </c>
      <c r="N210" t="s">
        <v>3296</v>
      </c>
      <c r="O210" t="s">
        <v>26</v>
      </c>
      <c r="P210" t="s">
        <v>27</v>
      </c>
      <c r="Q210" t="s">
        <v>43</v>
      </c>
      <c r="R210" t="s">
        <v>43</v>
      </c>
      <c r="S210" t="s">
        <v>43</v>
      </c>
      <c r="T210" t="s">
        <v>28</v>
      </c>
      <c r="U210" t="s">
        <v>28</v>
      </c>
      <c r="V210" t="s">
        <v>28</v>
      </c>
      <c r="W210" s="16" t="s">
        <v>5629</v>
      </c>
      <c r="X210" t="s">
        <v>5624</v>
      </c>
      <c r="Y210" t="s">
        <v>4495</v>
      </c>
      <c r="Z210" t="s">
        <v>5380</v>
      </c>
      <c r="AA210" t="s">
        <v>4360</v>
      </c>
      <c r="AB210" t="s">
        <v>4434</v>
      </c>
      <c r="AC210" t="s">
        <v>4435</v>
      </c>
      <c r="AF210" t="s">
        <v>4436</v>
      </c>
      <c r="AG210" t="s">
        <v>4437</v>
      </c>
      <c r="AH210" t="s">
        <v>4438</v>
      </c>
      <c r="AI210" t="s">
        <v>4343</v>
      </c>
      <c r="AJ210">
        <v>72</v>
      </c>
      <c r="AK210">
        <v>72</v>
      </c>
      <c r="AL210" t="s">
        <v>5408</v>
      </c>
      <c r="AM210" t="s">
        <v>4334</v>
      </c>
      <c r="AP210">
        <v>53.381315000000001</v>
      </c>
      <c r="AQ210">
        <v>-1.4886649999999999</v>
      </c>
      <c r="AU210">
        <v>150</v>
      </c>
      <c r="AV210" s="21">
        <v>2.6</v>
      </c>
      <c r="AW210" s="12"/>
      <c r="AX210" t="s">
        <v>4433</v>
      </c>
      <c r="AZ210" s="19" t="s">
        <v>5705</v>
      </c>
    </row>
    <row r="211" spans="1:52" x14ac:dyDescent="0.55000000000000004">
      <c r="A211" t="s">
        <v>4299</v>
      </c>
      <c r="B211" t="s">
        <v>4300</v>
      </c>
      <c r="C211">
        <v>1974</v>
      </c>
      <c r="D211" t="s">
        <v>68</v>
      </c>
      <c r="E211">
        <v>73</v>
      </c>
      <c r="F211">
        <v>3</v>
      </c>
      <c r="H211">
        <v>475</v>
      </c>
      <c r="I211">
        <v>482</v>
      </c>
      <c r="K211" s="2" t="s">
        <v>4301</v>
      </c>
      <c r="L211" s="2" t="s">
        <v>4302</v>
      </c>
      <c r="M211" t="s">
        <v>5349</v>
      </c>
      <c r="O211" t="s">
        <v>26</v>
      </c>
      <c r="P211" t="s">
        <v>27</v>
      </c>
      <c r="Q211" t="s">
        <v>43</v>
      </c>
      <c r="R211" t="s">
        <v>43</v>
      </c>
      <c r="S211" t="s">
        <v>28</v>
      </c>
      <c r="T211" t="s">
        <v>28</v>
      </c>
      <c r="U211" t="s">
        <v>28</v>
      </c>
      <c r="V211" t="s">
        <v>28</v>
      </c>
      <c r="W211" s="16" t="s">
        <v>5629</v>
      </c>
      <c r="X211" t="s">
        <v>5624</v>
      </c>
      <c r="Y211" t="s">
        <v>4495</v>
      </c>
      <c r="Z211" t="s">
        <v>5380</v>
      </c>
      <c r="AA211" t="s">
        <v>4360</v>
      </c>
      <c r="AB211" t="s">
        <v>4434</v>
      </c>
      <c r="AC211" t="s">
        <v>4435</v>
      </c>
      <c r="AF211" t="s">
        <v>4436</v>
      </c>
      <c r="AG211" t="s">
        <v>5381</v>
      </c>
      <c r="AH211" t="s">
        <v>5382</v>
      </c>
      <c r="AI211" t="s">
        <v>4343</v>
      </c>
      <c r="AJ211">
        <v>24</v>
      </c>
      <c r="AK211">
        <v>24</v>
      </c>
      <c r="AL211" t="s">
        <v>5408</v>
      </c>
      <c r="AM211" t="s">
        <v>4334</v>
      </c>
      <c r="AO211">
        <v>5</v>
      </c>
      <c r="AP211" s="2">
        <v>57.164760000000001</v>
      </c>
      <c r="AQ211">
        <v>-2.1015250000000001</v>
      </c>
      <c r="AT211">
        <v>21</v>
      </c>
      <c r="AV211" s="21">
        <v>0</v>
      </c>
      <c r="AW211" s="12"/>
      <c r="AX211" t="s">
        <v>5543</v>
      </c>
    </row>
    <row r="212" spans="1:52" x14ac:dyDescent="0.55000000000000004">
      <c r="A212" t="s">
        <v>4350</v>
      </c>
      <c r="B212" t="s">
        <v>4351</v>
      </c>
      <c r="C212">
        <v>2000</v>
      </c>
      <c r="D212" t="s">
        <v>2637</v>
      </c>
      <c r="E212">
        <v>124</v>
      </c>
      <c r="F212">
        <v>3</v>
      </c>
      <c r="H212">
        <v>949</v>
      </c>
      <c r="I212">
        <v>957</v>
      </c>
      <c r="K212" s="2" t="s">
        <v>4352</v>
      </c>
      <c r="L212" s="2" t="s">
        <v>4353</v>
      </c>
      <c r="M212" t="s">
        <v>932</v>
      </c>
      <c r="O212" t="s">
        <v>143</v>
      </c>
      <c r="P212" t="s">
        <v>27</v>
      </c>
      <c r="Q212" t="s">
        <v>28</v>
      </c>
      <c r="R212" t="s">
        <v>28</v>
      </c>
      <c r="S212" t="s">
        <v>28</v>
      </c>
      <c r="T212" t="s">
        <v>28</v>
      </c>
      <c r="U212" t="s">
        <v>28</v>
      </c>
      <c r="V212" t="s">
        <v>28</v>
      </c>
      <c r="W212" s="16" t="s">
        <v>5629</v>
      </c>
      <c r="X212" t="s">
        <v>5624</v>
      </c>
    </row>
    <row r="213" spans="1:52" x14ac:dyDescent="0.55000000000000004">
      <c r="A213" t="s">
        <v>19</v>
      </c>
      <c r="B213" t="s">
        <v>20</v>
      </c>
      <c r="C213">
        <v>2022</v>
      </c>
      <c r="D213" t="s">
        <v>21</v>
      </c>
      <c r="E213">
        <v>10</v>
      </c>
      <c r="F213">
        <v>1</v>
      </c>
      <c r="G213">
        <v>12</v>
      </c>
      <c r="K213" s="2" t="s">
        <v>22</v>
      </c>
      <c r="L213" s="2" t="s">
        <v>23</v>
      </c>
      <c r="M213" t="s">
        <v>24</v>
      </c>
      <c r="N213" t="s">
        <v>25</v>
      </c>
      <c r="O213" t="s">
        <v>26</v>
      </c>
      <c r="P213" t="s">
        <v>27</v>
      </c>
      <c r="Q213" t="s">
        <v>28</v>
      </c>
      <c r="R213" t="s">
        <v>28</v>
      </c>
      <c r="S213" t="s">
        <v>28</v>
      </c>
      <c r="T213" t="s">
        <v>28</v>
      </c>
      <c r="U213" t="s">
        <v>28</v>
      </c>
      <c r="V213" t="s">
        <v>28</v>
      </c>
      <c r="W213" s="16" t="s">
        <v>5629</v>
      </c>
      <c r="X213" t="s">
        <v>5624</v>
      </c>
    </row>
    <row r="214" spans="1:52" x14ac:dyDescent="0.55000000000000004">
      <c r="A214" t="s">
        <v>29</v>
      </c>
      <c r="B214" t="s">
        <v>30</v>
      </c>
      <c r="C214">
        <v>2022</v>
      </c>
      <c r="D214" t="s">
        <v>31</v>
      </c>
      <c r="E214">
        <v>199</v>
      </c>
      <c r="G214">
        <v>104897</v>
      </c>
      <c r="K214" s="2" t="s">
        <v>32</v>
      </c>
      <c r="L214" s="2" t="s">
        <v>33</v>
      </c>
      <c r="M214" t="s">
        <v>34</v>
      </c>
      <c r="N214" t="s">
        <v>35</v>
      </c>
      <c r="O214" t="s">
        <v>26</v>
      </c>
      <c r="P214" t="s">
        <v>27</v>
      </c>
      <c r="Q214" t="s">
        <v>28</v>
      </c>
      <c r="R214" t="s">
        <v>28</v>
      </c>
      <c r="S214" t="s">
        <v>28</v>
      </c>
      <c r="T214" t="s">
        <v>28</v>
      </c>
      <c r="U214" t="s">
        <v>28</v>
      </c>
      <c r="V214" t="s">
        <v>28</v>
      </c>
      <c r="W214" s="16" t="s">
        <v>5629</v>
      </c>
      <c r="X214" t="s">
        <v>5624</v>
      </c>
    </row>
    <row r="215" spans="1:52" x14ac:dyDescent="0.55000000000000004">
      <c r="A215" t="s">
        <v>36</v>
      </c>
      <c r="B215" t="s">
        <v>37</v>
      </c>
      <c r="C215">
        <v>2022</v>
      </c>
      <c r="D215" t="s">
        <v>38</v>
      </c>
      <c r="E215">
        <v>825</v>
      </c>
      <c r="G215">
        <v>154020</v>
      </c>
      <c r="K215" s="2" t="s">
        <v>39</v>
      </c>
      <c r="L215" s="2" t="s">
        <v>40</v>
      </c>
      <c r="M215" t="s">
        <v>41</v>
      </c>
      <c r="N215" t="s">
        <v>42</v>
      </c>
      <c r="O215" t="s">
        <v>26</v>
      </c>
      <c r="P215" t="s">
        <v>27</v>
      </c>
      <c r="Q215" t="s">
        <v>43</v>
      </c>
      <c r="R215" t="s">
        <v>28</v>
      </c>
      <c r="S215" t="s">
        <v>43</v>
      </c>
      <c r="T215" t="s">
        <v>28</v>
      </c>
      <c r="U215" t="s">
        <v>28</v>
      </c>
      <c r="V215" t="s">
        <v>28</v>
      </c>
      <c r="W215" s="16" t="s">
        <v>5629</v>
      </c>
      <c r="X215" t="s">
        <v>5624</v>
      </c>
    </row>
    <row r="216" spans="1:52" x14ac:dyDescent="0.55000000000000004">
      <c r="A216" t="s">
        <v>44</v>
      </c>
      <c r="B216" t="s">
        <v>45</v>
      </c>
      <c r="C216">
        <v>2022</v>
      </c>
      <c r="D216" t="s">
        <v>46</v>
      </c>
      <c r="E216">
        <v>35</v>
      </c>
      <c r="F216">
        <v>6</v>
      </c>
      <c r="H216">
        <v>464</v>
      </c>
      <c r="I216">
        <v>476</v>
      </c>
      <c r="K216" s="2" t="s">
        <v>47</v>
      </c>
      <c r="L216" s="2" t="s">
        <v>48</v>
      </c>
      <c r="M216" t="s">
        <v>49</v>
      </c>
      <c r="N216" t="s">
        <v>50</v>
      </c>
      <c r="O216" t="s">
        <v>26</v>
      </c>
      <c r="P216" t="s">
        <v>27</v>
      </c>
      <c r="Q216" t="s">
        <v>28</v>
      </c>
      <c r="R216" t="s">
        <v>28</v>
      </c>
      <c r="S216" t="s">
        <v>28</v>
      </c>
      <c r="T216" t="s">
        <v>28</v>
      </c>
      <c r="U216" t="s">
        <v>28</v>
      </c>
      <c r="V216" t="s">
        <v>28</v>
      </c>
      <c r="W216" s="16" t="s">
        <v>5629</v>
      </c>
      <c r="X216" t="s">
        <v>5624</v>
      </c>
    </row>
    <row r="217" spans="1:52" x14ac:dyDescent="0.55000000000000004">
      <c r="A217" t="s">
        <v>51</v>
      </c>
      <c r="B217" t="s">
        <v>52</v>
      </c>
      <c r="C217">
        <v>2022</v>
      </c>
      <c r="D217" t="s">
        <v>53</v>
      </c>
      <c r="E217">
        <v>169</v>
      </c>
      <c r="G217">
        <v>108647</v>
      </c>
      <c r="K217" s="2" t="s">
        <v>54</v>
      </c>
      <c r="L217" s="2" t="s">
        <v>55</v>
      </c>
      <c r="M217" t="s">
        <v>56</v>
      </c>
      <c r="N217" t="s">
        <v>57</v>
      </c>
      <c r="O217" t="s">
        <v>26</v>
      </c>
      <c r="P217" t="s">
        <v>27</v>
      </c>
      <c r="Q217" t="s">
        <v>28</v>
      </c>
      <c r="R217" t="s">
        <v>28</v>
      </c>
      <c r="S217" t="s">
        <v>28</v>
      </c>
      <c r="T217" t="s">
        <v>28</v>
      </c>
      <c r="U217" t="s">
        <v>28</v>
      </c>
      <c r="V217" t="s">
        <v>28</v>
      </c>
      <c r="W217" s="16" t="s">
        <v>5629</v>
      </c>
      <c r="X217" t="s">
        <v>5624</v>
      </c>
    </row>
    <row r="218" spans="1:52" x14ac:dyDescent="0.55000000000000004">
      <c r="A218" t="s">
        <v>58</v>
      </c>
      <c r="B218" t="s">
        <v>59</v>
      </c>
      <c r="C218">
        <v>2022</v>
      </c>
      <c r="D218" t="s">
        <v>60</v>
      </c>
      <c r="E218">
        <v>103</v>
      </c>
      <c r="F218">
        <v>6</v>
      </c>
      <c r="G218" t="s">
        <v>61</v>
      </c>
      <c r="K218" s="2" t="s">
        <v>62</v>
      </c>
      <c r="L218" s="2" t="s">
        <v>63</v>
      </c>
      <c r="M218" t="s">
        <v>64</v>
      </c>
      <c r="N218" t="s">
        <v>65</v>
      </c>
      <c r="O218" t="s">
        <v>26</v>
      </c>
      <c r="P218" t="s">
        <v>27</v>
      </c>
      <c r="Q218" t="s">
        <v>43</v>
      </c>
      <c r="R218" t="s">
        <v>28</v>
      </c>
      <c r="S218" t="s">
        <v>43</v>
      </c>
      <c r="T218" t="s">
        <v>28</v>
      </c>
      <c r="U218" t="s">
        <v>28</v>
      </c>
      <c r="V218" t="s">
        <v>28</v>
      </c>
      <c r="W218" s="16" t="s">
        <v>5629</v>
      </c>
      <c r="X218" t="s">
        <v>5624</v>
      </c>
    </row>
    <row r="219" spans="1:52" x14ac:dyDescent="0.55000000000000004">
      <c r="A219" t="s">
        <v>66</v>
      </c>
      <c r="B219" t="s">
        <v>67</v>
      </c>
      <c r="C219">
        <v>2022</v>
      </c>
      <c r="D219" t="s">
        <v>68</v>
      </c>
      <c r="E219">
        <v>234</v>
      </c>
      <c r="F219">
        <v>6</v>
      </c>
      <c r="H219">
        <v>2073</v>
      </c>
      <c r="I219">
        <v>2087</v>
      </c>
      <c r="K219" s="2" t="s">
        <v>69</v>
      </c>
      <c r="L219" s="2" t="s">
        <v>70</v>
      </c>
      <c r="M219" t="s">
        <v>71</v>
      </c>
      <c r="N219" t="s">
        <v>72</v>
      </c>
      <c r="O219" t="s">
        <v>26</v>
      </c>
      <c r="P219" t="s">
        <v>27</v>
      </c>
      <c r="Q219" t="s">
        <v>43</v>
      </c>
      <c r="R219" t="s">
        <v>28</v>
      </c>
      <c r="S219" t="s">
        <v>28</v>
      </c>
      <c r="T219" t="s">
        <v>43</v>
      </c>
      <c r="U219" t="s">
        <v>28</v>
      </c>
      <c r="V219" t="s">
        <v>28</v>
      </c>
      <c r="W219" s="16" t="s">
        <v>5629</v>
      </c>
      <c r="X219" t="s">
        <v>5624</v>
      </c>
    </row>
    <row r="220" spans="1:52" x14ac:dyDescent="0.55000000000000004">
      <c r="A220" t="s">
        <v>73</v>
      </c>
      <c r="B220" t="s">
        <v>74</v>
      </c>
      <c r="C220">
        <v>2022</v>
      </c>
      <c r="D220" t="s">
        <v>53</v>
      </c>
      <c r="E220">
        <v>168</v>
      </c>
      <c r="G220">
        <v>108634</v>
      </c>
      <c r="K220" s="2" t="s">
        <v>75</v>
      </c>
      <c r="L220" s="2" t="s">
        <v>76</v>
      </c>
      <c r="M220" t="s">
        <v>77</v>
      </c>
      <c r="N220" t="s">
        <v>78</v>
      </c>
      <c r="O220" t="s">
        <v>26</v>
      </c>
      <c r="P220" t="s">
        <v>27</v>
      </c>
      <c r="Q220" t="s">
        <v>28</v>
      </c>
      <c r="R220" t="s">
        <v>28</v>
      </c>
      <c r="S220" t="s">
        <v>28</v>
      </c>
      <c r="T220" t="s">
        <v>28</v>
      </c>
      <c r="U220" t="s">
        <v>28</v>
      </c>
      <c r="V220" t="s">
        <v>43</v>
      </c>
      <c r="W220" s="16" t="s">
        <v>5629</v>
      </c>
      <c r="X220" t="s">
        <v>5624</v>
      </c>
    </row>
    <row r="221" spans="1:52" x14ac:dyDescent="0.55000000000000004">
      <c r="A221" t="s">
        <v>79</v>
      </c>
      <c r="B221" t="s">
        <v>80</v>
      </c>
      <c r="C221">
        <v>2022</v>
      </c>
      <c r="D221" t="s">
        <v>38</v>
      </c>
      <c r="E221">
        <v>819</v>
      </c>
      <c r="G221">
        <v>153086</v>
      </c>
      <c r="K221" s="2" t="s">
        <v>81</v>
      </c>
      <c r="L221" s="2" t="s">
        <v>82</v>
      </c>
      <c r="M221" t="s">
        <v>83</v>
      </c>
      <c r="N221" t="s">
        <v>84</v>
      </c>
      <c r="O221" t="s">
        <v>26</v>
      </c>
      <c r="P221" t="s">
        <v>27</v>
      </c>
      <c r="Q221" t="s">
        <v>28</v>
      </c>
      <c r="R221" t="s">
        <v>28</v>
      </c>
      <c r="S221" t="s">
        <v>28</v>
      </c>
      <c r="T221" t="s">
        <v>28</v>
      </c>
      <c r="U221" t="s">
        <v>28</v>
      </c>
      <c r="V221" t="s">
        <v>28</v>
      </c>
      <c r="W221" s="16" t="s">
        <v>5629</v>
      </c>
      <c r="X221" t="s">
        <v>5624</v>
      </c>
    </row>
    <row r="222" spans="1:52" x14ac:dyDescent="0.55000000000000004">
      <c r="A222" t="s">
        <v>85</v>
      </c>
      <c r="B222" t="s">
        <v>86</v>
      </c>
      <c r="C222">
        <v>2022</v>
      </c>
      <c r="D222" t="s">
        <v>87</v>
      </c>
      <c r="E222">
        <v>16</v>
      </c>
      <c r="F222">
        <v>5</v>
      </c>
      <c r="H222">
        <v>1420</v>
      </c>
      <c r="I222">
        <v>1429</v>
      </c>
      <c r="K222" s="2" t="s">
        <v>88</v>
      </c>
      <c r="L222" s="2" t="s">
        <v>89</v>
      </c>
      <c r="M222" t="s">
        <v>90</v>
      </c>
      <c r="O222" t="s">
        <v>26</v>
      </c>
      <c r="P222" t="s">
        <v>27</v>
      </c>
      <c r="Q222" t="s">
        <v>43</v>
      </c>
      <c r="R222" t="s">
        <v>28</v>
      </c>
      <c r="S222" t="s">
        <v>28</v>
      </c>
      <c r="T222" t="s">
        <v>28</v>
      </c>
      <c r="U222" t="s">
        <v>28</v>
      </c>
      <c r="V222" t="s">
        <v>43</v>
      </c>
      <c r="W222" s="16" t="s">
        <v>5629</v>
      </c>
      <c r="X222" t="s">
        <v>5624</v>
      </c>
    </row>
    <row r="223" spans="1:52" x14ac:dyDescent="0.55000000000000004">
      <c r="A223" t="s">
        <v>91</v>
      </c>
      <c r="B223" t="s">
        <v>92</v>
      </c>
      <c r="C223">
        <v>2022</v>
      </c>
      <c r="D223" t="s">
        <v>38</v>
      </c>
      <c r="E223">
        <v>818</v>
      </c>
      <c r="G223">
        <v>151715</v>
      </c>
      <c r="K223" s="2" t="s">
        <v>93</v>
      </c>
      <c r="L223" s="2" t="s">
        <v>94</v>
      </c>
      <c r="M223" t="s">
        <v>95</v>
      </c>
      <c r="N223" t="s">
        <v>96</v>
      </c>
      <c r="O223" t="s">
        <v>26</v>
      </c>
      <c r="P223" t="s">
        <v>27</v>
      </c>
      <c r="Q223" t="s">
        <v>28</v>
      </c>
      <c r="R223" t="s">
        <v>28</v>
      </c>
      <c r="S223" t="s">
        <v>28</v>
      </c>
      <c r="T223" t="s">
        <v>28</v>
      </c>
      <c r="U223" t="s">
        <v>28</v>
      </c>
      <c r="V223" t="s">
        <v>28</v>
      </c>
      <c r="W223" s="16" t="s">
        <v>5629</v>
      </c>
      <c r="X223" t="s">
        <v>5624</v>
      </c>
    </row>
    <row r="224" spans="1:52" x14ac:dyDescent="0.55000000000000004">
      <c r="A224" t="s">
        <v>97</v>
      </c>
      <c r="B224" t="s">
        <v>98</v>
      </c>
      <c r="C224">
        <v>2022</v>
      </c>
      <c r="D224" t="s">
        <v>38</v>
      </c>
      <c r="E224">
        <v>816</v>
      </c>
      <c r="G224">
        <v>151649</v>
      </c>
      <c r="K224" s="2" t="s">
        <v>99</v>
      </c>
      <c r="L224" s="2" t="s">
        <v>100</v>
      </c>
      <c r="M224" t="s">
        <v>101</v>
      </c>
      <c r="N224" t="s">
        <v>102</v>
      </c>
      <c r="O224" t="s">
        <v>26</v>
      </c>
      <c r="P224" t="s">
        <v>27</v>
      </c>
      <c r="Q224" t="s">
        <v>28</v>
      </c>
      <c r="R224" t="s">
        <v>28</v>
      </c>
      <c r="S224" t="s">
        <v>28</v>
      </c>
      <c r="T224" t="s">
        <v>28</v>
      </c>
      <c r="U224" t="s">
        <v>28</v>
      </c>
      <c r="V224" t="s">
        <v>28</v>
      </c>
      <c r="W224" s="16" t="s">
        <v>5629</v>
      </c>
      <c r="X224" t="s">
        <v>5624</v>
      </c>
    </row>
    <row r="225" spans="1:52" x14ac:dyDescent="0.55000000000000004">
      <c r="A225" t="s">
        <v>103</v>
      </c>
      <c r="B225" t="s">
        <v>104</v>
      </c>
      <c r="C225">
        <v>2022</v>
      </c>
      <c r="D225" t="s">
        <v>105</v>
      </c>
      <c r="E225">
        <v>32</v>
      </c>
      <c r="F225">
        <v>3</v>
      </c>
      <c r="G225" t="s">
        <v>106</v>
      </c>
      <c r="K225" s="2" t="s">
        <v>107</v>
      </c>
      <c r="L225" s="2" t="s">
        <v>108</v>
      </c>
      <c r="M225" t="s">
        <v>109</v>
      </c>
      <c r="N225" t="s">
        <v>110</v>
      </c>
      <c r="O225" t="s">
        <v>26</v>
      </c>
      <c r="P225" t="s">
        <v>27</v>
      </c>
      <c r="Q225" t="s">
        <v>28</v>
      </c>
      <c r="R225" t="s">
        <v>28</v>
      </c>
      <c r="S225" t="s">
        <v>28</v>
      </c>
      <c r="T225" t="s">
        <v>28</v>
      </c>
      <c r="U225" t="s">
        <v>28</v>
      </c>
      <c r="V225" t="s">
        <v>28</v>
      </c>
      <c r="W225" s="16" t="s">
        <v>5629</v>
      </c>
      <c r="X225" t="s">
        <v>5624</v>
      </c>
    </row>
    <row r="226" spans="1:52" x14ac:dyDescent="0.55000000000000004">
      <c r="A226" t="s">
        <v>111</v>
      </c>
      <c r="B226" t="s">
        <v>112</v>
      </c>
      <c r="C226">
        <v>2022</v>
      </c>
      <c r="D226" t="s">
        <v>113</v>
      </c>
      <c r="E226">
        <v>6</v>
      </c>
      <c r="F226">
        <v>4</v>
      </c>
      <c r="H226">
        <v>375</v>
      </c>
      <c r="I226">
        <v>382</v>
      </c>
      <c r="K226" s="2" t="s">
        <v>114</v>
      </c>
      <c r="L226" s="2" t="s">
        <v>115</v>
      </c>
      <c r="M226" t="s">
        <v>116</v>
      </c>
      <c r="O226" t="s">
        <v>26</v>
      </c>
      <c r="P226" t="s">
        <v>27</v>
      </c>
      <c r="Q226" t="s">
        <v>28</v>
      </c>
      <c r="R226" t="s">
        <v>28</v>
      </c>
      <c r="S226" t="s">
        <v>28</v>
      </c>
      <c r="T226" t="s">
        <v>28</v>
      </c>
      <c r="U226" t="s">
        <v>28</v>
      </c>
      <c r="V226" t="s">
        <v>28</v>
      </c>
      <c r="W226" s="16" t="s">
        <v>5629</v>
      </c>
      <c r="X226" t="s">
        <v>5624</v>
      </c>
    </row>
    <row r="227" spans="1:52" x14ac:dyDescent="0.55000000000000004">
      <c r="A227" t="s">
        <v>117</v>
      </c>
      <c r="B227" t="s">
        <v>118</v>
      </c>
      <c r="C227">
        <v>2022</v>
      </c>
      <c r="D227" t="s">
        <v>53</v>
      </c>
      <c r="E227">
        <v>167</v>
      </c>
      <c r="G227">
        <v>108590</v>
      </c>
      <c r="K227" s="2" t="s">
        <v>119</v>
      </c>
      <c r="L227" s="2" t="s">
        <v>120</v>
      </c>
      <c r="M227" t="s">
        <v>121</v>
      </c>
      <c r="N227" t="s">
        <v>122</v>
      </c>
      <c r="O227" t="s">
        <v>26</v>
      </c>
      <c r="P227" t="s">
        <v>27</v>
      </c>
      <c r="Q227" t="s">
        <v>28</v>
      </c>
      <c r="R227" t="s">
        <v>28</v>
      </c>
      <c r="S227" t="s">
        <v>28</v>
      </c>
      <c r="T227" t="s">
        <v>28</v>
      </c>
      <c r="U227" t="s">
        <v>28</v>
      </c>
      <c r="V227" t="s">
        <v>28</v>
      </c>
      <c r="W227" s="16" t="s">
        <v>5629</v>
      </c>
      <c r="X227" t="s">
        <v>5624</v>
      </c>
    </row>
    <row r="228" spans="1:52" x14ac:dyDescent="0.55000000000000004">
      <c r="A228" t="s">
        <v>123</v>
      </c>
      <c r="B228" t="s">
        <v>124</v>
      </c>
      <c r="C228">
        <v>2022</v>
      </c>
      <c r="D228" t="s">
        <v>125</v>
      </c>
      <c r="E228">
        <v>19</v>
      </c>
      <c r="F228">
        <v>5</v>
      </c>
      <c r="H228">
        <v>1469</v>
      </c>
      <c r="I228">
        <v>1490</v>
      </c>
      <c r="K228" s="2" t="s">
        <v>126</v>
      </c>
      <c r="L228" s="2" t="s">
        <v>127</v>
      </c>
      <c r="M228" t="s">
        <v>128</v>
      </c>
      <c r="O228" t="s">
        <v>26</v>
      </c>
      <c r="P228" t="s">
        <v>27</v>
      </c>
      <c r="Q228" t="s">
        <v>43</v>
      </c>
      <c r="R228" t="s">
        <v>28</v>
      </c>
      <c r="S228" t="s">
        <v>28</v>
      </c>
      <c r="T228" t="s">
        <v>28</v>
      </c>
      <c r="U228" t="s">
        <v>28</v>
      </c>
      <c r="V228" t="s">
        <v>43</v>
      </c>
      <c r="W228" s="16" t="s">
        <v>5629</v>
      </c>
      <c r="X228" t="s">
        <v>5624</v>
      </c>
    </row>
    <row r="229" spans="1:52" x14ac:dyDescent="0.55000000000000004">
      <c r="A229" t="s">
        <v>129</v>
      </c>
      <c r="B229" t="s">
        <v>130</v>
      </c>
      <c r="C229">
        <v>2022</v>
      </c>
      <c r="D229" t="s">
        <v>131</v>
      </c>
      <c r="E229">
        <v>17</v>
      </c>
      <c r="F229" s="4">
        <v>44623</v>
      </c>
      <c r="G229" t="s">
        <v>132</v>
      </c>
      <c r="K229" s="2" t="s">
        <v>133</v>
      </c>
      <c r="L229" s="2" t="s">
        <v>134</v>
      </c>
      <c r="M229" t="s">
        <v>135</v>
      </c>
      <c r="O229" t="s">
        <v>26</v>
      </c>
      <c r="P229" t="s">
        <v>27</v>
      </c>
      <c r="Q229" t="s">
        <v>28</v>
      </c>
      <c r="R229" t="s">
        <v>28</v>
      </c>
      <c r="S229" t="s">
        <v>28</v>
      </c>
      <c r="T229" t="s">
        <v>28</v>
      </c>
      <c r="U229" t="s">
        <v>28</v>
      </c>
      <c r="V229" t="s">
        <v>28</v>
      </c>
      <c r="W229" s="16" t="s">
        <v>5629</v>
      </c>
      <c r="X229" t="s">
        <v>5624</v>
      </c>
    </row>
    <row r="230" spans="1:52" x14ac:dyDescent="0.55000000000000004">
      <c r="A230" t="s">
        <v>136</v>
      </c>
      <c r="B230" t="s">
        <v>137</v>
      </c>
      <c r="C230">
        <v>2022</v>
      </c>
      <c r="D230" t="s">
        <v>138</v>
      </c>
      <c r="E230">
        <v>51</v>
      </c>
      <c r="F230">
        <v>1</v>
      </c>
      <c r="H230">
        <v>75</v>
      </c>
      <c r="I230">
        <v>90</v>
      </c>
      <c r="K230" s="2" t="s">
        <v>139</v>
      </c>
      <c r="L230" s="2" t="s">
        <v>140</v>
      </c>
      <c r="M230" t="s">
        <v>141</v>
      </c>
      <c r="N230" t="s">
        <v>142</v>
      </c>
      <c r="O230" t="s">
        <v>143</v>
      </c>
      <c r="P230" t="s">
        <v>27</v>
      </c>
      <c r="Q230" t="s">
        <v>28</v>
      </c>
      <c r="R230" t="s">
        <v>28</v>
      </c>
      <c r="S230" t="s">
        <v>28</v>
      </c>
      <c r="T230" t="s">
        <v>28</v>
      </c>
      <c r="U230" t="s">
        <v>28</v>
      </c>
      <c r="V230" t="s">
        <v>28</v>
      </c>
      <c r="W230" s="16" t="s">
        <v>5629</v>
      </c>
      <c r="X230" t="s">
        <v>5624</v>
      </c>
    </row>
    <row r="231" spans="1:52" x14ac:dyDescent="0.55000000000000004">
      <c r="A231" t="s">
        <v>144</v>
      </c>
      <c r="B231" t="s">
        <v>145</v>
      </c>
      <c r="C231">
        <v>2022</v>
      </c>
      <c r="D231" t="s">
        <v>53</v>
      </c>
      <c r="E231">
        <v>166</v>
      </c>
      <c r="G231">
        <v>108578</v>
      </c>
      <c r="K231" s="2" t="s">
        <v>146</v>
      </c>
      <c r="L231" s="2" t="s">
        <v>147</v>
      </c>
      <c r="M231" t="s">
        <v>148</v>
      </c>
      <c r="N231" t="s">
        <v>149</v>
      </c>
      <c r="O231" t="s">
        <v>26</v>
      </c>
      <c r="P231" t="s">
        <v>27</v>
      </c>
      <c r="Q231" t="s">
        <v>43</v>
      </c>
      <c r="R231" t="s">
        <v>28</v>
      </c>
      <c r="S231" t="s">
        <v>43</v>
      </c>
      <c r="T231" t="s">
        <v>43</v>
      </c>
      <c r="U231" t="s">
        <v>43</v>
      </c>
      <c r="V231" t="s">
        <v>43</v>
      </c>
      <c r="W231" s="16" t="s">
        <v>5629</v>
      </c>
      <c r="X231" t="s">
        <v>5624</v>
      </c>
    </row>
    <row r="232" spans="1:52" x14ac:dyDescent="0.55000000000000004">
      <c r="A232" t="s">
        <v>150</v>
      </c>
      <c r="B232" t="s">
        <v>151</v>
      </c>
      <c r="C232">
        <v>2022</v>
      </c>
      <c r="D232" t="s">
        <v>152</v>
      </c>
      <c r="E232">
        <v>42</v>
      </c>
      <c r="F232">
        <v>2</v>
      </c>
      <c r="H232">
        <v>273</v>
      </c>
      <c r="I232">
        <v>288</v>
      </c>
      <c r="K232" s="2" t="s">
        <v>153</v>
      </c>
      <c r="L232" s="2" t="s">
        <v>154</v>
      </c>
      <c r="M232" t="s">
        <v>155</v>
      </c>
      <c r="N232" t="s">
        <v>156</v>
      </c>
      <c r="O232" t="s">
        <v>26</v>
      </c>
      <c r="P232" t="s">
        <v>27</v>
      </c>
      <c r="Q232" t="s">
        <v>28</v>
      </c>
      <c r="R232" t="s">
        <v>28</v>
      </c>
      <c r="S232" t="s">
        <v>28</v>
      </c>
      <c r="T232" t="s">
        <v>28</v>
      </c>
      <c r="U232" t="s">
        <v>28</v>
      </c>
      <c r="V232" t="s">
        <v>28</v>
      </c>
      <c r="W232" s="16" t="s">
        <v>5629</v>
      </c>
      <c r="X232" t="s">
        <v>5624</v>
      </c>
    </row>
    <row r="233" spans="1:52" x14ac:dyDescent="0.55000000000000004">
      <c r="A233" t="s">
        <v>157</v>
      </c>
      <c r="B233" t="s">
        <v>158</v>
      </c>
      <c r="C233">
        <v>2022</v>
      </c>
      <c r="D233" t="s">
        <v>159</v>
      </c>
      <c r="E233">
        <v>407</v>
      </c>
      <c r="G233">
        <v>115570</v>
      </c>
      <c r="K233" s="2" t="s">
        <v>160</v>
      </c>
      <c r="L233" s="2" t="s">
        <v>161</v>
      </c>
      <c r="M233" t="s">
        <v>162</v>
      </c>
      <c r="N233" t="s">
        <v>163</v>
      </c>
      <c r="O233" t="s">
        <v>26</v>
      </c>
      <c r="P233" t="s">
        <v>27</v>
      </c>
      <c r="Q233" t="s">
        <v>28</v>
      </c>
      <c r="R233" t="s">
        <v>28</v>
      </c>
      <c r="S233" t="s">
        <v>28</v>
      </c>
      <c r="T233" t="s">
        <v>28</v>
      </c>
      <c r="U233" t="s">
        <v>28</v>
      </c>
      <c r="V233" t="s">
        <v>28</v>
      </c>
      <c r="W233" s="16" t="s">
        <v>5629</v>
      </c>
      <c r="X233" t="s">
        <v>5624</v>
      </c>
    </row>
    <row r="234" spans="1:52" x14ac:dyDescent="0.55000000000000004">
      <c r="A234" t="s">
        <v>164</v>
      </c>
      <c r="B234" t="s">
        <v>165</v>
      </c>
      <c r="C234">
        <v>2022</v>
      </c>
      <c r="D234" t="s">
        <v>38</v>
      </c>
      <c r="E234">
        <v>806</v>
      </c>
      <c r="G234">
        <v>151301</v>
      </c>
      <c r="K234" s="2" t="s">
        <v>166</v>
      </c>
      <c r="L234" s="2" t="s">
        <v>167</v>
      </c>
      <c r="M234" t="s">
        <v>168</v>
      </c>
      <c r="N234" t="s">
        <v>169</v>
      </c>
      <c r="O234" t="s">
        <v>170</v>
      </c>
      <c r="P234" t="s">
        <v>27</v>
      </c>
      <c r="Q234" t="s">
        <v>43</v>
      </c>
      <c r="R234" t="s">
        <v>28</v>
      </c>
      <c r="S234" t="s">
        <v>28</v>
      </c>
      <c r="T234" t="s">
        <v>28</v>
      </c>
      <c r="U234" t="s">
        <v>43</v>
      </c>
      <c r="V234" t="s">
        <v>28</v>
      </c>
      <c r="W234" s="16" t="s">
        <v>5629</v>
      </c>
      <c r="X234" t="s">
        <v>5624</v>
      </c>
    </row>
    <row r="235" spans="1:52" x14ac:dyDescent="0.55000000000000004">
      <c r="A235" t="s">
        <v>171</v>
      </c>
      <c r="B235" t="s">
        <v>172</v>
      </c>
      <c r="C235">
        <v>2022</v>
      </c>
      <c r="D235" t="s">
        <v>38</v>
      </c>
      <c r="E235">
        <v>806</v>
      </c>
      <c r="G235">
        <v>150571</v>
      </c>
      <c r="K235" s="2" t="s">
        <v>173</v>
      </c>
      <c r="L235" s="2" t="s">
        <v>174</v>
      </c>
      <c r="M235" t="s">
        <v>175</v>
      </c>
      <c r="N235" t="s">
        <v>176</v>
      </c>
      <c r="O235" t="s">
        <v>143</v>
      </c>
      <c r="P235" t="s">
        <v>27</v>
      </c>
      <c r="Q235" t="s">
        <v>43</v>
      </c>
      <c r="R235" t="s">
        <v>28</v>
      </c>
      <c r="S235" t="s">
        <v>43</v>
      </c>
      <c r="T235" t="s">
        <v>28</v>
      </c>
      <c r="U235" t="s">
        <v>43</v>
      </c>
      <c r="V235" t="s">
        <v>28</v>
      </c>
      <c r="W235" s="16" t="s">
        <v>5629</v>
      </c>
      <c r="X235" t="s">
        <v>5624</v>
      </c>
    </row>
    <row r="236" spans="1:52" x14ac:dyDescent="0.55000000000000004">
      <c r="A236" t="s">
        <v>184</v>
      </c>
      <c r="B236" t="s">
        <v>185</v>
      </c>
      <c r="C236">
        <v>2022</v>
      </c>
      <c r="D236" t="s">
        <v>186</v>
      </c>
      <c r="K236" s="2" t="s">
        <v>187</v>
      </c>
      <c r="L236" s="2" t="s">
        <v>188</v>
      </c>
      <c r="M236" t="s">
        <v>189</v>
      </c>
      <c r="N236" t="s">
        <v>190</v>
      </c>
      <c r="O236" t="s">
        <v>143</v>
      </c>
      <c r="P236" t="s">
        <v>27</v>
      </c>
      <c r="Q236" t="s">
        <v>43</v>
      </c>
      <c r="R236" t="s">
        <v>28</v>
      </c>
      <c r="S236" t="s">
        <v>28</v>
      </c>
      <c r="T236" t="s">
        <v>43</v>
      </c>
      <c r="U236" t="s">
        <v>28</v>
      </c>
      <c r="V236" t="s">
        <v>28</v>
      </c>
      <c r="W236" s="16" t="s">
        <v>5629</v>
      </c>
      <c r="X236" t="s">
        <v>5624</v>
      </c>
    </row>
    <row r="237" spans="1:52" x14ac:dyDescent="0.55000000000000004">
      <c r="A237" s="2" t="s">
        <v>191</v>
      </c>
      <c r="B237" t="s">
        <v>192</v>
      </c>
      <c r="C237">
        <v>2022</v>
      </c>
      <c r="D237" t="s">
        <v>193</v>
      </c>
      <c r="H237">
        <v>69</v>
      </c>
      <c r="I237">
        <v>84</v>
      </c>
      <c r="K237" s="2" t="s">
        <v>194</v>
      </c>
      <c r="L237" s="2" t="s">
        <v>195</v>
      </c>
      <c r="M237" t="s">
        <v>196</v>
      </c>
      <c r="N237" t="s">
        <v>197</v>
      </c>
      <c r="O237" s="2" t="s">
        <v>198</v>
      </c>
      <c r="P237" t="s">
        <v>27</v>
      </c>
      <c r="Q237" t="s">
        <v>43</v>
      </c>
      <c r="R237" t="s">
        <v>28</v>
      </c>
      <c r="S237" t="s">
        <v>43</v>
      </c>
      <c r="T237" t="s">
        <v>43</v>
      </c>
      <c r="U237" t="s">
        <v>28</v>
      </c>
      <c r="V237" t="s">
        <v>28</v>
      </c>
      <c r="W237" s="16" t="s">
        <v>5629</v>
      </c>
      <c r="X237" t="s">
        <v>5624</v>
      </c>
    </row>
    <row r="238" spans="1:52" x14ac:dyDescent="0.55000000000000004">
      <c r="A238" t="s">
        <v>199</v>
      </c>
      <c r="B238" t="s">
        <v>200</v>
      </c>
      <c r="C238">
        <v>2022</v>
      </c>
      <c r="D238" t="s">
        <v>186</v>
      </c>
      <c r="K238" s="2" t="s">
        <v>201</v>
      </c>
      <c r="L238" s="2" t="s">
        <v>202</v>
      </c>
      <c r="M238" t="s">
        <v>203</v>
      </c>
      <c r="N238" t="s">
        <v>204</v>
      </c>
      <c r="O238" t="s">
        <v>26</v>
      </c>
      <c r="P238" t="s">
        <v>27</v>
      </c>
      <c r="Q238" t="s">
        <v>28</v>
      </c>
      <c r="R238" t="s">
        <v>28</v>
      </c>
      <c r="S238" t="s">
        <v>28</v>
      </c>
      <c r="T238" t="s">
        <v>28</v>
      </c>
      <c r="U238" t="s">
        <v>28</v>
      </c>
      <c r="V238" t="s">
        <v>28</v>
      </c>
      <c r="W238" s="16" t="s">
        <v>5629</v>
      </c>
      <c r="X238" t="s">
        <v>5624</v>
      </c>
    </row>
    <row r="239" spans="1:52" x14ac:dyDescent="0.55000000000000004">
      <c r="A239" t="s">
        <v>205</v>
      </c>
      <c r="B239" t="s">
        <v>206</v>
      </c>
      <c r="C239">
        <v>2022</v>
      </c>
      <c r="D239" t="s">
        <v>207</v>
      </c>
      <c r="K239" s="2" t="s">
        <v>208</v>
      </c>
      <c r="L239" s="2" t="s">
        <v>209</v>
      </c>
      <c r="M239" t="s">
        <v>210</v>
      </c>
      <c r="N239" t="s">
        <v>211</v>
      </c>
      <c r="O239" t="s">
        <v>26</v>
      </c>
      <c r="P239" t="s">
        <v>27</v>
      </c>
      <c r="Q239" t="s">
        <v>28</v>
      </c>
      <c r="R239" t="s">
        <v>28</v>
      </c>
      <c r="S239" t="s">
        <v>28</v>
      </c>
      <c r="T239" t="s">
        <v>28</v>
      </c>
      <c r="U239" t="s">
        <v>28</v>
      </c>
      <c r="V239" t="s">
        <v>28</v>
      </c>
      <c r="W239" s="16" t="s">
        <v>5629</v>
      </c>
      <c r="X239" t="s">
        <v>5624</v>
      </c>
    </row>
    <row r="240" spans="1:52" x14ac:dyDescent="0.55000000000000004">
      <c r="A240" t="s">
        <v>212</v>
      </c>
      <c r="B240" t="s">
        <v>213</v>
      </c>
      <c r="C240">
        <v>2022</v>
      </c>
      <c r="D240" t="s">
        <v>186</v>
      </c>
      <c r="K240" s="2" t="s">
        <v>214</v>
      </c>
      <c r="L240" s="2" t="s">
        <v>215</v>
      </c>
      <c r="M240" t="s">
        <v>216</v>
      </c>
      <c r="N240" t="s">
        <v>217</v>
      </c>
      <c r="O240" t="s">
        <v>26</v>
      </c>
      <c r="P240" t="s">
        <v>27</v>
      </c>
      <c r="Q240" t="s">
        <v>28</v>
      </c>
      <c r="R240" t="s">
        <v>28</v>
      </c>
      <c r="S240" t="s">
        <v>28</v>
      </c>
      <c r="T240" t="s">
        <v>43</v>
      </c>
      <c r="U240" t="s">
        <v>28</v>
      </c>
      <c r="V240" t="s">
        <v>28</v>
      </c>
      <c r="W240" s="16" t="s">
        <v>5629</v>
      </c>
      <c r="X240" t="s">
        <v>5624</v>
      </c>
      <c r="AZ240" s="20" t="s">
        <v>5696</v>
      </c>
    </row>
    <row r="241" spans="1:52" x14ac:dyDescent="0.55000000000000004">
      <c r="A241" t="s">
        <v>218</v>
      </c>
      <c r="B241" t="s">
        <v>219</v>
      </c>
      <c r="C241">
        <v>2022</v>
      </c>
      <c r="D241" t="s">
        <v>220</v>
      </c>
      <c r="E241">
        <v>73</v>
      </c>
      <c r="F241">
        <v>1</v>
      </c>
      <c r="G241" t="s">
        <v>221</v>
      </c>
      <c r="K241" s="2" t="s">
        <v>222</v>
      </c>
      <c r="L241" s="2" t="s">
        <v>223</v>
      </c>
      <c r="M241" t="s">
        <v>224</v>
      </c>
      <c r="N241" t="s">
        <v>225</v>
      </c>
      <c r="O241" t="s">
        <v>143</v>
      </c>
      <c r="P241" t="s">
        <v>27</v>
      </c>
      <c r="Q241" t="s">
        <v>28</v>
      </c>
      <c r="R241" t="s">
        <v>28</v>
      </c>
      <c r="S241" t="s">
        <v>28</v>
      </c>
      <c r="T241" t="s">
        <v>28</v>
      </c>
      <c r="U241" t="s">
        <v>28</v>
      </c>
      <c r="V241" t="s">
        <v>28</v>
      </c>
      <c r="W241" s="16" t="s">
        <v>5629</v>
      </c>
      <c r="X241" t="s">
        <v>5624</v>
      </c>
    </row>
    <row r="242" spans="1:52" x14ac:dyDescent="0.55000000000000004">
      <c r="A242" t="s">
        <v>226</v>
      </c>
      <c r="B242" t="s">
        <v>227</v>
      </c>
      <c r="C242">
        <v>2022</v>
      </c>
      <c r="D242" t="s">
        <v>179</v>
      </c>
      <c r="K242" s="2" t="s">
        <v>228</v>
      </c>
      <c r="L242" s="2" t="s">
        <v>229</v>
      </c>
      <c r="M242" t="s">
        <v>230</v>
      </c>
      <c r="N242" t="s">
        <v>231</v>
      </c>
      <c r="O242" t="s">
        <v>26</v>
      </c>
      <c r="P242" t="s">
        <v>27</v>
      </c>
      <c r="Q242" t="s">
        <v>28</v>
      </c>
      <c r="R242" t="s">
        <v>28</v>
      </c>
      <c r="S242" t="s">
        <v>28</v>
      </c>
      <c r="T242" t="s">
        <v>28</v>
      </c>
      <c r="U242" t="s">
        <v>28</v>
      </c>
      <c r="V242" t="s">
        <v>28</v>
      </c>
      <c r="W242" s="16" t="s">
        <v>5629</v>
      </c>
      <c r="X242" t="s">
        <v>5624</v>
      </c>
    </row>
    <row r="243" spans="1:52" x14ac:dyDescent="0.55000000000000004">
      <c r="A243" t="s">
        <v>232</v>
      </c>
      <c r="B243" t="s">
        <v>233</v>
      </c>
      <c r="C243">
        <v>2022</v>
      </c>
      <c r="D243" t="s">
        <v>234</v>
      </c>
      <c r="K243" s="2" t="s">
        <v>235</v>
      </c>
      <c r="L243" s="2" t="s">
        <v>236</v>
      </c>
      <c r="M243" t="s">
        <v>237</v>
      </c>
      <c r="O243" t="s">
        <v>26</v>
      </c>
      <c r="P243" t="s">
        <v>27</v>
      </c>
      <c r="Q243" t="s">
        <v>43</v>
      </c>
      <c r="R243" t="s">
        <v>28</v>
      </c>
      <c r="S243" t="s">
        <v>43</v>
      </c>
      <c r="T243" t="s">
        <v>28</v>
      </c>
      <c r="U243" t="s">
        <v>43</v>
      </c>
      <c r="V243" t="s">
        <v>28</v>
      </c>
      <c r="W243" s="16" t="s">
        <v>5629</v>
      </c>
      <c r="X243" t="s">
        <v>5624</v>
      </c>
    </row>
    <row r="244" spans="1:52" x14ac:dyDescent="0.55000000000000004">
      <c r="A244" t="s">
        <v>238</v>
      </c>
      <c r="B244" t="s">
        <v>239</v>
      </c>
      <c r="C244">
        <v>2022</v>
      </c>
      <c r="D244" t="s">
        <v>240</v>
      </c>
      <c r="E244">
        <v>33</v>
      </c>
      <c r="G244" t="s">
        <v>241</v>
      </c>
      <c r="K244" s="2" t="s">
        <v>242</v>
      </c>
      <c r="L244" s="2" t="s">
        <v>243</v>
      </c>
      <c r="M244" t="s">
        <v>244</v>
      </c>
      <c r="N244" t="s">
        <v>245</v>
      </c>
      <c r="O244" t="s">
        <v>26</v>
      </c>
      <c r="P244" t="s">
        <v>27</v>
      </c>
      <c r="Q244" t="s">
        <v>28</v>
      </c>
      <c r="R244" t="s">
        <v>28</v>
      </c>
      <c r="S244" t="s">
        <v>28</v>
      </c>
      <c r="T244" t="s">
        <v>28</v>
      </c>
      <c r="U244" t="s">
        <v>28</v>
      </c>
      <c r="V244" t="s">
        <v>28</v>
      </c>
      <c r="W244" s="16" t="s">
        <v>5629</v>
      </c>
      <c r="X244" t="s">
        <v>5624</v>
      </c>
    </row>
    <row r="245" spans="1:52" x14ac:dyDescent="0.55000000000000004">
      <c r="A245" t="s">
        <v>246</v>
      </c>
      <c r="B245" t="s">
        <v>247</v>
      </c>
      <c r="C245">
        <v>2022</v>
      </c>
      <c r="D245" t="s">
        <v>220</v>
      </c>
      <c r="E245">
        <v>73</v>
      </c>
      <c r="F245">
        <v>1</v>
      </c>
      <c r="G245" t="s">
        <v>248</v>
      </c>
      <c r="K245" s="2" t="s">
        <v>249</v>
      </c>
      <c r="L245" s="2" t="s">
        <v>250</v>
      </c>
      <c r="M245" t="s">
        <v>251</v>
      </c>
      <c r="N245" t="s">
        <v>252</v>
      </c>
      <c r="O245" t="s">
        <v>26</v>
      </c>
      <c r="P245" t="s">
        <v>27</v>
      </c>
      <c r="Q245" t="s">
        <v>28</v>
      </c>
      <c r="R245" t="s">
        <v>28</v>
      </c>
      <c r="S245" t="s">
        <v>28</v>
      </c>
      <c r="T245" t="s">
        <v>28</v>
      </c>
      <c r="U245" t="s">
        <v>28</v>
      </c>
      <c r="V245" t="s">
        <v>28</v>
      </c>
      <c r="W245" s="16" t="s">
        <v>5629</v>
      </c>
      <c r="X245" t="s">
        <v>5624</v>
      </c>
    </row>
    <row r="246" spans="1:52" x14ac:dyDescent="0.55000000000000004">
      <c r="A246" t="s">
        <v>253</v>
      </c>
      <c r="B246" t="s">
        <v>254</v>
      </c>
      <c r="C246">
        <v>2022</v>
      </c>
      <c r="D246" t="s">
        <v>255</v>
      </c>
      <c r="E246">
        <v>52</v>
      </c>
      <c r="F246">
        <v>9</v>
      </c>
      <c r="H246">
        <v>1604</v>
      </c>
      <c r="I246">
        <v>1638</v>
      </c>
      <c r="K246" s="2" t="s">
        <v>256</v>
      </c>
      <c r="L246" s="2" t="s">
        <v>257</v>
      </c>
      <c r="M246" t="s">
        <v>258</v>
      </c>
      <c r="N246" t="s">
        <v>259</v>
      </c>
      <c r="O246" t="s">
        <v>143</v>
      </c>
      <c r="P246" t="s">
        <v>27</v>
      </c>
      <c r="Q246" t="s">
        <v>43</v>
      </c>
      <c r="R246" t="s">
        <v>28</v>
      </c>
      <c r="S246" t="s">
        <v>43</v>
      </c>
      <c r="T246" t="s">
        <v>28</v>
      </c>
      <c r="U246" t="s">
        <v>43</v>
      </c>
      <c r="V246" t="s">
        <v>28</v>
      </c>
      <c r="W246" s="16" t="s">
        <v>5629</v>
      </c>
      <c r="X246" t="s">
        <v>5624</v>
      </c>
    </row>
    <row r="247" spans="1:52" x14ac:dyDescent="0.55000000000000004">
      <c r="A247" t="s">
        <v>260</v>
      </c>
      <c r="B247" t="s">
        <v>261</v>
      </c>
      <c r="C247">
        <v>2021</v>
      </c>
      <c r="D247" t="s">
        <v>262</v>
      </c>
      <c r="E247">
        <v>531</v>
      </c>
      <c r="G247">
        <v>110859</v>
      </c>
      <c r="K247" s="2" t="s">
        <v>263</v>
      </c>
      <c r="L247" s="2" t="s">
        <v>264</v>
      </c>
      <c r="M247" t="s">
        <v>265</v>
      </c>
      <c r="N247" t="s">
        <v>266</v>
      </c>
      <c r="O247" t="s">
        <v>26</v>
      </c>
      <c r="P247" t="s">
        <v>27</v>
      </c>
      <c r="Q247" t="s">
        <v>28</v>
      </c>
      <c r="R247" t="s">
        <v>28</v>
      </c>
      <c r="S247" t="s">
        <v>28</v>
      </c>
      <c r="T247" t="s">
        <v>28</v>
      </c>
      <c r="U247" t="s">
        <v>28</v>
      </c>
      <c r="V247" t="s">
        <v>28</v>
      </c>
      <c r="W247" s="16" t="s">
        <v>5629</v>
      </c>
      <c r="X247" t="s">
        <v>5624</v>
      </c>
    </row>
    <row r="248" spans="1:52" x14ac:dyDescent="0.55000000000000004">
      <c r="A248" t="s">
        <v>267</v>
      </c>
      <c r="B248" t="s">
        <v>268</v>
      </c>
      <c r="C248">
        <v>2021</v>
      </c>
      <c r="D248" t="s">
        <v>269</v>
      </c>
      <c r="E248">
        <v>9</v>
      </c>
      <c r="F248">
        <v>1</v>
      </c>
      <c r="G248">
        <v>1</v>
      </c>
      <c r="K248" s="2" t="s">
        <v>270</v>
      </c>
      <c r="L248" s="2" t="s">
        <v>271</v>
      </c>
      <c r="M248" t="s">
        <v>272</v>
      </c>
      <c r="N248" t="s">
        <v>273</v>
      </c>
      <c r="O248" t="s">
        <v>26</v>
      </c>
      <c r="P248" t="s">
        <v>27</v>
      </c>
      <c r="Q248" t="s">
        <v>28</v>
      </c>
      <c r="R248" t="s">
        <v>28</v>
      </c>
      <c r="S248" t="s">
        <v>28</v>
      </c>
      <c r="T248" t="s">
        <v>28</v>
      </c>
      <c r="U248" t="s">
        <v>28</v>
      </c>
      <c r="V248" t="s">
        <v>28</v>
      </c>
      <c r="W248" s="16" t="s">
        <v>5629</v>
      </c>
      <c r="X248" t="s">
        <v>5624</v>
      </c>
    </row>
    <row r="249" spans="1:52" x14ac:dyDescent="0.55000000000000004">
      <c r="A249" t="s">
        <v>274</v>
      </c>
      <c r="B249" t="s">
        <v>275</v>
      </c>
      <c r="C249">
        <v>2021</v>
      </c>
      <c r="D249" t="s">
        <v>234</v>
      </c>
      <c r="E249">
        <v>32</v>
      </c>
      <c r="F249">
        <v>18</v>
      </c>
      <c r="H249">
        <v>5281</v>
      </c>
      <c r="I249">
        <v>5291</v>
      </c>
      <c r="K249" s="2" t="s">
        <v>276</v>
      </c>
      <c r="L249" s="2" t="s">
        <v>277</v>
      </c>
      <c r="M249" t="s">
        <v>278</v>
      </c>
      <c r="N249" t="s">
        <v>279</v>
      </c>
      <c r="O249" t="s">
        <v>26</v>
      </c>
      <c r="P249" t="s">
        <v>27</v>
      </c>
      <c r="Q249" t="s">
        <v>28</v>
      </c>
      <c r="R249" t="s">
        <v>28</v>
      </c>
      <c r="S249" t="s">
        <v>28</v>
      </c>
      <c r="T249" t="s">
        <v>28</v>
      </c>
      <c r="U249" t="s">
        <v>28</v>
      </c>
      <c r="V249" t="s">
        <v>28</v>
      </c>
      <c r="W249" s="16" t="s">
        <v>5629</v>
      </c>
      <c r="X249" t="s">
        <v>5624</v>
      </c>
    </row>
    <row r="250" spans="1:52" x14ac:dyDescent="0.55000000000000004">
      <c r="A250" t="s">
        <v>280</v>
      </c>
      <c r="B250" t="s">
        <v>281</v>
      </c>
      <c r="C250">
        <v>2021</v>
      </c>
      <c r="D250" t="s">
        <v>282</v>
      </c>
      <c r="E250">
        <v>11</v>
      </c>
      <c r="F250">
        <v>1</v>
      </c>
      <c r="G250">
        <v>19320</v>
      </c>
      <c r="K250" s="2" t="s">
        <v>283</v>
      </c>
      <c r="L250" s="2" t="s">
        <v>284</v>
      </c>
      <c r="M250" t="s">
        <v>285</v>
      </c>
      <c r="O250" t="s">
        <v>26</v>
      </c>
      <c r="P250" t="s">
        <v>27</v>
      </c>
      <c r="Q250" t="s">
        <v>43</v>
      </c>
      <c r="R250" t="s">
        <v>28</v>
      </c>
      <c r="S250" t="s">
        <v>43</v>
      </c>
      <c r="T250" t="s">
        <v>43</v>
      </c>
      <c r="U250" t="s">
        <v>28</v>
      </c>
      <c r="V250" t="s">
        <v>28</v>
      </c>
      <c r="W250" s="16" t="s">
        <v>5629</v>
      </c>
      <c r="X250" t="s">
        <v>5624</v>
      </c>
      <c r="AZ250" s="20" t="s">
        <v>5701</v>
      </c>
    </row>
    <row r="251" spans="1:52" x14ac:dyDescent="0.55000000000000004">
      <c r="A251" t="s">
        <v>286</v>
      </c>
      <c r="B251" t="s">
        <v>287</v>
      </c>
      <c r="C251">
        <v>2021</v>
      </c>
      <c r="D251" t="s">
        <v>288</v>
      </c>
      <c r="E251">
        <v>109</v>
      </c>
      <c r="F251">
        <v>12</v>
      </c>
      <c r="H251">
        <v>4038</v>
      </c>
      <c r="I251">
        <v>4055</v>
      </c>
      <c r="K251" s="2" t="s">
        <v>289</v>
      </c>
      <c r="L251" s="2" t="s">
        <v>290</v>
      </c>
      <c r="M251" t="s">
        <v>291</v>
      </c>
      <c r="N251" t="s">
        <v>292</v>
      </c>
      <c r="O251" t="s">
        <v>26</v>
      </c>
      <c r="P251" t="s">
        <v>27</v>
      </c>
      <c r="Q251" t="s">
        <v>28</v>
      </c>
      <c r="R251" t="s">
        <v>28</v>
      </c>
      <c r="S251" t="s">
        <v>28</v>
      </c>
      <c r="T251" t="s">
        <v>28</v>
      </c>
      <c r="U251" t="s">
        <v>28</v>
      </c>
      <c r="V251" t="s">
        <v>28</v>
      </c>
      <c r="W251" s="16" t="s">
        <v>5629</v>
      </c>
      <c r="X251" t="s">
        <v>5624</v>
      </c>
    </row>
    <row r="252" spans="1:52" x14ac:dyDescent="0.55000000000000004">
      <c r="A252" t="s">
        <v>293</v>
      </c>
      <c r="B252" t="s">
        <v>294</v>
      </c>
      <c r="C252">
        <v>2021</v>
      </c>
      <c r="D252" t="s">
        <v>68</v>
      </c>
      <c r="E252">
        <v>232</v>
      </c>
      <c r="F252">
        <v>6</v>
      </c>
      <c r="H252">
        <v>2457</v>
      </c>
      <c r="I252">
        <v>2474</v>
      </c>
      <c r="K252" s="2" t="s">
        <v>295</v>
      </c>
      <c r="L252" s="2" t="s">
        <v>296</v>
      </c>
      <c r="M252" t="s">
        <v>297</v>
      </c>
      <c r="N252" t="s">
        <v>298</v>
      </c>
      <c r="O252" t="s">
        <v>26</v>
      </c>
      <c r="P252" t="s">
        <v>27</v>
      </c>
      <c r="Q252" t="s">
        <v>43</v>
      </c>
      <c r="R252" t="s">
        <v>28</v>
      </c>
      <c r="S252" t="s">
        <v>28</v>
      </c>
      <c r="T252" t="s">
        <v>28</v>
      </c>
      <c r="U252" t="s">
        <v>28</v>
      </c>
      <c r="V252" t="s">
        <v>43</v>
      </c>
      <c r="W252" s="16" t="s">
        <v>5629</v>
      </c>
      <c r="X252" t="s">
        <v>5624</v>
      </c>
    </row>
    <row r="253" spans="1:52" x14ac:dyDescent="0.55000000000000004">
      <c r="A253" t="s">
        <v>299</v>
      </c>
      <c r="B253" t="s">
        <v>300</v>
      </c>
      <c r="C253">
        <v>2021</v>
      </c>
      <c r="D253" t="s">
        <v>282</v>
      </c>
      <c r="E253">
        <v>11</v>
      </c>
      <c r="F253">
        <v>1</v>
      </c>
      <c r="G253">
        <v>11424</v>
      </c>
      <c r="K253" s="2" t="s">
        <v>301</v>
      </c>
      <c r="L253" s="2" t="s">
        <v>302</v>
      </c>
      <c r="M253" t="s">
        <v>303</v>
      </c>
      <c r="O253" t="s">
        <v>26</v>
      </c>
      <c r="P253" t="s">
        <v>27</v>
      </c>
      <c r="Q253" t="s">
        <v>28</v>
      </c>
      <c r="R253" t="s">
        <v>28</v>
      </c>
      <c r="S253" t="s">
        <v>28</v>
      </c>
      <c r="T253" t="s">
        <v>28</v>
      </c>
      <c r="U253" t="s">
        <v>28</v>
      </c>
      <c r="V253" t="s">
        <v>28</v>
      </c>
      <c r="W253" s="16" t="s">
        <v>5629</v>
      </c>
      <c r="X253" t="s">
        <v>5624</v>
      </c>
    </row>
    <row r="254" spans="1:52" x14ac:dyDescent="0.55000000000000004">
      <c r="A254" t="s">
        <v>304</v>
      </c>
      <c r="B254" t="s">
        <v>305</v>
      </c>
      <c r="C254">
        <v>2021</v>
      </c>
      <c r="D254" t="s">
        <v>306</v>
      </c>
      <c r="E254">
        <v>24</v>
      </c>
      <c r="F254">
        <v>8</v>
      </c>
      <c r="H254">
        <v>1928</v>
      </c>
      <c r="I254">
        <v>1943</v>
      </c>
      <c r="K254" s="2" t="s">
        <v>307</v>
      </c>
      <c r="L254" s="2" t="s">
        <v>308</v>
      </c>
      <c r="M254" t="s">
        <v>309</v>
      </c>
      <c r="N254" t="s">
        <v>310</v>
      </c>
      <c r="O254" t="s">
        <v>26</v>
      </c>
      <c r="P254" t="s">
        <v>27</v>
      </c>
      <c r="Q254" t="s">
        <v>28</v>
      </c>
      <c r="R254" t="s">
        <v>28</v>
      </c>
      <c r="S254" t="s">
        <v>28</v>
      </c>
      <c r="T254" t="s">
        <v>28</v>
      </c>
      <c r="U254" t="s">
        <v>28</v>
      </c>
      <c r="V254" t="s">
        <v>28</v>
      </c>
      <c r="W254" s="16" t="s">
        <v>5629</v>
      </c>
      <c r="X254" t="s">
        <v>5624</v>
      </c>
    </row>
    <row r="255" spans="1:52" x14ac:dyDescent="0.55000000000000004">
      <c r="A255" t="s">
        <v>311</v>
      </c>
      <c r="B255" t="s">
        <v>312</v>
      </c>
      <c r="C255">
        <v>2021</v>
      </c>
      <c r="D255" t="s">
        <v>313</v>
      </c>
      <c r="E255">
        <v>905</v>
      </c>
      <c r="F255">
        <v>1</v>
      </c>
      <c r="J255">
        <v>993</v>
      </c>
      <c r="L255" s="2" t="s">
        <v>314</v>
      </c>
      <c r="M255" t="s">
        <v>315</v>
      </c>
      <c r="O255" t="s">
        <v>316</v>
      </c>
      <c r="P255" t="s">
        <v>27</v>
      </c>
      <c r="Q255" t="s">
        <v>28</v>
      </c>
      <c r="R255" t="s">
        <v>28</v>
      </c>
      <c r="S255" t="s">
        <v>28</v>
      </c>
      <c r="T255" t="s">
        <v>28</v>
      </c>
      <c r="U255" t="s">
        <v>28</v>
      </c>
      <c r="V255" t="s">
        <v>28</v>
      </c>
      <c r="W255" s="16" t="s">
        <v>5629</v>
      </c>
      <c r="X255" t="s">
        <v>5624</v>
      </c>
    </row>
    <row r="256" spans="1:52" x14ac:dyDescent="0.55000000000000004">
      <c r="A256" t="s">
        <v>317</v>
      </c>
      <c r="B256" t="s">
        <v>318</v>
      </c>
      <c r="C256">
        <v>2021</v>
      </c>
      <c r="D256" t="s">
        <v>319</v>
      </c>
      <c r="E256">
        <v>41</v>
      </c>
      <c r="F256">
        <v>11</v>
      </c>
      <c r="H256">
        <v>2096</v>
      </c>
      <c r="I256">
        <v>2108</v>
      </c>
      <c r="K256" s="2" t="s">
        <v>320</v>
      </c>
      <c r="L256" s="2" t="s">
        <v>321</v>
      </c>
      <c r="M256" t="s">
        <v>322</v>
      </c>
      <c r="N256" t="s">
        <v>323</v>
      </c>
      <c r="O256" t="s">
        <v>26</v>
      </c>
      <c r="P256" t="s">
        <v>27</v>
      </c>
      <c r="Q256" t="s">
        <v>28</v>
      </c>
      <c r="R256" t="s">
        <v>28</v>
      </c>
      <c r="S256" t="s">
        <v>28</v>
      </c>
      <c r="T256" t="s">
        <v>28</v>
      </c>
      <c r="U256" t="s">
        <v>28</v>
      </c>
      <c r="V256" t="s">
        <v>28</v>
      </c>
      <c r="W256" s="16" t="s">
        <v>5629</v>
      </c>
      <c r="X256" t="s">
        <v>5624</v>
      </c>
    </row>
    <row r="257" spans="1:52" x14ac:dyDescent="0.55000000000000004">
      <c r="A257" t="s">
        <v>324</v>
      </c>
      <c r="B257" t="s">
        <v>325</v>
      </c>
      <c r="C257">
        <v>2021</v>
      </c>
      <c r="D257" t="s">
        <v>68</v>
      </c>
      <c r="E257">
        <v>232</v>
      </c>
      <c r="F257">
        <v>4</v>
      </c>
      <c r="H257">
        <v>1572</v>
      </c>
      <c r="I257">
        <v>1581</v>
      </c>
      <c r="K257" s="2" t="s">
        <v>326</v>
      </c>
      <c r="L257" s="2" t="s">
        <v>327</v>
      </c>
      <c r="M257" t="s">
        <v>328</v>
      </c>
      <c r="N257" t="s">
        <v>329</v>
      </c>
      <c r="O257" t="s">
        <v>143</v>
      </c>
      <c r="P257" t="s">
        <v>27</v>
      </c>
      <c r="Q257" t="s">
        <v>43</v>
      </c>
      <c r="R257" t="s">
        <v>28</v>
      </c>
      <c r="S257" t="s">
        <v>43</v>
      </c>
      <c r="T257" t="s">
        <v>28</v>
      </c>
      <c r="U257" t="s">
        <v>28</v>
      </c>
      <c r="V257" t="s">
        <v>28</v>
      </c>
      <c r="W257" s="16" t="s">
        <v>5629</v>
      </c>
      <c r="X257" t="s">
        <v>5624</v>
      </c>
      <c r="AZ257" s="20" t="s">
        <v>5699</v>
      </c>
    </row>
    <row r="258" spans="1:52" x14ac:dyDescent="0.55000000000000004">
      <c r="A258" t="s">
        <v>330</v>
      </c>
      <c r="B258" t="s">
        <v>331</v>
      </c>
      <c r="C258">
        <v>2021</v>
      </c>
      <c r="D258" t="s">
        <v>332</v>
      </c>
      <c r="E258">
        <v>131</v>
      </c>
      <c r="G258">
        <v>108209</v>
      </c>
      <c r="K258" s="2" t="s">
        <v>333</v>
      </c>
      <c r="L258" s="2" t="s">
        <v>334</v>
      </c>
      <c r="M258" t="s">
        <v>335</v>
      </c>
      <c r="N258" t="s">
        <v>336</v>
      </c>
      <c r="O258" t="s">
        <v>26</v>
      </c>
      <c r="P258" t="s">
        <v>27</v>
      </c>
      <c r="Q258" t="s">
        <v>28</v>
      </c>
      <c r="R258" t="s">
        <v>28</v>
      </c>
      <c r="S258" t="s">
        <v>28</v>
      </c>
      <c r="T258" t="s">
        <v>28</v>
      </c>
      <c r="U258" t="s">
        <v>28</v>
      </c>
      <c r="V258" t="s">
        <v>28</v>
      </c>
      <c r="W258" s="16" t="s">
        <v>5629</v>
      </c>
      <c r="X258" t="s">
        <v>5624</v>
      </c>
    </row>
    <row r="259" spans="1:52" x14ac:dyDescent="0.55000000000000004">
      <c r="A259" t="s">
        <v>343</v>
      </c>
      <c r="B259" t="s">
        <v>344</v>
      </c>
      <c r="C259">
        <v>2021</v>
      </c>
      <c r="D259" t="s">
        <v>53</v>
      </c>
      <c r="E259">
        <v>162</v>
      </c>
      <c r="G259">
        <v>108417</v>
      </c>
      <c r="K259" s="2" t="s">
        <v>345</v>
      </c>
      <c r="L259" s="2" t="s">
        <v>346</v>
      </c>
      <c r="M259" t="s">
        <v>347</v>
      </c>
      <c r="N259" t="s">
        <v>348</v>
      </c>
      <c r="O259" t="s">
        <v>26</v>
      </c>
      <c r="P259" t="s">
        <v>27</v>
      </c>
      <c r="Q259" t="s">
        <v>43</v>
      </c>
      <c r="R259" t="s">
        <v>28</v>
      </c>
      <c r="S259" t="s">
        <v>43</v>
      </c>
      <c r="T259" t="s">
        <v>28</v>
      </c>
      <c r="U259" t="s">
        <v>43</v>
      </c>
      <c r="V259" t="s">
        <v>28</v>
      </c>
      <c r="W259" s="16" t="s">
        <v>5629</v>
      </c>
      <c r="X259" t="s">
        <v>5624</v>
      </c>
    </row>
    <row r="260" spans="1:52" x14ac:dyDescent="0.55000000000000004">
      <c r="A260" t="s">
        <v>349</v>
      </c>
      <c r="B260" t="s">
        <v>350</v>
      </c>
      <c r="C260">
        <v>2021</v>
      </c>
      <c r="D260" t="s">
        <v>351</v>
      </c>
      <c r="E260">
        <v>36</v>
      </c>
      <c r="F260">
        <v>6</v>
      </c>
      <c r="H260">
        <v>910</v>
      </c>
      <c r="I260">
        <v>931</v>
      </c>
      <c r="K260" s="2" t="s">
        <v>352</v>
      </c>
      <c r="L260" s="2" t="s">
        <v>353</v>
      </c>
      <c r="M260" t="s">
        <v>354</v>
      </c>
      <c r="N260" t="s">
        <v>355</v>
      </c>
      <c r="O260" t="s">
        <v>26</v>
      </c>
      <c r="P260" t="s">
        <v>27</v>
      </c>
      <c r="Q260" t="s">
        <v>28</v>
      </c>
      <c r="R260" t="s">
        <v>28</v>
      </c>
      <c r="S260" t="s">
        <v>28</v>
      </c>
      <c r="T260" t="s">
        <v>28</v>
      </c>
      <c r="U260" t="s">
        <v>28</v>
      </c>
      <c r="V260" t="s">
        <v>28</v>
      </c>
      <c r="W260" s="16" t="s">
        <v>5629</v>
      </c>
      <c r="X260" t="s">
        <v>5624</v>
      </c>
    </row>
    <row r="261" spans="1:52" x14ac:dyDescent="0.55000000000000004">
      <c r="A261" t="s">
        <v>356</v>
      </c>
      <c r="B261" t="s">
        <v>357</v>
      </c>
      <c r="C261">
        <v>2021</v>
      </c>
      <c r="D261" t="s">
        <v>358</v>
      </c>
      <c r="E261">
        <v>134</v>
      </c>
      <c r="F261">
        <v>6</v>
      </c>
      <c r="H261">
        <v>1213</v>
      </c>
      <c r="I261">
        <v>1224</v>
      </c>
      <c r="K261" s="2" t="s">
        <v>359</v>
      </c>
      <c r="L261" s="2" t="s">
        <v>360</v>
      </c>
      <c r="M261" t="s">
        <v>361</v>
      </c>
      <c r="N261" t="s">
        <v>362</v>
      </c>
      <c r="O261" t="s">
        <v>26</v>
      </c>
      <c r="P261" t="s">
        <v>27</v>
      </c>
      <c r="Q261" t="s">
        <v>28</v>
      </c>
      <c r="R261" t="s">
        <v>28</v>
      </c>
      <c r="S261" t="s">
        <v>28</v>
      </c>
      <c r="T261" t="s">
        <v>28</v>
      </c>
      <c r="U261" t="s">
        <v>28</v>
      </c>
      <c r="V261" t="s">
        <v>28</v>
      </c>
      <c r="W261" s="16" t="s">
        <v>5629</v>
      </c>
      <c r="X261" t="s">
        <v>5624</v>
      </c>
    </row>
    <row r="262" spans="1:52" x14ac:dyDescent="0.55000000000000004">
      <c r="A262" t="s">
        <v>363</v>
      </c>
      <c r="B262" t="s">
        <v>364</v>
      </c>
      <c r="C262">
        <v>2021</v>
      </c>
      <c r="D262" t="s">
        <v>365</v>
      </c>
      <c r="E262">
        <v>12</v>
      </c>
      <c r="G262">
        <v>625697</v>
      </c>
      <c r="K262" s="2" t="s">
        <v>366</v>
      </c>
      <c r="L262" s="2" t="s">
        <v>367</v>
      </c>
      <c r="M262" t="s">
        <v>368</v>
      </c>
      <c r="N262" t="s">
        <v>369</v>
      </c>
      <c r="O262" t="s">
        <v>143</v>
      </c>
      <c r="P262" t="s">
        <v>27</v>
      </c>
      <c r="Q262" t="s">
        <v>28</v>
      </c>
      <c r="R262" t="s">
        <v>28</v>
      </c>
      <c r="S262" t="s">
        <v>28</v>
      </c>
      <c r="T262" t="s">
        <v>28</v>
      </c>
      <c r="U262" t="s">
        <v>28</v>
      </c>
      <c r="V262" t="s">
        <v>28</v>
      </c>
      <c r="W262" s="16" t="s">
        <v>5629</v>
      </c>
      <c r="X262" t="s">
        <v>5624</v>
      </c>
    </row>
    <row r="263" spans="1:52" x14ac:dyDescent="0.55000000000000004">
      <c r="A263" t="s">
        <v>370</v>
      </c>
      <c r="B263" t="s">
        <v>371</v>
      </c>
      <c r="C263">
        <v>2021</v>
      </c>
      <c r="D263" t="s">
        <v>372</v>
      </c>
      <c r="E263">
        <v>498</v>
      </c>
      <c r="G263">
        <v>119522</v>
      </c>
      <c r="K263" s="2" t="s">
        <v>373</v>
      </c>
      <c r="L263" s="2" t="s">
        <v>374</v>
      </c>
      <c r="M263" t="s">
        <v>375</v>
      </c>
      <c r="N263" t="s">
        <v>376</v>
      </c>
      <c r="O263" t="s">
        <v>143</v>
      </c>
      <c r="P263" t="s">
        <v>27</v>
      </c>
      <c r="Q263" t="s">
        <v>43</v>
      </c>
      <c r="R263" t="s">
        <v>28</v>
      </c>
      <c r="S263" t="s">
        <v>28</v>
      </c>
      <c r="T263" t="s">
        <v>28</v>
      </c>
      <c r="U263" t="s">
        <v>28</v>
      </c>
      <c r="V263" t="s">
        <v>43</v>
      </c>
      <c r="W263" s="16" t="s">
        <v>5629</v>
      </c>
      <c r="X263" t="s">
        <v>5624</v>
      </c>
    </row>
    <row r="264" spans="1:52" x14ac:dyDescent="0.55000000000000004">
      <c r="A264" t="s">
        <v>377</v>
      </c>
      <c r="B264" t="s">
        <v>378</v>
      </c>
      <c r="C264">
        <v>2021</v>
      </c>
      <c r="D264" t="s">
        <v>379</v>
      </c>
      <c r="E264">
        <v>48</v>
      </c>
      <c r="F264">
        <v>19</v>
      </c>
      <c r="G264" t="s">
        <v>380</v>
      </c>
      <c r="K264" s="2" t="s">
        <v>381</v>
      </c>
      <c r="L264" s="2" t="s">
        <v>382</v>
      </c>
      <c r="M264" t="s">
        <v>383</v>
      </c>
      <c r="N264" t="s">
        <v>384</v>
      </c>
      <c r="O264" t="s">
        <v>26</v>
      </c>
      <c r="P264" t="s">
        <v>27</v>
      </c>
      <c r="Q264" t="s">
        <v>43</v>
      </c>
      <c r="R264" t="s">
        <v>28</v>
      </c>
      <c r="S264" t="s">
        <v>28</v>
      </c>
      <c r="T264" t="s">
        <v>28</v>
      </c>
      <c r="U264" t="s">
        <v>28</v>
      </c>
      <c r="V264" t="s">
        <v>43</v>
      </c>
      <c r="W264" s="16" t="s">
        <v>5629</v>
      </c>
      <c r="X264" t="s">
        <v>5624</v>
      </c>
      <c r="AX264" t="s">
        <v>4511</v>
      </c>
    </row>
    <row r="265" spans="1:52" x14ac:dyDescent="0.55000000000000004">
      <c r="A265" t="s">
        <v>385</v>
      </c>
      <c r="B265" t="s">
        <v>386</v>
      </c>
      <c r="C265">
        <v>2021</v>
      </c>
      <c r="D265" t="s">
        <v>387</v>
      </c>
      <c r="E265">
        <v>134</v>
      </c>
      <c r="H265">
        <v>187</v>
      </c>
      <c r="I265">
        <v>196</v>
      </c>
      <c r="K265" s="2" t="s">
        <v>388</v>
      </c>
      <c r="L265" s="2" t="s">
        <v>389</v>
      </c>
      <c r="M265" t="s">
        <v>390</v>
      </c>
      <c r="N265" t="s">
        <v>391</v>
      </c>
      <c r="O265" t="s">
        <v>26</v>
      </c>
      <c r="P265" t="s">
        <v>27</v>
      </c>
      <c r="Q265" t="s">
        <v>28</v>
      </c>
      <c r="R265" t="s">
        <v>28</v>
      </c>
      <c r="S265" t="s">
        <v>28</v>
      </c>
      <c r="T265" t="s">
        <v>28</v>
      </c>
      <c r="U265" t="s">
        <v>28</v>
      </c>
      <c r="V265" t="s">
        <v>28</v>
      </c>
      <c r="W265" s="16" t="s">
        <v>5629</v>
      </c>
      <c r="X265" t="s">
        <v>5624</v>
      </c>
    </row>
    <row r="266" spans="1:52" x14ac:dyDescent="0.55000000000000004">
      <c r="A266" t="s">
        <v>392</v>
      </c>
      <c r="B266" t="s">
        <v>393</v>
      </c>
      <c r="C266">
        <v>2021</v>
      </c>
      <c r="D266" t="s">
        <v>394</v>
      </c>
      <c r="E266">
        <v>108</v>
      </c>
      <c r="F266">
        <v>1</v>
      </c>
      <c r="H266">
        <v>183</v>
      </c>
      <c r="I266">
        <v>196</v>
      </c>
      <c r="K266" s="2" t="s">
        <v>395</v>
      </c>
      <c r="L266" s="2" t="s">
        <v>396</v>
      </c>
      <c r="M266" t="s">
        <v>397</v>
      </c>
      <c r="N266" t="s">
        <v>398</v>
      </c>
      <c r="O266" t="s">
        <v>26</v>
      </c>
      <c r="P266" t="s">
        <v>27</v>
      </c>
      <c r="Q266" t="s">
        <v>28</v>
      </c>
      <c r="R266" t="s">
        <v>28</v>
      </c>
      <c r="S266" t="s">
        <v>28</v>
      </c>
      <c r="T266" t="s">
        <v>28</v>
      </c>
      <c r="U266" t="s">
        <v>28</v>
      </c>
      <c r="V266" t="s">
        <v>28</v>
      </c>
      <c r="W266" s="16" t="s">
        <v>5629</v>
      </c>
      <c r="X266" t="s">
        <v>5624</v>
      </c>
    </row>
    <row r="267" spans="1:52" x14ac:dyDescent="0.55000000000000004">
      <c r="A267" t="s">
        <v>399</v>
      </c>
      <c r="B267" t="s">
        <v>400</v>
      </c>
      <c r="C267">
        <v>2021</v>
      </c>
      <c r="D267" t="s">
        <v>68</v>
      </c>
      <c r="E267">
        <v>232</v>
      </c>
      <c r="F267">
        <v>2</v>
      </c>
      <c r="H267">
        <v>551</v>
      </c>
      <c r="I267">
        <v>566</v>
      </c>
      <c r="K267" s="2" t="s">
        <v>401</v>
      </c>
      <c r="L267" s="2" t="s">
        <v>402</v>
      </c>
      <c r="M267" t="s">
        <v>403</v>
      </c>
      <c r="N267" t="s">
        <v>404</v>
      </c>
      <c r="O267" t="s">
        <v>26</v>
      </c>
      <c r="P267" t="s">
        <v>27</v>
      </c>
      <c r="Q267" t="s">
        <v>28</v>
      </c>
      <c r="R267" t="s">
        <v>28</v>
      </c>
      <c r="S267" t="s">
        <v>28</v>
      </c>
      <c r="T267" t="s">
        <v>28</v>
      </c>
      <c r="U267" t="s">
        <v>28</v>
      </c>
      <c r="V267" t="s">
        <v>28</v>
      </c>
      <c r="W267" s="16" t="s">
        <v>5629</v>
      </c>
      <c r="X267" t="s">
        <v>5624</v>
      </c>
    </row>
    <row r="268" spans="1:52" x14ac:dyDescent="0.55000000000000004">
      <c r="A268" t="s">
        <v>405</v>
      </c>
      <c r="B268" t="s">
        <v>406</v>
      </c>
      <c r="C268">
        <v>2021</v>
      </c>
      <c r="D268" t="s">
        <v>288</v>
      </c>
      <c r="E268">
        <v>109</v>
      </c>
      <c r="F268">
        <v>10</v>
      </c>
      <c r="H268">
        <v>3699</v>
      </c>
      <c r="I268">
        <v>3709</v>
      </c>
      <c r="K268" s="2" t="s">
        <v>407</v>
      </c>
      <c r="L268" s="2" t="s">
        <v>408</v>
      </c>
      <c r="M268" t="s">
        <v>409</v>
      </c>
      <c r="N268" t="s">
        <v>410</v>
      </c>
      <c r="O268" t="s">
        <v>26</v>
      </c>
      <c r="P268" t="s">
        <v>27</v>
      </c>
      <c r="Q268" t="s">
        <v>28</v>
      </c>
      <c r="R268" t="s">
        <v>28</v>
      </c>
      <c r="S268" t="s">
        <v>28</v>
      </c>
      <c r="T268" t="s">
        <v>28</v>
      </c>
      <c r="U268" t="s">
        <v>28</v>
      </c>
      <c r="V268" t="s">
        <v>28</v>
      </c>
      <c r="W268" s="16" t="s">
        <v>5629</v>
      </c>
      <c r="X268" t="s">
        <v>5624</v>
      </c>
    </row>
    <row r="269" spans="1:52" x14ac:dyDescent="0.55000000000000004">
      <c r="A269" t="s">
        <v>411</v>
      </c>
      <c r="B269" t="s">
        <v>412</v>
      </c>
      <c r="C269">
        <v>2021</v>
      </c>
      <c r="D269" t="s">
        <v>413</v>
      </c>
      <c r="E269">
        <v>35</v>
      </c>
      <c r="F269">
        <v>10</v>
      </c>
      <c r="H269">
        <v>2305</v>
      </c>
      <c r="I269">
        <v>2315</v>
      </c>
      <c r="K269" s="2" t="s">
        <v>414</v>
      </c>
      <c r="L269" s="2" t="s">
        <v>415</v>
      </c>
      <c r="M269" t="s">
        <v>416</v>
      </c>
      <c r="N269" t="s">
        <v>417</v>
      </c>
      <c r="O269" t="s">
        <v>26</v>
      </c>
      <c r="P269" t="s">
        <v>27</v>
      </c>
      <c r="Q269" t="s">
        <v>28</v>
      </c>
      <c r="R269" t="s">
        <v>28</v>
      </c>
      <c r="S269" t="s">
        <v>28</v>
      </c>
      <c r="T269" t="s">
        <v>28</v>
      </c>
      <c r="U269" t="s">
        <v>28</v>
      </c>
      <c r="V269" t="s">
        <v>28</v>
      </c>
      <c r="W269" s="16" t="s">
        <v>5629</v>
      </c>
      <c r="X269" t="s">
        <v>5624</v>
      </c>
    </row>
    <row r="270" spans="1:52" x14ac:dyDescent="0.55000000000000004">
      <c r="A270" t="s">
        <v>418</v>
      </c>
      <c r="B270" t="s">
        <v>419</v>
      </c>
      <c r="C270">
        <v>2021</v>
      </c>
      <c r="D270" t="s">
        <v>420</v>
      </c>
      <c r="E270">
        <v>156</v>
      </c>
      <c r="F270">
        <v>1</v>
      </c>
      <c r="H270">
        <v>131</v>
      </c>
      <c r="I270">
        <v>143</v>
      </c>
      <c r="K270" s="2" t="s">
        <v>421</v>
      </c>
      <c r="L270" s="2" t="s">
        <v>422</v>
      </c>
      <c r="M270" t="s">
        <v>423</v>
      </c>
      <c r="N270" t="s">
        <v>424</v>
      </c>
      <c r="O270" t="s">
        <v>26</v>
      </c>
      <c r="P270" t="s">
        <v>27</v>
      </c>
      <c r="Q270" t="s">
        <v>28</v>
      </c>
      <c r="R270" t="s">
        <v>28</v>
      </c>
      <c r="S270" t="s">
        <v>28</v>
      </c>
      <c r="T270" t="s">
        <v>28</v>
      </c>
      <c r="U270" t="s">
        <v>28</v>
      </c>
      <c r="V270" t="s">
        <v>28</v>
      </c>
      <c r="W270" s="16" t="s">
        <v>5629</v>
      </c>
      <c r="X270" t="s">
        <v>5624</v>
      </c>
    </row>
    <row r="271" spans="1:52" x14ac:dyDescent="0.55000000000000004">
      <c r="A271" t="s">
        <v>425</v>
      </c>
      <c r="B271" t="s">
        <v>426</v>
      </c>
      <c r="C271">
        <v>2021</v>
      </c>
      <c r="D271" t="s">
        <v>38</v>
      </c>
      <c r="E271">
        <v>787</v>
      </c>
      <c r="G271">
        <v>147444</v>
      </c>
      <c r="K271" s="2" t="s">
        <v>427</v>
      </c>
      <c r="L271" s="2" t="s">
        <v>428</v>
      </c>
      <c r="M271" t="s">
        <v>429</v>
      </c>
      <c r="N271" t="s">
        <v>430</v>
      </c>
      <c r="O271" t="s">
        <v>143</v>
      </c>
      <c r="P271" t="s">
        <v>27</v>
      </c>
      <c r="Q271" t="s">
        <v>28</v>
      </c>
      <c r="R271" t="s">
        <v>28</v>
      </c>
      <c r="S271" t="s">
        <v>28</v>
      </c>
      <c r="T271" t="s">
        <v>28</v>
      </c>
      <c r="U271" t="s">
        <v>28</v>
      </c>
      <c r="V271" t="s">
        <v>28</v>
      </c>
      <c r="W271" s="16" t="s">
        <v>5629</v>
      </c>
      <c r="X271" t="s">
        <v>5624</v>
      </c>
    </row>
    <row r="272" spans="1:52" x14ac:dyDescent="0.55000000000000004">
      <c r="A272" t="s">
        <v>431</v>
      </c>
      <c r="B272" t="s">
        <v>432</v>
      </c>
      <c r="C272">
        <v>2021</v>
      </c>
      <c r="D272" t="s">
        <v>433</v>
      </c>
      <c r="E272">
        <v>97</v>
      </c>
      <c r="F272">
        <v>9</v>
      </c>
      <c r="G272" t="s">
        <v>434</v>
      </c>
      <c r="K272" s="2" t="s">
        <v>435</v>
      </c>
      <c r="L272" s="2" t="s">
        <v>436</v>
      </c>
      <c r="M272" t="s">
        <v>437</v>
      </c>
      <c r="N272" t="s">
        <v>438</v>
      </c>
      <c r="O272" t="s">
        <v>26</v>
      </c>
      <c r="P272" t="s">
        <v>27</v>
      </c>
      <c r="Q272" t="s">
        <v>28</v>
      </c>
      <c r="R272" t="s">
        <v>28</v>
      </c>
      <c r="S272" t="s">
        <v>28</v>
      </c>
      <c r="T272" t="s">
        <v>28</v>
      </c>
      <c r="U272" t="s">
        <v>28</v>
      </c>
      <c r="V272" t="s">
        <v>28</v>
      </c>
      <c r="W272" s="16" t="s">
        <v>5629</v>
      </c>
      <c r="X272" t="s">
        <v>5624</v>
      </c>
    </row>
    <row r="273" spans="1:52" x14ac:dyDescent="0.55000000000000004">
      <c r="A273" t="s">
        <v>439</v>
      </c>
      <c r="B273" t="s">
        <v>440</v>
      </c>
      <c r="C273">
        <v>2021</v>
      </c>
      <c r="D273" t="s">
        <v>441</v>
      </c>
      <c r="E273">
        <v>3</v>
      </c>
      <c r="F273">
        <v>5</v>
      </c>
      <c r="H273">
        <v>445</v>
      </c>
      <c r="I273">
        <v>453</v>
      </c>
      <c r="K273" s="2" t="s">
        <v>442</v>
      </c>
      <c r="L273" s="2" t="s">
        <v>443</v>
      </c>
      <c r="M273" t="s">
        <v>444</v>
      </c>
      <c r="N273" t="s">
        <v>445</v>
      </c>
      <c r="O273" t="s">
        <v>170</v>
      </c>
      <c r="P273" t="s">
        <v>27</v>
      </c>
      <c r="Q273" t="s">
        <v>43</v>
      </c>
      <c r="R273" t="s">
        <v>28</v>
      </c>
      <c r="S273" t="s">
        <v>43</v>
      </c>
      <c r="T273" t="s">
        <v>28</v>
      </c>
      <c r="U273" t="s">
        <v>43</v>
      </c>
      <c r="V273" t="s">
        <v>28</v>
      </c>
      <c r="W273" s="16" t="s">
        <v>5629</v>
      </c>
      <c r="X273" t="s">
        <v>5624</v>
      </c>
    </row>
    <row r="274" spans="1:52" x14ac:dyDescent="0.55000000000000004">
      <c r="A274" t="s">
        <v>446</v>
      </c>
      <c r="B274" t="s">
        <v>447</v>
      </c>
      <c r="C274">
        <v>2021</v>
      </c>
      <c r="D274" t="s">
        <v>186</v>
      </c>
      <c r="E274">
        <v>466</v>
      </c>
      <c r="F274" s="4">
        <v>44563</v>
      </c>
      <c r="H274">
        <v>21</v>
      </c>
      <c r="I274">
        <v>63</v>
      </c>
      <c r="K274" s="2" t="s">
        <v>448</v>
      </c>
      <c r="L274" s="2" t="s">
        <v>449</v>
      </c>
      <c r="M274" t="s">
        <v>450</v>
      </c>
      <c r="N274" t="s">
        <v>451</v>
      </c>
      <c r="O274" t="s">
        <v>143</v>
      </c>
      <c r="P274" t="s">
        <v>27</v>
      </c>
      <c r="Q274" t="s">
        <v>28</v>
      </c>
      <c r="R274" t="s">
        <v>28</v>
      </c>
      <c r="S274" t="s">
        <v>28</v>
      </c>
      <c r="T274" t="s">
        <v>28</v>
      </c>
      <c r="U274" t="s">
        <v>28</v>
      </c>
      <c r="V274" t="s">
        <v>28</v>
      </c>
      <c r="W274" s="16" t="s">
        <v>5629</v>
      </c>
      <c r="X274" t="s">
        <v>5624</v>
      </c>
    </row>
    <row r="275" spans="1:52" x14ac:dyDescent="0.55000000000000004">
      <c r="A275" t="s">
        <v>464</v>
      </c>
      <c r="B275" t="s">
        <v>465</v>
      </c>
      <c r="C275">
        <v>2021</v>
      </c>
      <c r="D275" t="s">
        <v>466</v>
      </c>
      <c r="E275">
        <v>24</v>
      </c>
      <c r="F275">
        <v>7</v>
      </c>
      <c r="H275">
        <v>1341</v>
      </c>
      <c r="I275">
        <v>1351</v>
      </c>
      <c r="K275" s="2" t="s">
        <v>467</v>
      </c>
      <c r="L275" s="2" t="s">
        <v>468</v>
      </c>
      <c r="M275" t="s">
        <v>469</v>
      </c>
      <c r="N275" t="s">
        <v>470</v>
      </c>
      <c r="O275" t="s">
        <v>26</v>
      </c>
      <c r="P275" t="s">
        <v>27</v>
      </c>
      <c r="Q275" t="s">
        <v>43</v>
      </c>
      <c r="R275" t="s">
        <v>28</v>
      </c>
      <c r="S275" t="s">
        <v>43</v>
      </c>
      <c r="T275" t="s">
        <v>43</v>
      </c>
      <c r="U275" t="s">
        <v>43</v>
      </c>
      <c r="V275" t="s">
        <v>28</v>
      </c>
      <c r="W275" s="16" t="s">
        <v>5629</v>
      </c>
      <c r="X275" t="s">
        <v>5624</v>
      </c>
    </row>
    <row r="276" spans="1:52" x14ac:dyDescent="0.55000000000000004">
      <c r="A276" t="s">
        <v>471</v>
      </c>
      <c r="B276" t="s">
        <v>472</v>
      </c>
      <c r="C276">
        <v>2021</v>
      </c>
      <c r="D276" t="s">
        <v>473</v>
      </c>
      <c r="E276">
        <v>32</v>
      </c>
      <c r="F276">
        <v>6</v>
      </c>
      <c r="H276">
        <v>1919</v>
      </c>
      <c r="I276">
        <v>1927</v>
      </c>
      <c r="K276" s="2" t="s">
        <v>474</v>
      </c>
      <c r="L276" s="2" t="s">
        <v>475</v>
      </c>
      <c r="M276" t="s">
        <v>476</v>
      </c>
      <c r="N276" t="s">
        <v>477</v>
      </c>
      <c r="O276" t="s">
        <v>26</v>
      </c>
      <c r="P276" t="s">
        <v>27</v>
      </c>
      <c r="Q276" t="s">
        <v>28</v>
      </c>
      <c r="R276" t="s">
        <v>28</v>
      </c>
      <c r="S276" t="s">
        <v>28</v>
      </c>
      <c r="T276" t="s">
        <v>28</v>
      </c>
      <c r="U276" t="s">
        <v>28</v>
      </c>
      <c r="V276" t="s">
        <v>28</v>
      </c>
      <c r="W276" s="16" t="s">
        <v>5629</v>
      </c>
      <c r="X276" t="s">
        <v>5624</v>
      </c>
    </row>
    <row r="277" spans="1:52" x14ac:dyDescent="0.55000000000000004">
      <c r="A277" t="s">
        <v>478</v>
      </c>
      <c r="B277" t="s">
        <v>479</v>
      </c>
      <c r="C277">
        <v>2021</v>
      </c>
      <c r="D277" t="s">
        <v>433</v>
      </c>
      <c r="E277">
        <v>97</v>
      </c>
      <c r="F277">
        <v>6</v>
      </c>
      <c r="G277">
        <v>66</v>
      </c>
      <c r="K277" s="2" t="s">
        <v>480</v>
      </c>
      <c r="L277" s="2" t="s">
        <v>481</v>
      </c>
      <c r="M277" t="s">
        <v>482</v>
      </c>
      <c r="N277" t="s">
        <v>483</v>
      </c>
      <c r="O277" t="s">
        <v>26</v>
      </c>
      <c r="P277" t="s">
        <v>27</v>
      </c>
      <c r="Q277" t="s">
        <v>28</v>
      </c>
      <c r="R277" t="s">
        <v>28</v>
      </c>
      <c r="S277" t="s">
        <v>28</v>
      </c>
      <c r="T277" t="s">
        <v>28</v>
      </c>
      <c r="U277" t="s">
        <v>28</v>
      </c>
      <c r="V277" t="s">
        <v>28</v>
      </c>
      <c r="W277" s="16" t="s">
        <v>5629</v>
      </c>
      <c r="X277" t="s">
        <v>5624</v>
      </c>
    </row>
    <row r="278" spans="1:52" x14ac:dyDescent="0.55000000000000004">
      <c r="A278" t="s">
        <v>484</v>
      </c>
      <c r="B278" t="s">
        <v>485</v>
      </c>
      <c r="C278">
        <v>2021</v>
      </c>
      <c r="D278" t="s">
        <v>186</v>
      </c>
      <c r="E278">
        <v>463</v>
      </c>
      <c r="F278" s="4">
        <v>44563</v>
      </c>
      <c r="H278">
        <v>643</v>
      </c>
      <c r="I278">
        <v>651</v>
      </c>
      <c r="K278" s="2" t="s">
        <v>486</v>
      </c>
      <c r="L278" s="2" t="s">
        <v>487</v>
      </c>
      <c r="M278" t="s">
        <v>488</v>
      </c>
      <c r="N278" t="s">
        <v>489</v>
      </c>
      <c r="O278" t="s">
        <v>26</v>
      </c>
      <c r="P278" t="s">
        <v>27</v>
      </c>
      <c r="Q278" t="s">
        <v>43</v>
      </c>
      <c r="R278" t="s">
        <v>28</v>
      </c>
      <c r="S278" t="s">
        <v>28</v>
      </c>
      <c r="T278" t="s">
        <v>43</v>
      </c>
      <c r="U278" t="s">
        <v>43</v>
      </c>
      <c r="V278" t="s">
        <v>43</v>
      </c>
      <c r="W278" s="16" t="s">
        <v>5629</v>
      </c>
      <c r="X278" t="s">
        <v>5624</v>
      </c>
      <c r="AZ278" s="20" t="s">
        <v>5693</v>
      </c>
    </row>
    <row r="279" spans="1:52" x14ac:dyDescent="0.55000000000000004">
      <c r="A279" t="s">
        <v>497</v>
      </c>
      <c r="B279" t="s">
        <v>498</v>
      </c>
      <c r="C279">
        <v>2021</v>
      </c>
      <c r="D279" t="s">
        <v>379</v>
      </c>
      <c r="E279">
        <v>48</v>
      </c>
      <c r="F279">
        <v>10</v>
      </c>
      <c r="G279" t="s">
        <v>499</v>
      </c>
      <c r="K279" s="2" t="s">
        <v>500</v>
      </c>
      <c r="L279" s="2" t="s">
        <v>501</v>
      </c>
      <c r="M279" t="s">
        <v>502</v>
      </c>
      <c r="N279" t="s">
        <v>503</v>
      </c>
      <c r="O279" t="s">
        <v>26</v>
      </c>
      <c r="P279" t="s">
        <v>27</v>
      </c>
      <c r="Q279" t="s">
        <v>43</v>
      </c>
      <c r="R279" t="s">
        <v>28</v>
      </c>
      <c r="S279" t="s">
        <v>28</v>
      </c>
      <c r="T279" t="s">
        <v>28</v>
      </c>
      <c r="U279" t="s">
        <v>28</v>
      </c>
      <c r="V279" t="s">
        <v>43</v>
      </c>
      <c r="W279" s="16" t="s">
        <v>5629</v>
      </c>
      <c r="X279" t="s">
        <v>5624</v>
      </c>
    </row>
    <row r="280" spans="1:52" x14ac:dyDescent="0.55000000000000004">
      <c r="A280" t="s">
        <v>504</v>
      </c>
      <c r="B280" t="s">
        <v>505</v>
      </c>
      <c r="C280">
        <v>2021</v>
      </c>
      <c r="D280" t="s">
        <v>506</v>
      </c>
      <c r="E280">
        <v>286</v>
      </c>
      <c r="G280">
        <v>112272</v>
      </c>
      <c r="K280" s="2" t="s">
        <v>507</v>
      </c>
      <c r="L280" s="2" t="s">
        <v>508</v>
      </c>
      <c r="M280" t="s">
        <v>509</v>
      </c>
      <c r="N280" t="s">
        <v>510</v>
      </c>
      <c r="O280" t="s">
        <v>26</v>
      </c>
      <c r="P280" t="s">
        <v>27</v>
      </c>
      <c r="Q280" t="s">
        <v>28</v>
      </c>
      <c r="R280" t="s">
        <v>28</v>
      </c>
      <c r="S280" t="s">
        <v>28</v>
      </c>
      <c r="T280" t="s">
        <v>28</v>
      </c>
      <c r="U280" t="s">
        <v>28</v>
      </c>
      <c r="V280" t="s">
        <v>28</v>
      </c>
      <c r="W280" s="16" t="s">
        <v>5629</v>
      </c>
      <c r="X280" t="s">
        <v>5624</v>
      </c>
    </row>
    <row r="281" spans="1:52" x14ac:dyDescent="0.55000000000000004">
      <c r="A281" t="s">
        <v>511</v>
      </c>
      <c r="B281" t="s">
        <v>512</v>
      </c>
      <c r="C281">
        <v>2021</v>
      </c>
      <c r="D281" t="s">
        <v>513</v>
      </c>
      <c r="E281">
        <v>31</v>
      </c>
      <c r="F281">
        <v>3</v>
      </c>
      <c r="H281">
        <v>301</v>
      </c>
      <c r="I281">
        <v>312</v>
      </c>
      <c r="K281" s="2" t="s">
        <v>514</v>
      </c>
      <c r="L281" s="2" t="s">
        <v>515</v>
      </c>
      <c r="M281" t="s">
        <v>516</v>
      </c>
      <c r="N281" t="s">
        <v>517</v>
      </c>
      <c r="O281" t="s">
        <v>26</v>
      </c>
      <c r="P281" t="s">
        <v>27</v>
      </c>
      <c r="Q281" t="s">
        <v>28</v>
      </c>
      <c r="R281" t="s">
        <v>28</v>
      </c>
      <c r="S281" t="s">
        <v>28</v>
      </c>
      <c r="T281" t="s">
        <v>28</v>
      </c>
      <c r="U281" t="s">
        <v>28</v>
      </c>
      <c r="V281" t="s">
        <v>28</v>
      </c>
      <c r="W281" s="16" t="s">
        <v>5629</v>
      </c>
      <c r="X281" t="s">
        <v>5624</v>
      </c>
    </row>
    <row r="282" spans="1:52" x14ac:dyDescent="0.55000000000000004">
      <c r="A282" t="s">
        <v>524</v>
      </c>
      <c r="B282" t="s">
        <v>525</v>
      </c>
      <c r="C282">
        <v>2021</v>
      </c>
      <c r="D282" t="s">
        <v>220</v>
      </c>
      <c r="E282">
        <v>72</v>
      </c>
      <c r="F282">
        <v>3</v>
      </c>
      <c r="H282">
        <v>1101</v>
      </c>
      <c r="I282">
        <v>1112</v>
      </c>
      <c r="K282" s="2" t="s">
        <v>526</v>
      </c>
      <c r="L282" s="2" t="s">
        <v>527</v>
      </c>
      <c r="M282" t="s">
        <v>528</v>
      </c>
      <c r="N282" t="s">
        <v>529</v>
      </c>
      <c r="O282" t="s">
        <v>26</v>
      </c>
      <c r="P282" t="s">
        <v>27</v>
      </c>
      <c r="Q282" t="s">
        <v>43</v>
      </c>
      <c r="R282" t="s">
        <v>28</v>
      </c>
      <c r="S282" t="s">
        <v>43</v>
      </c>
      <c r="T282" t="s">
        <v>28</v>
      </c>
      <c r="U282" t="s">
        <v>28</v>
      </c>
      <c r="V282" t="s">
        <v>28</v>
      </c>
      <c r="W282" s="16" t="s">
        <v>5629</v>
      </c>
      <c r="X282" t="s">
        <v>5624</v>
      </c>
    </row>
    <row r="283" spans="1:52" x14ac:dyDescent="0.55000000000000004">
      <c r="A283" t="s">
        <v>530</v>
      </c>
      <c r="B283" t="s">
        <v>531</v>
      </c>
      <c r="C283">
        <v>2021</v>
      </c>
      <c r="D283" t="s">
        <v>532</v>
      </c>
      <c r="E283">
        <v>127</v>
      </c>
      <c r="F283">
        <v>5</v>
      </c>
      <c r="H283">
        <v>645</v>
      </c>
      <c r="I283">
        <v>653</v>
      </c>
      <c r="K283" s="2" t="s">
        <v>533</v>
      </c>
      <c r="L283" s="2" t="s">
        <v>534</v>
      </c>
      <c r="M283" t="s">
        <v>535</v>
      </c>
      <c r="N283" t="s">
        <v>536</v>
      </c>
      <c r="O283" t="s">
        <v>26</v>
      </c>
      <c r="P283" t="s">
        <v>27</v>
      </c>
      <c r="Q283" t="s">
        <v>43</v>
      </c>
      <c r="R283" t="s">
        <v>28</v>
      </c>
      <c r="S283" t="s">
        <v>28</v>
      </c>
      <c r="T283" t="s">
        <v>43</v>
      </c>
      <c r="U283" t="s">
        <v>28</v>
      </c>
      <c r="V283" t="s">
        <v>28</v>
      </c>
      <c r="W283" s="16" t="s">
        <v>5629</v>
      </c>
      <c r="X283" t="s">
        <v>5624</v>
      </c>
    </row>
    <row r="284" spans="1:52" x14ac:dyDescent="0.55000000000000004">
      <c r="A284" t="s">
        <v>537</v>
      </c>
      <c r="B284" t="s">
        <v>538</v>
      </c>
      <c r="C284">
        <v>2021</v>
      </c>
      <c r="D284" t="s">
        <v>539</v>
      </c>
      <c r="E284">
        <v>2</v>
      </c>
      <c r="F284">
        <v>2</v>
      </c>
      <c r="G284" t="s">
        <v>540</v>
      </c>
      <c r="K284" s="2" t="s">
        <v>541</v>
      </c>
      <c r="L284" s="2" t="s">
        <v>542</v>
      </c>
      <c r="M284" t="s">
        <v>543</v>
      </c>
      <c r="N284" t="s">
        <v>544</v>
      </c>
      <c r="O284" t="s">
        <v>26</v>
      </c>
      <c r="P284" t="s">
        <v>27</v>
      </c>
      <c r="Q284" t="s">
        <v>28</v>
      </c>
      <c r="R284" t="s">
        <v>28</v>
      </c>
      <c r="S284" t="s">
        <v>28</v>
      </c>
      <c r="T284" t="s">
        <v>28</v>
      </c>
      <c r="U284" t="s">
        <v>28</v>
      </c>
      <c r="V284" t="s">
        <v>28</v>
      </c>
      <c r="W284" s="16" t="s">
        <v>5629</v>
      </c>
      <c r="X284" t="s">
        <v>5624</v>
      </c>
    </row>
    <row r="285" spans="1:52" x14ac:dyDescent="0.55000000000000004">
      <c r="A285" t="s">
        <v>545</v>
      </c>
      <c r="B285" t="s">
        <v>546</v>
      </c>
      <c r="C285">
        <v>2021</v>
      </c>
      <c r="D285" t="s">
        <v>186</v>
      </c>
      <c r="E285">
        <v>461</v>
      </c>
      <c r="F285" s="4">
        <v>44563</v>
      </c>
      <c r="H285">
        <v>591</v>
      </c>
      <c r="I285">
        <v>602</v>
      </c>
      <c r="K285" s="2" t="s">
        <v>547</v>
      </c>
      <c r="L285" s="2" t="s">
        <v>548</v>
      </c>
      <c r="M285" t="s">
        <v>549</v>
      </c>
      <c r="N285" t="s">
        <v>550</v>
      </c>
      <c r="O285" t="s">
        <v>26</v>
      </c>
      <c r="P285" t="s">
        <v>27</v>
      </c>
      <c r="Q285" t="s">
        <v>28</v>
      </c>
      <c r="R285" t="s">
        <v>28</v>
      </c>
      <c r="S285" t="s">
        <v>28</v>
      </c>
      <c r="T285" t="s">
        <v>28</v>
      </c>
      <c r="U285" t="s">
        <v>28</v>
      </c>
      <c r="V285" t="s">
        <v>28</v>
      </c>
      <c r="W285" s="16" t="s">
        <v>5629</v>
      </c>
      <c r="X285" t="s">
        <v>5624</v>
      </c>
    </row>
    <row r="286" spans="1:52" x14ac:dyDescent="0.55000000000000004">
      <c r="A286" t="s">
        <v>551</v>
      </c>
      <c r="B286" t="s">
        <v>552</v>
      </c>
      <c r="C286">
        <v>2021</v>
      </c>
      <c r="D286" t="s">
        <v>38</v>
      </c>
      <c r="E286">
        <v>762</v>
      </c>
      <c r="G286">
        <v>143996</v>
      </c>
      <c r="K286" s="2" t="s">
        <v>553</v>
      </c>
      <c r="L286" s="2" t="s">
        <v>554</v>
      </c>
      <c r="M286" t="s">
        <v>555</v>
      </c>
      <c r="N286" t="s">
        <v>556</v>
      </c>
      <c r="O286" t="s">
        <v>26</v>
      </c>
      <c r="P286" t="s">
        <v>27</v>
      </c>
      <c r="Q286" t="s">
        <v>28</v>
      </c>
      <c r="R286" t="s">
        <v>28</v>
      </c>
      <c r="S286" t="s">
        <v>28</v>
      </c>
      <c r="T286" t="s">
        <v>28</v>
      </c>
      <c r="U286" t="s">
        <v>28</v>
      </c>
      <c r="V286" t="s">
        <v>28</v>
      </c>
      <c r="W286" s="16" t="s">
        <v>5629</v>
      </c>
      <c r="X286" t="s">
        <v>5624</v>
      </c>
    </row>
    <row r="287" spans="1:52" x14ac:dyDescent="0.55000000000000004">
      <c r="A287" t="s">
        <v>557</v>
      </c>
      <c r="B287" t="s">
        <v>558</v>
      </c>
      <c r="C287">
        <v>2021</v>
      </c>
      <c r="D287" t="s">
        <v>38</v>
      </c>
      <c r="E287">
        <v>761</v>
      </c>
      <c r="G287">
        <v>143945</v>
      </c>
      <c r="K287" s="2" t="s">
        <v>559</v>
      </c>
      <c r="L287" s="2" t="s">
        <v>560</v>
      </c>
      <c r="M287" t="s">
        <v>561</v>
      </c>
      <c r="N287" t="s">
        <v>562</v>
      </c>
      <c r="O287" t="s">
        <v>26</v>
      </c>
      <c r="P287" t="s">
        <v>27</v>
      </c>
      <c r="Q287" t="s">
        <v>28</v>
      </c>
      <c r="R287" t="s">
        <v>28</v>
      </c>
      <c r="S287" t="s">
        <v>28</v>
      </c>
      <c r="T287" t="s">
        <v>28</v>
      </c>
      <c r="U287" t="s">
        <v>43</v>
      </c>
      <c r="V287" t="s">
        <v>28</v>
      </c>
      <c r="W287" s="16" t="s">
        <v>5629</v>
      </c>
      <c r="X287" t="s">
        <v>5624</v>
      </c>
    </row>
    <row r="288" spans="1:52" x14ac:dyDescent="0.55000000000000004">
      <c r="A288" t="s">
        <v>563</v>
      </c>
      <c r="B288" t="s">
        <v>564</v>
      </c>
      <c r="C288">
        <v>2021</v>
      </c>
      <c r="D288" t="s">
        <v>565</v>
      </c>
      <c r="E288">
        <v>6</v>
      </c>
      <c r="F288">
        <v>8</v>
      </c>
      <c r="H288">
        <v>5730</v>
      </c>
      <c r="I288">
        <v>5738</v>
      </c>
      <c r="K288" s="2" t="s">
        <v>566</v>
      </c>
      <c r="L288" s="2" t="s">
        <v>567</v>
      </c>
      <c r="M288" t="s">
        <v>568</v>
      </c>
      <c r="O288" t="s">
        <v>26</v>
      </c>
      <c r="P288" t="s">
        <v>27</v>
      </c>
      <c r="Q288" t="s">
        <v>28</v>
      </c>
      <c r="R288" t="s">
        <v>28</v>
      </c>
      <c r="S288" t="s">
        <v>28</v>
      </c>
      <c r="T288" t="s">
        <v>28</v>
      </c>
      <c r="U288" t="s">
        <v>28</v>
      </c>
      <c r="V288" t="s">
        <v>28</v>
      </c>
      <c r="W288" s="16" t="s">
        <v>5629</v>
      </c>
      <c r="X288" t="s">
        <v>5624</v>
      </c>
    </row>
    <row r="289" spans="1:24" x14ac:dyDescent="0.55000000000000004">
      <c r="A289" t="s">
        <v>569</v>
      </c>
      <c r="B289" t="s">
        <v>570</v>
      </c>
      <c r="C289">
        <v>2021</v>
      </c>
      <c r="D289" t="s">
        <v>571</v>
      </c>
      <c r="E289">
        <v>12</v>
      </c>
      <c r="F289">
        <v>3</v>
      </c>
      <c r="G289" t="s">
        <v>572</v>
      </c>
      <c r="K289" s="2" t="s">
        <v>573</v>
      </c>
      <c r="L289" s="2" t="s">
        <v>574</v>
      </c>
      <c r="M289" t="s">
        <v>575</v>
      </c>
      <c r="N289" t="s">
        <v>576</v>
      </c>
      <c r="O289" t="s">
        <v>26</v>
      </c>
      <c r="P289" t="s">
        <v>27</v>
      </c>
      <c r="Q289" t="s">
        <v>28</v>
      </c>
      <c r="R289" t="s">
        <v>28</v>
      </c>
      <c r="S289" t="s">
        <v>28</v>
      </c>
      <c r="T289" t="s">
        <v>28</v>
      </c>
      <c r="U289" t="s">
        <v>28</v>
      </c>
      <c r="V289" t="s">
        <v>28</v>
      </c>
      <c r="W289" s="16" t="s">
        <v>5629</v>
      </c>
      <c r="X289" t="s">
        <v>5624</v>
      </c>
    </row>
    <row r="290" spans="1:24" x14ac:dyDescent="0.55000000000000004">
      <c r="A290" t="s">
        <v>577</v>
      </c>
      <c r="B290" t="s">
        <v>578</v>
      </c>
      <c r="C290">
        <v>2021</v>
      </c>
      <c r="D290" t="s">
        <v>579</v>
      </c>
      <c r="E290">
        <v>21</v>
      </c>
      <c r="F290">
        <v>1</v>
      </c>
      <c r="H290">
        <v>733</v>
      </c>
      <c r="I290">
        <v>743</v>
      </c>
      <c r="K290" s="2" t="s">
        <v>580</v>
      </c>
      <c r="L290" s="2" t="s">
        <v>581</v>
      </c>
      <c r="M290" t="s">
        <v>582</v>
      </c>
      <c r="N290" t="s">
        <v>583</v>
      </c>
      <c r="O290" t="s">
        <v>26</v>
      </c>
      <c r="P290" t="s">
        <v>27</v>
      </c>
      <c r="Q290" t="s">
        <v>43</v>
      </c>
      <c r="R290" t="s">
        <v>28</v>
      </c>
      <c r="S290" t="s">
        <v>43</v>
      </c>
      <c r="T290" t="s">
        <v>28</v>
      </c>
      <c r="U290" t="s">
        <v>28</v>
      </c>
      <c r="V290" t="s">
        <v>28</v>
      </c>
      <c r="W290" s="16" t="s">
        <v>5629</v>
      </c>
      <c r="X290" t="s">
        <v>5624</v>
      </c>
    </row>
    <row r="291" spans="1:24" x14ac:dyDescent="0.55000000000000004">
      <c r="A291" t="s">
        <v>584</v>
      </c>
      <c r="B291" t="s">
        <v>585</v>
      </c>
      <c r="C291">
        <v>2021</v>
      </c>
      <c r="D291" t="s">
        <v>220</v>
      </c>
      <c r="E291">
        <v>72</v>
      </c>
      <c r="F291">
        <v>2</v>
      </c>
      <c r="H291">
        <v>863</v>
      </c>
      <c r="I291">
        <v>870</v>
      </c>
      <c r="K291" s="2" t="s">
        <v>586</v>
      </c>
      <c r="L291" s="2" t="s">
        <v>587</v>
      </c>
      <c r="M291" t="s">
        <v>588</v>
      </c>
      <c r="N291" t="s">
        <v>589</v>
      </c>
      <c r="O291" t="s">
        <v>26</v>
      </c>
      <c r="P291" t="s">
        <v>27</v>
      </c>
      <c r="Q291" t="s">
        <v>43</v>
      </c>
      <c r="R291" t="s">
        <v>28</v>
      </c>
      <c r="S291" t="s">
        <v>43</v>
      </c>
      <c r="T291" t="s">
        <v>28</v>
      </c>
      <c r="U291" t="s">
        <v>43</v>
      </c>
      <c r="V291" t="s">
        <v>28</v>
      </c>
      <c r="W291" s="16" t="s">
        <v>5629</v>
      </c>
      <c r="X291" t="s">
        <v>5624</v>
      </c>
    </row>
    <row r="292" spans="1:24" x14ac:dyDescent="0.55000000000000004">
      <c r="A292" t="s">
        <v>590</v>
      </c>
      <c r="B292" t="s">
        <v>591</v>
      </c>
      <c r="C292">
        <v>2021</v>
      </c>
      <c r="D292" t="s">
        <v>592</v>
      </c>
      <c r="E292">
        <v>83</v>
      </c>
      <c r="F292">
        <v>2</v>
      </c>
      <c r="H292">
        <v>143</v>
      </c>
      <c r="I292">
        <v>152</v>
      </c>
      <c r="K292" s="2" t="s">
        <v>593</v>
      </c>
      <c r="L292" s="2" t="s">
        <v>594</v>
      </c>
      <c r="M292" t="s">
        <v>595</v>
      </c>
      <c r="N292" t="s">
        <v>596</v>
      </c>
      <c r="O292" t="s">
        <v>143</v>
      </c>
      <c r="P292" t="s">
        <v>27</v>
      </c>
      <c r="Q292" t="s">
        <v>43</v>
      </c>
      <c r="R292" t="s">
        <v>28</v>
      </c>
      <c r="S292" t="s">
        <v>28</v>
      </c>
      <c r="T292" t="s">
        <v>28</v>
      </c>
      <c r="U292" t="s">
        <v>43</v>
      </c>
      <c r="V292" t="s">
        <v>43</v>
      </c>
      <c r="W292" s="16" t="s">
        <v>5629</v>
      </c>
      <c r="X292" t="s">
        <v>5624</v>
      </c>
    </row>
    <row r="293" spans="1:24" x14ac:dyDescent="0.55000000000000004">
      <c r="A293" t="s">
        <v>597</v>
      </c>
      <c r="B293" t="s">
        <v>598</v>
      </c>
      <c r="C293">
        <v>2021</v>
      </c>
      <c r="D293" t="s">
        <v>513</v>
      </c>
      <c r="E293">
        <v>31</v>
      </c>
      <c r="F293">
        <v>2</v>
      </c>
      <c r="H293">
        <v>243</v>
      </c>
      <c r="I293">
        <v>250</v>
      </c>
      <c r="K293" s="2" t="s">
        <v>599</v>
      </c>
      <c r="L293" s="2" t="s">
        <v>600</v>
      </c>
      <c r="M293" t="s">
        <v>601</v>
      </c>
      <c r="N293" t="s">
        <v>602</v>
      </c>
      <c r="O293" t="s">
        <v>26</v>
      </c>
      <c r="P293" t="s">
        <v>27</v>
      </c>
      <c r="Q293" t="s">
        <v>28</v>
      </c>
      <c r="R293" t="s">
        <v>28</v>
      </c>
      <c r="S293" t="s">
        <v>28</v>
      </c>
      <c r="T293" t="s">
        <v>28</v>
      </c>
      <c r="U293" t="s">
        <v>28</v>
      </c>
      <c r="V293" t="s">
        <v>28</v>
      </c>
      <c r="W293" s="16" t="s">
        <v>5629</v>
      </c>
      <c r="X293" t="s">
        <v>5624</v>
      </c>
    </row>
    <row r="294" spans="1:24" x14ac:dyDescent="0.55000000000000004">
      <c r="A294" t="s">
        <v>603</v>
      </c>
      <c r="B294" t="s">
        <v>604</v>
      </c>
      <c r="C294">
        <v>2021</v>
      </c>
      <c r="D294" t="s">
        <v>506</v>
      </c>
      <c r="E294">
        <v>280</v>
      </c>
      <c r="G294">
        <v>111736</v>
      </c>
      <c r="K294" s="2" t="s">
        <v>605</v>
      </c>
      <c r="L294" s="2" t="s">
        <v>606</v>
      </c>
      <c r="M294" t="s">
        <v>607</v>
      </c>
      <c r="N294" t="s">
        <v>608</v>
      </c>
      <c r="O294" t="s">
        <v>143</v>
      </c>
      <c r="P294" t="s">
        <v>27</v>
      </c>
      <c r="Q294" t="s">
        <v>28</v>
      </c>
      <c r="R294" t="s">
        <v>28</v>
      </c>
      <c r="S294" t="s">
        <v>28</v>
      </c>
      <c r="T294" t="s">
        <v>28</v>
      </c>
      <c r="U294" t="s">
        <v>28</v>
      </c>
      <c r="V294" t="s">
        <v>28</v>
      </c>
      <c r="W294" s="16" t="s">
        <v>5629</v>
      </c>
      <c r="X294" t="s">
        <v>5624</v>
      </c>
    </row>
    <row r="295" spans="1:24" x14ac:dyDescent="0.55000000000000004">
      <c r="A295" t="s">
        <v>609</v>
      </c>
      <c r="B295" t="s">
        <v>610</v>
      </c>
      <c r="C295">
        <v>2021</v>
      </c>
      <c r="D295" t="s">
        <v>234</v>
      </c>
      <c r="E295">
        <v>32</v>
      </c>
      <c r="F295">
        <v>3</v>
      </c>
      <c r="H295">
        <v>1224</v>
      </c>
      <c r="I295">
        <v>1236</v>
      </c>
      <c r="K295" s="2" t="s">
        <v>611</v>
      </c>
      <c r="L295" s="2" t="s">
        <v>612</v>
      </c>
      <c r="M295" t="s">
        <v>613</v>
      </c>
      <c r="N295" t="s">
        <v>614</v>
      </c>
      <c r="O295" t="s">
        <v>26</v>
      </c>
      <c r="P295" t="s">
        <v>27</v>
      </c>
      <c r="Q295" t="s">
        <v>43</v>
      </c>
      <c r="R295" t="s">
        <v>28</v>
      </c>
      <c r="S295" t="s">
        <v>43</v>
      </c>
      <c r="T295" t="s">
        <v>43</v>
      </c>
      <c r="U295" t="s">
        <v>43</v>
      </c>
      <c r="V295" t="s">
        <v>28</v>
      </c>
      <c r="W295" s="16" t="s">
        <v>5629</v>
      </c>
      <c r="X295" t="s">
        <v>5624</v>
      </c>
    </row>
    <row r="296" spans="1:24" x14ac:dyDescent="0.55000000000000004">
      <c r="A296" t="s">
        <v>615</v>
      </c>
      <c r="B296" t="s">
        <v>616</v>
      </c>
      <c r="C296">
        <v>2021</v>
      </c>
      <c r="D296" t="s">
        <v>617</v>
      </c>
      <c r="E296">
        <v>11</v>
      </c>
      <c r="F296">
        <v>2</v>
      </c>
      <c r="G296">
        <v>402</v>
      </c>
      <c r="K296" s="2" t="s">
        <v>618</v>
      </c>
      <c r="L296" s="2" t="s">
        <v>619</v>
      </c>
      <c r="M296" t="s">
        <v>620</v>
      </c>
      <c r="N296" t="s">
        <v>621</v>
      </c>
      <c r="O296" t="s">
        <v>26</v>
      </c>
      <c r="P296" t="s">
        <v>27</v>
      </c>
      <c r="Q296" t="s">
        <v>43</v>
      </c>
      <c r="R296" t="s">
        <v>28</v>
      </c>
      <c r="S296" t="s">
        <v>43</v>
      </c>
      <c r="T296" t="s">
        <v>28</v>
      </c>
      <c r="U296" t="s">
        <v>43</v>
      </c>
      <c r="V296" t="s">
        <v>28</v>
      </c>
      <c r="W296" s="16" t="s">
        <v>5629</v>
      </c>
      <c r="X296" t="s">
        <v>5624</v>
      </c>
    </row>
    <row r="297" spans="1:24" x14ac:dyDescent="0.55000000000000004">
      <c r="A297" t="s">
        <v>622</v>
      </c>
      <c r="B297" t="s">
        <v>623</v>
      </c>
      <c r="C297">
        <v>2021</v>
      </c>
      <c r="D297" t="s">
        <v>624</v>
      </c>
      <c r="E297">
        <v>12</v>
      </c>
      <c r="G297">
        <v>626709</v>
      </c>
      <c r="K297" s="2" t="s">
        <v>625</v>
      </c>
      <c r="L297" s="2" t="s">
        <v>626</v>
      </c>
      <c r="M297" t="s">
        <v>627</v>
      </c>
      <c r="N297" t="s">
        <v>628</v>
      </c>
      <c r="O297" t="s">
        <v>26</v>
      </c>
      <c r="P297" t="s">
        <v>27</v>
      </c>
      <c r="Q297" t="s">
        <v>28</v>
      </c>
      <c r="R297" t="s">
        <v>28</v>
      </c>
      <c r="S297" t="s">
        <v>28</v>
      </c>
      <c r="T297" t="s">
        <v>28</v>
      </c>
      <c r="U297" t="s">
        <v>28</v>
      </c>
      <c r="V297" t="s">
        <v>28</v>
      </c>
      <c r="W297" s="16" t="s">
        <v>5629</v>
      </c>
      <c r="X297" t="s">
        <v>5624</v>
      </c>
    </row>
    <row r="298" spans="1:24" x14ac:dyDescent="0.55000000000000004">
      <c r="A298" t="s">
        <v>629</v>
      </c>
      <c r="B298" t="s">
        <v>630</v>
      </c>
      <c r="C298">
        <v>2021</v>
      </c>
      <c r="D298" t="s">
        <v>631</v>
      </c>
      <c r="E298">
        <v>7</v>
      </c>
      <c r="F298">
        <v>2</v>
      </c>
      <c r="G298">
        <v>69</v>
      </c>
      <c r="H298">
        <v>1</v>
      </c>
      <c r="I298">
        <v>17</v>
      </c>
      <c r="K298" s="2" t="s">
        <v>632</v>
      </c>
      <c r="L298" s="2" t="s">
        <v>633</v>
      </c>
      <c r="M298" t="s">
        <v>634</v>
      </c>
      <c r="N298" t="s">
        <v>635</v>
      </c>
      <c r="O298" t="s">
        <v>26</v>
      </c>
      <c r="P298" t="s">
        <v>27</v>
      </c>
      <c r="Q298" t="s">
        <v>28</v>
      </c>
      <c r="R298" t="s">
        <v>28</v>
      </c>
      <c r="S298" t="s">
        <v>28</v>
      </c>
      <c r="T298" t="s">
        <v>28</v>
      </c>
      <c r="U298" t="s">
        <v>28</v>
      </c>
      <c r="V298" t="s">
        <v>28</v>
      </c>
      <c r="W298" s="16" t="s">
        <v>5629</v>
      </c>
      <c r="X298" t="s">
        <v>5624</v>
      </c>
    </row>
    <row r="299" spans="1:24" x14ac:dyDescent="0.55000000000000004">
      <c r="A299" t="s">
        <v>411</v>
      </c>
      <c r="B299" t="s">
        <v>636</v>
      </c>
      <c r="C299">
        <v>2021</v>
      </c>
      <c r="D299" t="s">
        <v>68</v>
      </c>
      <c r="E299">
        <v>229</v>
      </c>
      <c r="F299">
        <v>4</v>
      </c>
      <c r="H299">
        <v>2302</v>
      </c>
      <c r="I299">
        <v>2310</v>
      </c>
      <c r="K299" s="2" t="s">
        <v>637</v>
      </c>
      <c r="L299" s="2" t="s">
        <v>638</v>
      </c>
      <c r="M299" t="s">
        <v>639</v>
      </c>
      <c r="N299" t="s">
        <v>640</v>
      </c>
      <c r="O299" t="s">
        <v>26</v>
      </c>
      <c r="P299" t="s">
        <v>27</v>
      </c>
      <c r="Q299" t="s">
        <v>28</v>
      </c>
      <c r="R299" t="s">
        <v>28</v>
      </c>
      <c r="S299" t="s">
        <v>28</v>
      </c>
      <c r="T299" t="s">
        <v>28</v>
      </c>
      <c r="U299" t="s">
        <v>28</v>
      </c>
      <c r="V299" t="s">
        <v>28</v>
      </c>
      <c r="W299" s="16" t="s">
        <v>5629</v>
      </c>
      <c r="X299" t="s">
        <v>5624</v>
      </c>
    </row>
    <row r="300" spans="1:24" x14ac:dyDescent="0.55000000000000004">
      <c r="A300" t="s">
        <v>641</v>
      </c>
      <c r="B300" t="s">
        <v>642</v>
      </c>
      <c r="C300">
        <v>2021</v>
      </c>
      <c r="D300" t="s">
        <v>159</v>
      </c>
      <c r="E300">
        <v>383</v>
      </c>
      <c r="G300">
        <v>114744</v>
      </c>
      <c r="K300" s="2" t="s">
        <v>643</v>
      </c>
      <c r="L300" s="2" t="s">
        <v>644</v>
      </c>
      <c r="M300" t="s">
        <v>645</v>
      </c>
      <c r="N300" t="s">
        <v>646</v>
      </c>
      <c r="O300" t="s">
        <v>26</v>
      </c>
      <c r="P300" t="s">
        <v>27</v>
      </c>
      <c r="Q300" t="s">
        <v>28</v>
      </c>
      <c r="R300" t="s">
        <v>28</v>
      </c>
      <c r="S300" t="s">
        <v>28</v>
      </c>
      <c r="T300" t="s">
        <v>28</v>
      </c>
      <c r="U300" t="s">
        <v>28</v>
      </c>
      <c r="V300" t="s">
        <v>28</v>
      </c>
      <c r="W300" s="16" t="s">
        <v>5629</v>
      </c>
      <c r="X300" t="s">
        <v>5624</v>
      </c>
    </row>
    <row r="301" spans="1:24" x14ac:dyDescent="0.55000000000000004">
      <c r="A301" t="s">
        <v>647</v>
      </c>
      <c r="B301" t="s">
        <v>648</v>
      </c>
      <c r="C301">
        <v>2021</v>
      </c>
      <c r="D301" t="s">
        <v>306</v>
      </c>
      <c r="K301" s="2" t="s">
        <v>649</v>
      </c>
      <c r="L301" s="2" t="s">
        <v>650</v>
      </c>
      <c r="M301" t="s">
        <v>651</v>
      </c>
      <c r="N301" t="s">
        <v>652</v>
      </c>
      <c r="O301" t="s">
        <v>26</v>
      </c>
      <c r="P301" t="s">
        <v>27</v>
      </c>
      <c r="Q301" t="s">
        <v>43</v>
      </c>
      <c r="R301" t="s">
        <v>28</v>
      </c>
      <c r="S301" t="s">
        <v>28</v>
      </c>
      <c r="T301" t="s">
        <v>43</v>
      </c>
      <c r="U301" t="s">
        <v>28</v>
      </c>
      <c r="V301" t="s">
        <v>28</v>
      </c>
      <c r="W301" s="16" t="s">
        <v>5629</v>
      </c>
      <c r="X301" t="s">
        <v>5624</v>
      </c>
    </row>
    <row r="302" spans="1:24" x14ac:dyDescent="0.55000000000000004">
      <c r="A302" t="s">
        <v>653</v>
      </c>
      <c r="B302" t="s">
        <v>654</v>
      </c>
      <c r="C302">
        <v>2021</v>
      </c>
      <c r="D302" t="s">
        <v>655</v>
      </c>
      <c r="E302">
        <v>120</v>
      </c>
      <c r="F302">
        <v>10</v>
      </c>
      <c r="H302">
        <v>1573</v>
      </c>
      <c r="I302">
        <v>1577</v>
      </c>
      <c r="K302" s="2" t="s">
        <v>656</v>
      </c>
      <c r="L302" s="2" t="s">
        <v>657</v>
      </c>
      <c r="M302" t="s">
        <v>658</v>
      </c>
      <c r="N302" t="s">
        <v>659</v>
      </c>
      <c r="O302" t="s">
        <v>26</v>
      </c>
      <c r="P302" t="s">
        <v>27</v>
      </c>
      <c r="Q302" t="s">
        <v>43</v>
      </c>
      <c r="R302" t="s">
        <v>28</v>
      </c>
      <c r="S302" t="s">
        <v>43</v>
      </c>
      <c r="T302" t="s">
        <v>28</v>
      </c>
      <c r="U302" t="s">
        <v>43</v>
      </c>
      <c r="V302" t="s">
        <v>28</v>
      </c>
      <c r="W302" s="16" t="s">
        <v>5629</v>
      </c>
      <c r="X302" t="s">
        <v>5624</v>
      </c>
    </row>
    <row r="303" spans="1:24" x14ac:dyDescent="0.55000000000000004">
      <c r="A303" t="s">
        <v>660</v>
      </c>
      <c r="B303" t="s">
        <v>661</v>
      </c>
      <c r="C303">
        <v>2022</v>
      </c>
      <c r="D303" t="s">
        <v>68</v>
      </c>
      <c r="E303">
        <v>235</v>
      </c>
      <c r="F303">
        <v>1</v>
      </c>
      <c r="H303">
        <v>333</v>
      </c>
      <c r="I303">
        <v>343</v>
      </c>
      <c r="K303" s="2" t="s">
        <v>662</v>
      </c>
      <c r="L303" s="2" t="s">
        <v>663</v>
      </c>
      <c r="M303" t="s">
        <v>664</v>
      </c>
      <c r="N303" t="s">
        <v>665</v>
      </c>
      <c r="O303" t="s">
        <v>26</v>
      </c>
      <c r="P303" t="s">
        <v>27</v>
      </c>
      <c r="Q303" t="s">
        <v>43</v>
      </c>
      <c r="R303" t="s">
        <v>28</v>
      </c>
      <c r="S303" t="s">
        <v>28</v>
      </c>
      <c r="T303" t="s">
        <v>43</v>
      </c>
      <c r="U303" t="s">
        <v>28</v>
      </c>
      <c r="V303" t="s">
        <v>28</v>
      </c>
      <c r="W303" s="16" t="s">
        <v>5629</v>
      </c>
      <c r="X303" t="s">
        <v>5624</v>
      </c>
    </row>
    <row r="304" spans="1:24" x14ac:dyDescent="0.55000000000000004">
      <c r="A304" t="s">
        <v>666</v>
      </c>
      <c r="B304" t="s">
        <v>667</v>
      </c>
      <c r="C304">
        <v>2021</v>
      </c>
      <c r="D304" t="s">
        <v>668</v>
      </c>
      <c r="E304">
        <v>12</v>
      </c>
      <c r="F304">
        <v>1</v>
      </c>
      <c r="G304">
        <v>39</v>
      </c>
      <c r="H304">
        <v>1</v>
      </c>
      <c r="I304">
        <v>19</v>
      </c>
      <c r="K304" s="2" t="s">
        <v>669</v>
      </c>
      <c r="L304" s="2" t="s">
        <v>670</v>
      </c>
      <c r="M304" t="s">
        <v>671</v>
      </c>
      <c r="N304" t="s">
        <v>672</v>
      </c>
      <c r="O304" t="s">
        <v>26</v>
      </c>
      <c r="P304" t="s">
        <v>27</v>
      </c>
      <c r="Q304" t="s">
        <v>28</v>
      </c>
      <c r="R304" t="s">
        <v>28</v>
      </c>
      <c r="S304" t="s">
        <v>28</v>
      </c>
      <c r="T304" t="s">
        <v>28</v>
      </c>
      <c r="U304" t="s">
        <v>28</v>
      </c>
      <c r="V304" t="s">
        <v>28</v>
      </c>
      <c r="W304" s="16" t="s">
        <v>5629</v>
      </c>
      <c r="X304" t="s">
        <v>5624</v>
      </c>
    </row>
    <row r="305" spans="1:24" x14ac:dyDescent="0.55000000000000004">
      <c r="A305" t="s">
        <v>673</v>
      </c>
      <c r="B305" t="s">
        <v>674</v>
      </c>
      <c r="C305">
        <v>2021</v>
      </c>
      <c r="D305" t="s">
        <v>351</v>
      </c>
      <c r="E305">
        <v>36</v>
      </c>
      <c r="F305">
        <v>1</v>
      </c>
      <c r="H305">
        <v>177</v>
      </c>
      <c r="I305">
        <v>188</v>
      </c>
      <c r="K305" s="2" t="s">
        <v>675</v>
      </c>
      <c r="L305" s="2" t="s">
        <v>676</v>
      </c>
      <c r="M305" t="s">
        <v>677</v>
      </c>
      <c r="N305" t="s">
        <v>678</v>
      </c>
      <c r="O305" t="s">
        <v>26</v>
      </c>
      <c r="P305" t="s">
        <v>27</v>
      </c>
      <c r="Q305" t="s">
        <v>28</v>
      </c>
      <c r="R305" t="s">
        <v>28</v>
      </c>
      <c r="S305" t="s">
        <v>28</v>
      </c>
      <c r="T305" t="s">
        <v>28</v>
      </c>
      <c r="U305" t="s">
        <v>28</v>
      </c>
      <c r="V305" t="s">
        <v>28</v>
      </c>
      <c r="W305" s="16" t="s">
        <v>5629</v>
      </c>
      <c r="X305" t="s">
        <v>5624</v>
      </c>
    </row>
    <row r="306" spans="1:24" x14ac:dyDescent="0.55000000000000004">
      <c r="A306" t="s">
        <v>679</v>
      </c>
      <c r="B306" t="s">
        <v>680</v>
      </c>
      <c r="C306">
        <v>2021</v>
      </c>
      <c r="D306" t="s">
        <v>681</v>
      </c>
      <c r="E306">
        <v>268</v>
      </c>
      <c r="G306">
        <v>115549</v>
      </c>
      <c r="K306" s="2" t="s">
        <v>682</v>
      </c>
      <c r="L306" s="2" t="s">
        <v>683</v>
      </c>
      <c r="M306" t="s">
        <v>684</v>
      </c>
      <c r="N306" t="s">
        <v>685</v>
      </c>
      <c r="O306" t="s">
        <v>143</v>
      </c>
      <c r="P306" t="s">
        <v>27</v>
      </c>
      <c r="Q306" t="s">
        <v>28</v>
      </c>
      <c r="R306" t="s">
        <v>28</v>
      </c>
      <c r="S306" t="s">
        <v>28</v>
      </c>
      <c r="T306" t="s">
        <v>28</v>
      </c>
      <c r="U306" t="s">
        <v>28</v>
      </c>
      <c r="V306" t="s">
        <v>28</v>
      </c>
      <c r="W306" s="16" t="s">
        <v>5629</v>
      </c>
      <c r="X306" t="s">
        <v>5624</v>
      </c>
    </row>
    <row r="307" spans="1:24" x14ac:dyDescent="0.55000000000000004">
      <c r="A307" t="s">
        <v>686</v>
      </c>
      <c r="B307" t="s">
        <v>687</v>
      </c>
      <c r="C307">
        <v>2021</v>
      </c>
      <c r="D307" t="s">
        <v>688</v>
      </c>
      <c r="E307">
        <v>19</v>
      </c>
      <c r="F307">
        <v>1</v>
      </c>
      <c r="H307">
        <v>217</v>
      </c>
      <c r="I307">
        <v>226</v>
      </c>
      <c r="K307" s="2" t="s">
        <v>689</v>
      </c>
      <c r="L307" s="2" t="s">
        <v>690</v>
      </c>
      <c r="M307" t="s">
        <v>691</v>
      </c>
      <c r="N307" t="s">
        <v>692</v>
      </c>
      <c r="O307" t="s">
        <v>26</v>
      </c>
      <c r="P307" t="s">
        <v>27</v>
      </c>
      <c r="Q307" t="s">
        <v>28</v>
      </c>
      <c r="R307" t="s">
        <v>28</v>
      </c>
      <c r="S307" t="s">
        <v>28</v>
      </c>
      <c r="T307" t="s">
        <v>28</v>
      </c>
      <c r="U307" t="s">
        <v>28</v>
      </c>
      <c r="V307" t="s">
        <v>28</v>
      </c>
      <c r="W307" s="16" t="s">
        <v>5629</v>
      </c>
      <c r="X307" t="s">
        <v>5624</v>
      </c>
    </row>
    <row r="308" spans="1:24" x14ac:dyDescent="0.55000000000000004">
      <c r="A308" t="s">
        <v>693</v>
      </c>
      <c r="B308" t="s">
        <v>694</v>
      </c>
      <c r="C308">
        <v>2021</v>
      </c>
      <c r="D308" t="s">
        <v>53</v>
      </c>
      <c r="E308">
        <v>152</v>
      </c>
      <c r="G308">
        <v>108070</v>
      </c>
      <c r="K308" s="2" t="s">
        <v>695</v>
      </c>
      <c r="L308" s="2" t="s">
        <v>696</v>
      </c>
      <c r="M308" t="s">
        <v>697</v>
      </c>
      <c r="N308" t="s">
        <v>698</v>
      </c>
      <c r="O308" t="s">
        <v>26</v>
      </c>
      <c r="P308" t="s">
        <v>27</v>
      </c>
      <c r="Q308" t="s">
        <v>28</v>
      </c>
      <c r="R308" t="s">
        <v>28</v>
      </c>
      <c r="S308" t="s">
        <v>28</v>
      </c>
      <c r="T308" t="s">
        <v>28</v>
      </c>
      <c r="U308" t="s">
        <v>28</v>
      </c>
      <c r="V308" t="s">
        <v>28</v>
      </c>
      <c r="W308" s="16" t="s">
        <v>5629</v>
      </c>
      <c r="X308" t="s">
        <v>5624</v>
      </c>
    </row>
    <row r="309" spans="1:24" x14ac:dyDescent="0.55000000000000004">
      <c r="A309" t="s">
        <v>699</v>
      </c>
      <c r="B309" t="s">
        <v>700</v>
      </c>
      <c r="C309">
        <v>2020</v>
      </c>
      <c r="D309" t="s">
        <v>701</v>
      </c>
      <c r="E309">
        <v>5</v>
      </c>
      <c r="F309">
        <v>6</v>
      </c>
      <c r="G309" t="s">
        <v>702</v>
      </c>
      <c r="K309" s="2" t="s">
        <v>703</v>
      </c>
      <c r="L309" s="2" t="s">
        <v>704</v>
      </c>
      <c r="M309" t="s">
        <v>705</v>
      </c>
      <c r="N309" t="s">
        <v>706</v>
      </c>
      <c r="O309" t="s">
        <v>26</v>
      </c>
      <c r="P309" t="s">
        <v>27</v>
      </c>
      <c r="Q309" t="s">
        <v>28</v>
      </c>
      <c r="R309" t="s">
        <v>28</v>
      </c>
      <c r="S309" t="s">
        <v>28</v>
      </c>
      <c r="T309" t="s">
        <v>28</v>
      </c>
      <c r="U309" t="s">
        <v>28</v>
      </c>
      <c r="V309" t="s">
        <v>28</v>
      </c>
      <c r="W309" s="16" t="s">
        <v>5629</v>
      </c>
      <c r="X309" t="s">
        <v>5624</v>
      </c>
    </row>
    <row r="310" spans="1:24" x14ac:dyDescent="0.55000000000000004">
      <c r="A310" t="s">
        <v>707</v>
      </c>
      <c r="B310" t="s">
        <v>708</v>
      </c>
      <c r="C310">
        <v>2020</v>
      </c>
      <c r="D310" t="s">
        <v>372</v>
      </c>
      <c r="E310">
        <v>478</v>
      </c>
      <c r="G310">
        <v>118510</v>
      </c>
      <c r="K310" s="2" t="s">
        <v>709</v>
      </c>
      <c r="L310" s="2" t="s">
        <v>710</v>
      </c>
      <c r="M310" t="s">
        <v>711</v>
      </c>
      <c r="N310" t="s">
        <v>712</v>
      </c>
      <c r="O310" t="s">
        <v>26</v>
      </c>
      <c r="P310" t="s">
        <v>27</v>
      </c>
      <c r="Q310" t="s">
        <v>28</v>
      </c>
      <c r="R310" t="s">
        <v>28</v>
      </c>
      <c r="S310" t="s">
        <v>28</v>
      </c>
      <c r="T310" t="s">
        <v>28</v>
      </c>
      <c r="U310" t="s">
        <v>28</v>
      </c>
      <c r="V310" t="s">
        <v>28</v>
      </c>
      <c r="W310" s="16" t="s">
        <v>5629</v>
      </c>
      <c r="X310" t="s">
        <v>5624</v>
      </c>
    </row>
    <row r="311" spans="1:24" x14ac:dyDescent="0.55000000000000004">
      <c r="A311" t="s">
        <v>713</v>
      </c>
      <c r="B311" t="s">
        <v>714</v>
      </c>
      <c r="C311">
        <v>2020</v>
      </c>
      <c r="D311" t="s">
        <v>715</v>
      </c>
      <c r="E311">
        <v>16</v>
      </c>
      <c r="G311">
        <v>100279</v>
      </c>
      <c r="K311" s="2" t="s">
        <v>716</v>
      </c>
      <c r="L311" s="2" t="s">
        <v>717</v>
      </c>
      <c r="M311" t="s">
        <v>718</v>
      </c>
      <c r="N311" t="s">
        <v>719</v>
      </c>
      <c r="O311" t="s">
        <v>170</v>
      </c>
      <c r="P311" t="s">
        <v>27</v>
      </c>
      <c r="Q311" t="s">
        <v>28</v>
      </c>
      <c r="R311" t="s">
        <v>28</v>
      </c>
      <c r="S311" t="s">
        <v>28</v>
      </c>
      <c r="T311" t="s">
        <v>28</v>
      </c>
      <c r="U311" t="s">
        <v>28</v>
      </c>
      <c r="V311" t="s">
        <v>28</v>
      </c>
      <c r="W311" s="16" t="s">
        <v>5629</v>
      </c>
      <c r="X311" t="s">
        <v>5624</v>
      </c>
    </row>
    <row r="312" spans="1:24" x14ac:dyDescent="0.55000000000000004">
      <c r="A312" t="s">
        <v>720</v>
      </c>
      <c r="B312" t="s">
        <v>721</v>
      </c>
      <c r="C312">
        <v>2020</v>
      </c>
      <c r="D312" t="s">
        <v>413</v>
      </c>
      <c r="E312">
        <v>34</v>
      </c>
      <c r="F312">
        <v>12</v>
      </c>
      <c r="H312">
        <v>2453</v>
      </c>
      <c r="I312">
        <v>2466</v>
      </c>
      <c r="K312" s="2" t="s">
        <v>722</v>
      </c>
      <c r="L312" s="2" t="s">
        <v>723</v>
      </c>
      <c r="M312" t="s">
        <v>724</v>
      </c>
      <c r="N312" t="s">
        <v>725</v>
      </c>
      <c r="O312" t="s">
        <v>26</v>
      </c>
      <c r="P312" t="s">
        <v>27</v>
      </c>
      <c r="Q312" t="s">
        <v>28</v>
      </c>
      <c r="R312" t="s">
        <v>28</v>
      </c>
      <c r="S312" t="s">
        <v>28</v>
      </c>
      <c r="T312" t="s">
        <v>28</v>
      </c>
      <c r="U312" t="s">
        <v>28</v>
      </c>
      <c r="V312" t="s">
        <v>28</v>
      </c>
      <c r="W312" s="16" t="s">
        <v>5629</v>
      </c>
      <c r="X312" t="s">
        <v>5624</v>
      </c>
    </row>
    <row r="313" spans="1:24" x14ac:dyDescent="0.55000000000000004">
      <c r="A313" t="s">
        <v>726</v>
      </c>
      <c r="B313" t="s">
        <v>727</v>
      </c>
      <c r="C313">
        <v>2020</v>
      </c>
      <c r="D313" t="s">
        <v>68</v>
      </c>
      <c r="E313">
        <v>228</v>
      </c>
      <c r="F313">
        <v>6</v>
      </c>
      <c r="H313">
        <v>1835</v>
      </c>
      <c r="I313">
        <v>1851</v>
      </c>
      <c r="K313" s="2" t="s">
        <v>728</v>
      </c>
      <c r="L313" s="2" t="s">
        <v>729</v>
      </c>
      <c r="M313" t="s">
        <v>730</v>
      </c>
      <c r="N313" t="s">
        <v>731</v>
      </c>
      <c r="O313" t="s">
        <v>26</v>
      </c>
      <c r="P313" t="s">
        <v>27</v>
      </c>
      <c r="Q313" t="s">
        <v>28</v>
      </c>
      <c r="R313" t="s">
        <v>28</v>
      </c>
      <c r="S313" t="s">
        <v>28</v>
      </c>
      <c r="T313" t="s">
        <v>28</v>
      </c>
      <c r="U313" t="s">
        <v>28</v>
      </c>
      <c r="V313" t="s">
        <v>28</v>
      </c>
      <c r="W313" s="16" t="s">
        <v>5629</v>
      </c>
      <c r="X313" t="s">
        <v>5624</v>
      </c>
    </row>
    <row r="314" spans="1:24" x14ac:dyDescent="0.55000000000000004">
      <c r="A314" t="s">
        <v>732</v>
      </c>
      <c r="B314" t="s">
        <v>733</v>
      </c>
      <c r="C314">
        <v>2020</v>
      </c>
      <c r="D314" t="s">
        <v>282</v>
      </c>
      <c r="E314">
        <v>10</v>
      </c>
      <c r="F314">
        <v>1</v>
      </c>
      <c r="G314">
        <v>13816</v>
      </c>
      <c r="K314" s="2" t="s">
        <v>734</v>
      </c>
      <c r="L314" s="2" t="s">
        <v>735</v>
      </c>
      <c r="M314" t="s">
        <v>736</v>
      </c>
      <c r="O314" t="s">
        <v>26</v>
      </c>
      <c r="P314" t="s">
        <v>27</v>
      </c>
      <c r="Q314" t="s">
        <v>28</v>
      </c>
      <c r="R314" t="s">
        <v>28</v>
      </c>
      <c r="S314" t="s">
        <v>28</v>
      </c>
      <c r="T314" t="s">
        <v>28</v>
      </c>
      <c r="U314" t="s">
        <v>28</v>
      </c>
      <c r="V314" t="s">
        <v>28</v>
      </c>
      <c r="W314" s="16" t="s">
        <v>5629</v>
      </c>
      <c r="X314" t="s">
        <v>5624</v>
      </c>
    </row>
    <row r="315" spans="1:24" x14ac:dyDescent="0.55000000000000004">
      <c r="A315" t="s">
        <v>737</v>
      </c>
      <c r="B315" t="s">
        <v>738</v>
      </c>
      <c r="C315">
        <v>2020</v>
      </c>
      <c r="D315" t="s">
        <v>282</v>
      </c>
      <c r="E315">
        <v>10</v>
      </c>
      <c r="F315">
        <v>1</v>
      </c>
      <c r="G315">
        <v>9781</v>
      </c>
      <c r="K315" s="2" t="s">
        <v>739</v>
      </c>
      <c r="L315" s="2" t="s">
        <v>740</v>
      </c>
      <c r="M315" t="s">
        <v>741</v>
      </c>
      <c r="O315" t="s">
        <v>26</v>
      </c>
      <c r="P315" t="s">
        <v>27</v>
      </c>
      <c r="Q315" t="s">
        <v>43</v>
      </c>
      <c r="R315" t="s">
        <v>28</v>
      </c>
      <c r="S315" t="s">
        <v>43</v>
      </c>
      <c r="T315" t="s">
        <v>28</v>
      </c>
      <c r="U315" t="s">
        <v>28</v>
      </c>
      <c r="V315" t="s">
        <v>28</v>
      </c>
      <c r="W315" s="16" t="s">
        <v>5629</v>
      </c>
      <c r="X315" t="s">
        <v>5624</v>
      </c>
    </row>
    <row r="316" spans="1:24" x14ac:dyDescent="0.55000000000000004">
      <c r="A316" t="s">
        <v>742</v>
      </c>
      <c r="B316" t="s">
        <v>743</v>
      </c>
      <c r="C316">
        <v>2020</v>
      </c>
      <c r="D316" t="s">
        <v>372</v>
      </c>
      <c r="E316">
        <v>476</v>
      </c>
      <c r="G316">
        <v>118478</v>
      </c>
      <c r="K316" s="2" t="s">
        <v>744</v>
      </c>
      <c r="L316" s="2" t="s">
        <v>745</v>
      </c>
      <c r="M316" t="s">
        <v>746</v>
      </c>
      <c r="N316" t="s">
        <v>747</v>
      </c>
      <c r="O316" t="s">
        <v>26</v>
      </c>
      <c r="P316" t="s">
        <v>27</v>
      </c>
      <c r="Q316" t="s">
        <v>28</v>
      </c>
      <c r="R316" t="s">
        <v>28</v>
      </c>
      <c r="S316" t="s">
        <v>28</v>
      </c>
      <c r="T316" t="s">
        <v>28</v>
      </c>
      <c r="U316" t="s">
        <v>28</v>
      </c>
      <c r="V316" t="s">
        <v>28</v>
      </c>
      <c r="W316" s="16" t="s">
        <v>5629</v>
      </c>
      <c r="X316" t="s">
        <v>5624</v>
      </c>
    </row>
    <row r="317" spans="1:24" x14ac:dyDescent="0.55000000000000004">
      <c r="A317" t="s">
        <v>748</v>
      </c>
      <c r="B317" t="s">
        <v>749</v>
      </c>
      <c r="C317">
        <v>2020</v>
      </c>
      <c r="D317" t="s">
        <v>750</v>
      </c>
      <c r="E317">
        <v>57</v>
      </c>
      <c r="F317">
        <v>6</v>
      </c>
      <c r="H317">
        <v>1483</v>
      </c>
      <c r="I317">
        <v>1491</v>
      </c>
      <c r="K317" s="2" t="s">
        <v>751</v>
      </c>
      <c r="L317" s="2" t="s">
        <v>752</v>
      </c>
      <c r="M317" t="s">
        <v>753</v>
      </c>
      <c r="N317" t="s">
        <v>754</v>
      </c>
      <c r="O317" t="s">
        <v>26</v>
      </c>
      <c r="P317" t="s">
        <v>27</v>
      </c>
      <c r="Q317" t="s">
        <v>28</v>
      </c>
      <c r="R317" t="s">
        <v>28</v>
      </c>
      <c r="S317" t="s">
        <v>28</v>
      </c>
      <c r="T317" t="s">
        <v>28</v>
      </c>
      <c r="U317" t="s">
        <v>28</v>
      </c>
      <c r="V317" t="s">
        <v>28</v>
      </c>
      <c r="W317" s="16" t="s">
        <v>5629</v>
      </c>
      <c r="X317" t="s">
        <v>5624</v>
      </c>
    </row>
    <row r="318" spans="1:24" x14ac:dyDescent="0.55000000000000004">
      <c r="A318" t="s">
        <v>755</v>
      </c>
      <c r="B318" t="s">
        <v>756</v>
      </c>
      <c r="C318">
        <v>2020</v>
      </c>
      <c r="D318" t="s">
        <v>358</v>
      </c>
      <c r="E318">
        <v>133</v>
      </c>
      <c r="F318">
        <v>6</v>
      </c>
      <c r="H318">
        <v>841</v>
      </c>
      <c r="I318">
        <v>853</v>
      </c>
      <c r="K318" s="2" t="s">
        <v>757</v>
      </c>
      <c r="L318" s="2" t="s">
        <v>758</v>
      </c>
      <c r="M318" t="s">
        <v>759</v>
      </c>
      <c r="N318" t="s">
        <v>760</v>
      </c>
      <c r="O318" t="s">
        <v>26</v>
      </c>
      <c r="P318" t="s">
        <v>27</v>
      </c>
      <c r="Q318" t="s">
        <v>28</v>
      </c>
      <c r="R318" t="s">
        <v>28</v>
      </c>
      <c r="S318" t="s">
        <v>28</v>
      </c>
      <c r="T318" t="s">
        <v>28</v>
      </c>
      <c r="U318" t="s">
        <v>28</v>
      </c>
      <c r="V318" t="s">
        <v>28</v>
      </c>
      <c r="W318" s="16" t="s">
        <v>5629</v>
      </c>
      <c r="X318" t="s">
        <v>5624</v>
      </c>
    </row>
    <row r="319" spans="1:24" x14ac:dyDescent="0.55000000000000004">
      <c r="A319" t="s">
        <v>761</v>
      </c>
      <c r="B319" t="s">
        <v>762</v>
      </c>
      <c r="C319">
        <v>2020</v>
      </c>
      <c r="D319" t="s">
        <v>513</v>
      </c>
      <c r="E319">
        <v>30</v>
      </c>
      <c r="F319">
        <v>6</v>
      </c>
      <c r="H319">
        <v>749</v>
      </c>
      <c r="I319">
        <v>759</v>
      </c>
      <c r="K319" s="2" t="s">
        <v>763</v>
      </c>
      <c r="L319" s="2" t="s">
        <v>764</v>
      </c>
      <c r="M319" t="s">
        <v>765</v>
      </c>
      <c r="N319" t="s">
        <v>766</v>
      </c>
      <c r="O319" t="s">
        <v>26</v>
      </c>
      <c r="P319" t="s">
        <v>27</v>
      </c>
      <c r="Q319" t="s">
        <v>28</v>
      </c>
      <c r="R319" t="s">
        <v>28</v>
      </c>
      <c r="S319" t="s">
        <v>28</v>
      </c>
      <c r="T319" t="s">
        <v>28</v>
      </c>
      <c r="U319" t="s">
        <v>28</v>
      </c>
      <c r="V319" t="s">
        <v>28</v>
      </c>
      <c r="W319" s="16" t="s">
        <v>5629</v>
      </c>
      <c r="X319" t="s">
        <v>5624</v>
      </c>
    </row>
    <row r="320" spans="1:24" x14ac:dyDescent="0.55000000000000004">
      <c r="A320" t="s">
        <v>767</v>
      </c>
      <c r="B320" t="s">
        <v>768</v>
      </c>
      <c r="C320">
        <v>2020</v>
      </c>
      <c r="D320" t="s">
        <v>513</v>
      </c>
      <c r="E320">
        <v>30</v>
      </c>
      <c r="F320">
        <v>6</v>
      </c>
      <c r="H320">
        <v>773</v>
      </c>
      <c r="I320">
        <v>780</v>
      </c>
      <c r="K320" s="2" t="s">
        <v>769</v>
      </c>
      <c r="L320" s="2" t="s">
        <v>770</v>
      </c>
      <c r="M320" t="s">
        <v>771</v>
      </c>
      <c r="N320" t="s">
        <v>772</v>
      </c>
      <c r="O320" t="s">
        <v>26</v>
      </c>
      <c r="P320" t="s">
        <v>27</v>
      </c>
      <c r="Q320" t="s">
        <v>43</v>
      </c>
      <c r="R320" t="s">
        <v>28</v>
      </c>
      <c r="S320" t="s">
        <v>28</v>
      </c>
      <c r="T320" t="s">
        <v>28</v>
      </c>
      <c r="U320" t="s">
        <v>28</v>
      </c>
      <c r="V320" t="s">
        <v>43</v>
      </c>
      <c r="W320" s="16" t="s">
        <v>5629</v>
      </c>
      <c r="X320" t="s">
        <v>5624</v>
      </c>
    </row>
    <row r="321" spans="1:54" x14ac:dyDescent="0.55000000000000004">
      <c r="A321" t="s">
        <v>773</v>
      </c>
      <c r="B321" t="s">
        <v>774</v>
      </c>
      <c r="C321">
        <v>2020</v>
      </c>
      <c r="D321" t="s">
        <v>513</v>
      </c>
      <c r="E321">
        <v>30</v>
      </c>
      <c r="F321">
        <v>6</v>
      </c>
      <c r="H321">
        <v>697</v>
      </c>
      <c r="I321">
        <v>704</v>
      </c>
      <c r="K321" s="2" t="s">
        <v>775</v>
      </c>
      <c r="L321" s="2" t="s">
        <v>776</v>
      </c>
      <c r="M321" t="s">
        <v>777</v>
      </c>
      <c r="N321" t="s">
        <v>778</v>
      </c>
      <c r="O321" t="s">
        <v>26</v>
      </c>
      <c r="P321" t="s">
        <v>27</v>
      </c>
      <c r="Q321" t="s">
        <v>28</v>
      </c>
      <c r="R321" t="s">
        <v>28</v>
      </c>
      <c r="S321" t="s">
        <v>28</v>
      </c>
      <c r="T321" t="s">
        <v>28</v>
      </c>
      <c r="U321" t="s">
        <v>28</v>
      </c>
      <c r="V321" t="s">
        <v>28</v>
      </c>
      <c r="W321" s="16" t="s">
        <v>5629</v>
      </c>
      <c r="X321" t="s">
        <v>5624</v>
      </c>
    </row>
    <row r="322" spans="1:54" x14ac:dyDescent="0.55000000000000004">
      <c r="A322" t="s">
        <v>779</v>
      </c>
      <c r="B322" t="s">
        <v>780</v>
      </c>
      <c r="C322">
        <v>2020</v>
      </c>
      <c r="D322" t="s">
        <v>781</v>
      </c>
      <c r="E322">
        <v>155</v>
      </c>
      <c r="G322">
        <v>103660</v>
      </c>
      <c r="K322" s="2" t="s">
        <v>782</v>
      </c>
      <c r="L322" s="2" t="s">
        <v>783</v>
      </c>
      <c r="M322" t="s">
        <v>784</v>
      </c>
      <c r="N322" t="s">
        <v>785</v>
      </c>
      <c r="O322" t="s">
        <v>26</v>
      </c>
      <c r="P322" t="s">
        <v>27</v>
      </c>
      <c r="Q322" t="s">
        <v>28</v>
      </c>
      <c r="R322" t="s">
        <v>28</v>
      </c>
      <c r="S322" t="s">
        <v>28</v>
      </c>
      <c r="T322" t="s">
        <v>28</v>
      </c>
      <c r="U322" t="s">
        <v>28</v>
      </c>
      <c r="V322" t="s">
        <v>28</v>
      </c>
      <c r="W322" s="16" t="s">
        <v>5629</v>
      </c>
      <c r="X322" t="s">
        <v>5624</v>
      </c>
    </row>
    <row r="323" spans="1:54" x14ac:dyDescent="0.55000000000000004">
      <c r="A323" t="s">
        <v>786</v>
      </c>
      <c r="B323" t="s">
        <v>787</v>
      </c>
      <c r="C323">
        <v>2020</v>
      </c>
      <c r="D323" t="s">
        <v>781</v>
      </c>
      <c r="E323">
        <v>154</v>
      </c>
      <c r="G323">
        <v>103656</v>
      </c>
      <c r="K323" s="2" t="s">
        <v>788</v>
      </c>
      <c r="L323" s="2" t="s">
        <v>789</v>
      </c>
      <c r="M323" t="s">
        <v>790</v>
      </c>
      <c r="N323" t="s">
        <v>791</v>
      </c>
      <c r="O323" t="s">
        <v>26</v>
      </c>
      <c r="P323" t="s">
        <v>27</v>
      </c>
      <c r="Q323" t="s">
        <v>43</v>
      </c>
      <c r="R323" t="s">
        <v>28</v>
      </c>
      <c r="S323" t="s">
        <v>28</v>
      </c>
      <c r="T323" t="s">
        <v>28</v>
      </c>
      <c r="U323" t="s">
        <v>43</v>
      </c>
      <c r="V323" t="s">
        <v>28</v>
      </c>
      <c r="W323" s="16" t="s">
        <v>5629</v>
      </c>
      <c r="X323" t="s">
        <v>5624</v>
      </c>
    </row>
    <row r="324" spans="1:54" x14ac:dyDescent="0.55000000000000004">
      <c r="A324" t="s">
        <v>792</v>
      </c>
      <c r="B324" t="s">
        <v>793</v>
      </c>
      <c r="C324">
        <v>2020</v>
      </c>
      <c r="D324" t="s">
        <v>794</v>
      </c>
      <c r="E324">
        <v>39</v>
      </c>
      <c r="G324">
        <v>101398</v>
      </c>
      <c r="K324" s="2" t="s">
        <v>795</v>
      </c>
      <c r="L324" s="2" t="s">
        <v>796</v>
      </c>
      <c r="M324" t="s">
        <v>797</v>
      </c>
      <c r="N324" t="s">
        <v>798</v>
      </c>
      <c r="O324" t="s">
        <v>26</v>
      </c>
      <c r="P324" t="s">
        <v>27</v>
      </c>
      <c r="Q324" t="s">
        <v>43</v>
      </c>
      <c r="R324" t="s">
        <v>28</v>
      </c>
      <c r="S324" t="s">
        <v>43</v>
      </c>
      <c r="T324" t="s">
        <v>28</v>
      </c>
      <c r="U324" t="s">
        <v>28</v>
      </c>
      <c r="V324" t="s">
        <v>28</v>
      </c>
      <c r="W324" s="16" t="s">
        <v>5629</v>
      </c>
      <c r="X324" t="s">
        <v>5624</v>
      </c>
    </row>
    <row r="325" spans="1:54" x14ac:dyDescent="0.55000000000000004">
      <c r="A325" t="s">
        <v>799</v>
      </c>
      <c r="B325" t="s">
        <v>800</v>
      </c>
      <c r="C325">
        <v>2020</v>
      </c>
      <c r="D325" t="s">
        <v>715</v>
      </c>
      <c r="E325">
        <v>15</v>
      </c>
      <c r="G325">
        <v>100230</v>
      </c>
      <c r="K325" s="2" t="s">
        <v>801</v>
      </c>
      <c r="L325" s="2" t="s">
        <v>802</v>
      </c>
      <c r="M325" t="s">
        <v>803</v>
      </c>
      <c r="N325" t="s">
        <v>804</v>
      </c>
      <c r="O325" t="s">
        <v>26</v>
      </c>
      <c r="P325" t="s">
        <v>27</v>
      </c>
      <c r="Q325" t="s">
        <v>28</v>
      </c>
      <c r="R325" t="s">
        <v>28</v>
      </c>
      <c r="S325" t="s">
        <v>28</v>
      </c>
      <c r="T325" t="s">
        <v>28</v>
      </c>
      <c r="U325" t="s">
        <v>28</v>
      </c>
      <c r="V325" t="s">
        <v>28</v>
      </c>
      <c r="W325" s="16" t="s">
        <v>5629</v>
      </c>
      <c r="X325" t="s">
        <v>5624</v>
      </c>
    </row>
    <row r="326" spans="1:54" x14ac:dyDescent="0.55000000000000004">
      <c r="A326" t="s">
        <v>805</v>
      </c>
      <c r="B326" t="s">
        <v>806</v>
      </c>
      <c r="C326">
        <v>2020</v>
      </c>
      <c r="D326" t="s">
        <v>807</v>
      </c>
      <c r="E326">
        <v>26</v>
      </c>
      <c r="F326">
        <v>9</v>
      </c>
      <c r="H326">
        <v>5178</v>
      </c>
      <c r="I326">
        <v>5188</v>
      </c>
      <c r="K326" s="2" t="s">
        <v>808</v>
      </c>
      <c r="L326" s="2" t="s">
        <v>809</v>
      </c>
      <c r="M326" t="s">
        <v>810</v>
      </c>
      <c r="N326" t="s">
        <v>811</v>
      </c>
      <c r="O326" t="s">
        <v>26</v>
      </c>
      <c r="P326" t="s">
        <v>27</v>
      </c>
      <c r="Q326" t="s">
        <v>43</v>
      </c>
      <c r="R326" t="s">
        <v>28</v>
      </c>
      <c r="S326" t="s">
        <v>28</v>
      </c>
      <c r="T326" t="s">
        <v>28</v>
      </c>
      <c r="U326" t="s">
        <v>43</v>
      </c>
      <c r="V326" t="s">
        <v>28</v>
      </c>
      <c r="W326" s="16" t="s">
        <v>5629</v>
      </c>
      <c r="X326" t="s">
        <v>5624</v>
      </c>
    </row>
    <row r="327" spans="1:54" x14ac:dyDescent="0.55000000000000004">
      <c r="A327" t="s">
        <v>812</v>
      </c>
      <c r="B327" t="s">
        <v>813</v>
      </c>
      <c r="C327">
        <v>2020</v>
      </c>
      <c r="D327" t="s">
        <v>814</v>
      </c>
      <c r="E327">
        <v>202</v>
      </c>
      <c r="F327">
        <v>7</v>
      </c>
      <c r="H327">
        <v>1581</v>
      </c>
      <c r="I327">
        <v>1596</v>
      </c>
      <c r="K327" s="2" t="s">
        <v>815</v>
      </c>
      <c r="L327" s="2" t="s">
        <v>816</v>
      </c>
      <c r="M327" t="s">
        <v>817</v>
      </c>
      <c r="N327" t="s">
        <v>818</v>
      </c>
      <c r="O327" t="s">
        <v>143</v>
      </c>
      <c r="P327" t="s">
        <v>27</v>
      </c>
      <c r="Q327" t="s">
        <v>28</v>
      </c>
      <c r="R327" t="s">
        <v>28</v>
      </c>
      <c r="S327" t="s">
        <v>28</v>
      </c>
      <c r="T327" t="s">
        <v>28</v>
      </c>
      <c r="U327" t="s">
        <v>28</v>
      </c>
      <c r="V327" t="s">
        <v>28</v>
      </c>
      <c r="W327" s="16" t="s">
        <v>5629</v>
      </c>
      <c r="X327" t="s">
        <v>5624</v>
      </c>
    </row>
    <row r="328" spans="1:54" x14ac:dyDescent="0.55000000000000004">
      <c r="A328" t="s">
        <v>819</v>
      </c>
      <c r="B328" t="s">
        <v>820</v>
      </c>
      <c r="C328">
        <v>2020</v>
      </c>
      <c r="D328" t="s">
        <v>68</v>
      </c>
      <c r="E328">
        <v>227</v>
      </c>
      <c r="F328">
        <v>6</v>
      </c>
      <c r="H328">
        <v>1818</v>
      </c>
      <c r="I328">
        <v>1830</v>
      </c>
      <c r="K328" s="2" t="s">
        <v>821</v>
      </c>
      <c r="L328" s="2" t="s">
        <v>822</v>
      </c>
      <c r="M328" t="s">
        <v>823</v>
      </c>
      <c r="N328" t="s">
        <v>824</v>
      </c>
      <c r="O328" t="s">
        <v>26</v>
      </c>
      <c r="P328" t="s">
        <v>27</v>
      </c>
      <c r="Q328" t="s">
        <v>43</v>
      </c>
      <c r="R328" t="s">
        <v>28</v>
      </c>
      <c r="S328" t="s">
        <v>28</v>
      </c>
      <c r="T328" t="s">
        <v>28</v>
      </c>
      <c r="U328" t="s">
        <v>43</v>
      </c>
      <c r="V328" t="s">
        <v>28</v>
      </c>
      <c r="W328" s="16" t="s">
        <v>5629</v>
      </c>
      <c r="X328" t="s">
        <v>5624</v>
      </c>
    </row>
    <row r="329" spans="1:54" x14ac:dyDescent="0.55000000000000004">
      <c r="A329" t="s">
        <v>825</v>
      </c>
      <c r="B329" t="s">
        <v>826</v>
      </c>
      <c r="C329">
        <v>2020</v>
      </c>
      <c r="D329" t="s">
        <v>68</v>
      </c>
      <c r="E329">
        <v>227</v>
      </c>
      <c r="F329">
        <v>5</v>
      </c>
      <c r="H329">
        <v>1519</v>
      </c>
      <c r="I329">
        <v>1529</v>
      </c>
      <c r="K329" s="2" t="s">
        <v>827</v>
      </c>
      <c r="L329" s="2" t="s">
        <v>828</v>
      </c>
      <c r="M329" t="s">
        <v>829</v>
      </c>
      <c r="N329" t="s">
        <v>830</v>
      </c>
      <c r="O329" t="s">
        <v>26</v>
      </c>
      <c r="P329" t="s">
        <v>27</v>
      </c>
      <c r="Q329" t="s">
        <v>43</v>
      </c>
      <c r="R329" t="s">
        <v>28</v>
      </c>
      <c r="S329" t="s">
        <v>28</v>
      </c>
      <c r="T329" t="s">
        <v>43</v>
      </c>
      <c r="U329" t="s">
        <v>28</v>
      </c>
      <c r="V329" t="s">
        <v>28</v>
      </c>
      <c r="W329" s="16" t="s">
        <v>5629</v>
      </c>
      <c r="X329" t="s">
        <v>5624</v>
      </c>
    </row>
    <row r="330" spans="1:54" x14ac:dyDescent="0.55000000000000004">
      <c r="A330" t="s">
        <v>831</v>
      </c>
      <c r="B330" t="s">
        <v>832</v>
      </c>
      <c r="C330">
        <v>2020</v>
      </c>
      <c r="D330" t="s">
        <v>833</v>
      </c>
      <c r="E330">
        <v>65</v>
      </c>
      <c r="F330">
        <v>23</v>
      </c>
      <c r="H330">
        <v>2469</v>
      </c>
      <c r="I330">
        <v>2482</v>
      </c>
      <c r="K330" s="2" t="s">
        <v>834</v>
      </c>
      <c r="L330" s="2" t="s">
        <v>835</v>
      </c>
      <c r="M330" t="s">
        <v>836</v>
      </c>
      <c r="N330" t="s">
        <v>837</v>
      </c>
      <c r="O330" t="s">
        <v>143</v>
      </c>
      <c r="P330" t="s">
        <v>27</v>
      </c>
      <c r="Q330" t="s">
        <v>28</v>
      </c>
      <c r="R330" t="s">
        <v>28</v>
      </c>
      <c r="S330" t="s">
        <v>28</v>
      </c>
      <c r="T330" t="s">
        <v>28</v>
      </c>
      <c r="U330" t="s">
        <v>28</v>
      </c>
      <c r="V330" t="s">
        <v>28</v>
      </c>
      <c r="W330" s="16" t="s">
        <v>5629</v>
      </c>
      <c r="X330" t="s">
        <v>5624</v>
      </c>
    </row>
    <row r="331" spans="1:54" x14ac:dyDescent="0.55000000000000004">
      <c r="A331" t="s">
        <v>838</v>
      </c>
      <c r="B331" t="s">
        <v>839</v>
      </c>
      <c r="C331">
        <v>2020</v>
      </c>
      <c r="D331" t="s">
        <v>807</v>
      </c>
      <c r="E331">
        <v>26</v>
      </c>
      <c r="F331">
        <v>8</v>
      </c>
      <c r="H331">
        <v>4559</v>
      </c>
      <c r="I331">
        <v>4571</v>
      </c>
      <c r="K331" s="2" t="s">
        <v>840</v>
      </c>
      <c r="L331" s="2" t="s">
        <v>841</v>
      </c>
      <c r="M331" t="s">
        <v>842</v>
      </c>
      <c r="N331" t="s">
        <v>843</v>
      </c>
      <c r="O331" t="s">
        <v>26</v>
      </c>
      <c r="P331" t="s">
        <v>27</v>
      </c>
      <c r="Q331" t="s">
        <v>43</v>
      </c>
      <c r="R331" t="s">
        <v>28</v>
      </c>
      <c r="S331" t="s">
        <v>28</v>
      </c>
      <c r="T331" t="s">
        <v>28</v>
      </c>
      <c r="U331" t="s">
        <v>28</v>
      </c>
      <c r="V331" t="s">
        <v>43</v>
      </c>
      <c r="W331" s="16" t="s">
        <v>5629</v>
      </c>
      <c r="X331" t="s">
        <v>5624</v>
      </c>
    </row>
    <row r="332" spans="1:54" x14ac:dyDescent="0.55000000000000004">
      <c r="A332" t="s">
        <v>844</v>
      </c>
      <c r="B332" t="s">
        <v>845</v>
      </c>
      <c r="C332">
        <v>2020</v>
      </c>
      <c r="D332" t="s">
        <v>53</v>
      </c>
      <c r="E332">
        <v>147</v>
      </c>
      <c r="G332">
        <v>107826</v>
      </c>
      <c r="K332" s="2" t="s">
        <v>846</v>
      </c>
      <c r="L332" s="2" t="s">
        <v>847</v>
      </c>
      <c r="M332" t="s">
        <v>848</v>
      </c>
      <c r="N332" t="s">
        <v>849</v>
      </c>
      <c r="O332" t="s">
        <v>26</v>
      </c>
      <c r="P332" t="s">
        <v>27</v>
      </c>
      <c r="Q332" t="s">
        <v>43</v>
      </c>
      <c r="R332" t="s">
        <v>28</v>
      </c>
      <c r="S332" t="s">
        <v>28</v>
      </c>
      <c r="T332" t="s">
        <v>28</v>
      </c>
      <c r="U332" t="s">
        <v>28</v>
      </c>
      <c r="V332" t="s">
        <v>28</v>
      </c>
      <c r="W332" s="16" t="s">
        <v>5629</v>
      </c>
      <c r="X332" t="s">
        <v>5624</v>
      </c>
    </row>
    <row r="333" spans="1:54" x14ac:dyDescent="0.55000000000000004">
      <c r="A333" t="s">
        <v>850</v>
      </c>
      <c r="B333" t="s">
        <v>851</v>
      </c>
      <c r="C333">
        <v>2020</v>
      </c>
      <c r="D333" t="s">
        <v>68</v>
      </c>
      <c r="E333">
        <v>227</v>
      </c>
      <c r="F333">
        <v>2</v>
      </c>
      <c r="H333">
        <v>601</v>
      </c>
      <c r="I333">
        <v>612</v>
      </c>
      <c r="K333" s="2" t="s">
        <v>852</v>
      </c>
      <c r="L333" s="2" t="s">
        <v>853</v>
      </c>
      <c r="M333" t="s">
        <v>854</v>
      </c>
      <c r="N333" t="s">
        <v>855</v>
      </c>
      <c r="O333" t="s">
        <v>26</v>
      </c>
      <c r="P333" t="s">
        <v>27</v>
      </c>
      <c r="Q333" t="s">
        <v>28</v>
      </c>
      <c r="R333" t="s">
        <v>28</v>
      </c>
      <c r="S333" t="s">
        <v>28</v>
      </c>
      <c r="T333" t="s">
        <v>28</v>
      </c>
      <c r="U333" t="s">
        <v>28</v>
      </c>
      <c r="V333" t="s">
        <v>28</v>
      </c>
      <c r="W333" s="16" t="s">
        <v>5629</v>
      </c>
      <c r="X333" t="s">
        <v>5624</v>
      </c>
    </row>
    <row r="334" spans="1:54" x14ac:dyDescent="0.55000000000000004">
      <c r="A334" t="s">
        <v>856</v>
      </c>
      <c r="B334" t="s">
        <v>857</v>
      </c>
      <c r="C334">
        <v>2020</v>
      </c>
      <c r="D334" t="s">
        <v>288</v>
      </c>
      <c r="E334">
        <v>108</v>
      </c>
      <c r="F334">
        <v>4</v>
      </c>
      <c r="H334">
        <v>1250</v>
      </c>
      <c r="I334">
        <v>1261</v>
      </c>
      <c r="K334" s="2" t="s">
        <v>858</v>
      </c>
      <c r="L334" s="2" t="s">
        <v>859</v>
      </c>
      <c r="M334" t="s">
        <v>860</v>
      </c>
      <c r="N334" t="s">
        <v>861</v>
      </c>
      <c r="O334" t="s">
        <v>26</v>
      </c>
      <c r="P334" t="s">
        <v>27</v>
      </c>
      <c r="Q334" t="s">
        <v>28</v>
      </c>
      <c r="R334" t="s">
        <v>28</v>
      </c>
      <c r="S334" t="s">
        <v>28</v>
      </c>
      <c r="T334" t="s">
        <v>28</v>
      </c>
      <c r="U334" t="s">
        <v>28</v>
      </c>
      <c r="V334" t="s">
        <v>28</v>
      </c>
      <c r="W334" s="16" t="s">
        <v>5629</v>
      </c>
      <c r="X334" t="s">
        <v>5624</v>
      </c>
    </row>
    <row r="335" spans="1:54" x14ac:dyDescent="0.55000000000000004">
      <c r="A335" s="2" t="s">
        <v>862</v>
      </c>
      <c r="B335" s="2" t="s">
        <v>863</v>
      </c>
      <c r="C335" s="2">
        <v>2020</v>
      </c>
      <c r="D335" s="2" t="s">
        <v>864</v>
      </c>
      <c r="E335" s="2">
        <v>29</v>
      </c>
      <c r="F335" s="2">
        <v>13</v>
      </c>
      <c r="G335" s="2"/>
      <c r="H335" s="2">
        <v>2321</v>
      </c>
      <c r="I335" s="2">
        <v>2333</v>
      </c>
      <c r="J335" s="2"/>
      <c r="K335" s="2" t="s">
        <v>865</v>
      </c>
      <c r="L335" s="2" t="s">
        <v>866</v>
      </c>
      <c r="M335" s="2" t="s">
        <v>867</v>
      </c>
      <c r="N335" s="2" t="s">
        <v>868</v>
      </c>
      <c r="O335" s="2" t="s">
        <v>26</v>
      </c>
      <c r="P335" s="2" t="s">
        <v>27</v>
      </c>
      <c r="Q335" s="2" t="s">
        <v>28</v>
      </c>
      <c r="R335" s="2" t="s">
        <v>28</v>
      </c>
      <c r="S335" s="2" t="s">
        <v>28</v>
      </c>
      <c r="T335" s="2" t="s">
        <v>28</v>
      </c>
      <c r="U335" s="2" t="s">
        <v>28</v>
      </c>
      <c r="V335" s="2" t="s">
        <v>28</v>
      </c>
      <c r="W335" s="16" t="s">
        <v>5629</v>
      </c>
      <c r="X335" t="s">
        <v>5624</v>
      </c>
      <c r="Y335" s="2"/>
      <c r="Z335" s="2"/>
      <c r="AA335" s="2"/>
      <c r="AB335" s="2"/>
      <c r="AC335" s="2"/>
      <c r="AD335" s="2"/>
      <c r="AG335" s="2"/>
      <c r="AH335" s="2"/>
      <c r="AI335" s="2"/>
      <c r="AJ335" s="2"/>
      <c r="AK335" s="2"/>
      <c r="AL335" s="2"/>
      <c r="AM335" s="2"/>
      <c r="AN335" s="2"/>
      <c r="AO335" s="2"/>
      <c r="AP335" s="2"/>
      <c r="AQ335" s="2"/>
      <c r="AR335" s="2"/>
      <c r="AS335" s="2"/>
      <c r="AT335" s="2"/>
      <c r="AU335" s="2"/>
      <c r="AW335" s="2"/>
      <c r="AX335" s="2"/>
      <c r="AY335" s="2"/>
      <c r="BA335" s="2"/>
      <c r="BB335" s="2"/>
    </row>
    <row r="336" spans="1:54" x14ac:dyDescent="0.55000000000000004">
      <c r="A336" t="s">
        <v>869</v>
      </c>
      <c r="B336" t="s">
        <v>870</v>
      </c>
      <c r="C336">
        <v>2020</v>
      </c>
      <c r="D336" t="s">
        <v>871</v>
      </c>
      <c r="E336">
        <v>3</v>
      </c>
      <c r="G336">
        <v>64</v>
      </c>
      <c r="K336" s="2" t="s">
        <v>872</v>
      </c>
      <c r="L336" s="2" t="s">
        <v>873</v>
      </c>
      <c r="M336" t="s">
        <v>874</v>
      </c>
      <c r="N336" t="s">
        <v>875</v>
      </c>
      <c r="O336" t="s">
        <v>26</v>
      </c>
      <c r="P336" t="s">
        <v>27</v>
      </c>
      <c r="Q336" t="s">
        <v>43</v>
      </c>
      <c r="R336" t="s">
        <v>28</v>
      </c>
      <c r="S336" t="s">
        <v>28</v>
      </c>
      <c r="T336" t="s">
        <v>43</v>
      </c>
      <c r="U336" t="s">
        <v>43</v>
      </c>
      <c r="V336" t="s">
        <v>28</v>
      </c>
      <c r="W336" s="16" t="s">
        <v>5629</v>
      </c>
      <c r="X336" t="s">
        <v>5624</v>
      </c>
      <c r="AZ336" s="20" t="s">
        <v>5692</v>
      </c>
    </row>
    <row r="337" spans="1:24" x14ac:dyDescent="0.55000000000000004">
      <c r="A337" t="s">
        <v>876</v>
      </c>
      <c r="B337" t="s">
        <v>877</v>
      </c>
      <c r="C337">
        <v>2020</v>
      </c>
      <c r="D337" t="s">
        <v>372</v>
      </c>
      <c r="E337">
        <v>466</v>
      </c>
      <c r="G337">
        <v>118135</v>
      </c>
      <c r="K337" s="2" t="s">
        <v>878</v>
      </c>
      <c r="L337" s="2" t="s">
        <v>879</v>
      </c>
      <c r="M337" t="s">
        <v>880</v>
      </c>
      <c r="N337" t="s">
        <v>881</v>
      </c>
      <c r="O337" t="s">
        <v>143</v>
      </c>
      <c r="P337" t="s">
        <v>27</v>
      </c>
      <c r="Q337" s="2" t="s">
        <v>28</v>
      </c>
      <c r="R337" s="2" t="s">
        <v>28</v>
      </c>
      <c r="S337" s="2" t="s">
        <v>28</v>
      </c>
      <c r="T337" s="2" t="s">
        <v>28</v>
      </c>
      <c r="U337" s="2" t="s">
        <v>28</v>
      </c>
      <c r="V337" s="2" t="s">
        <v>28</v>
      </c>
      <c r="W337" s="16" t="s">
        <v>5629</v>
      </c>
      <c r="X337" t="s">
        <v>5624</v>
      </c>
    </row>
    <row r="338" spans="1:24" x14ac:dyDescent="0.55000000000000004">
      <c r="A338" t="s">
        <v>882</v>
      </c>
      <c r="B338" t="s">
        <v>883</v>
      </c>
      <c r="C338">
        <v>2020</v>
      </c>
      <c r="D338" t="s">
        <v>365</v>
      </c>
      <c r="E338">
        <v>11</v>
      </c>
      <c r="G338">
        <v>1164</v>
      </c>
      <c r="K338" s="2" t="s">
        <v>884</v>
      </c>
      <c r="L338" s="2" t="s">
        <v>885</v>
      </c>
      <c r="M338" t="s">
        <v>886</v>
      </c>
      <c r="N338" t="s">
        <v>887</v>
      </c>
      <c r="O338" t="s">
        <v>26</v>
      </c>
      <c r="P338" t="s">
        <v>27</v>
      </c>
      <c r="Q338" s="2" t="s">
        <v>28</v>
      </c>
      <c r="R338" s="2" t="s">
        <v>28</v>
      </c>
      <c r="S338" s="2" t="s">
        <v>28</v>
      </c>
      <c r="T338" s="2" t="s">
        <v>28</v>
      </c>
      <c r="U338" s="2" t="s">
        <v>28</v>
      </c>
      <c r="V338" s="2" t="s">
        <v>28</v>
      </c>
      <c r="W338" s="16" t="s">
        <v>5629</v>
      </c>
      <c r="X338" t="s">
        <v>5624</v>
      </c>
    </row>
    <row r="339" spans="1:24" x14ac:dyDescent="0.55000000000000004">
      <c r="A339" t="s">
        <v>888</v>
      </c>
      <c r="B339" t="s">
        <v>889</v>
      </c>
      <c r="C339">
        <v>2020</v>
      </c>
      <c r="D339" t="s">
        <v>890</v>
      </c>
      <c r="E339">
        <v>44</v>
      </c>
      <c r="F339">
        <v>6</v>
      </c>
      <c r="H339">
        <v>583</v>
      </c>
      <c r="I339">
        <v>597</v>
      </c>
      <c r="K339" s="2" t="s">
        <v>891</v>
      </c>
      <c r="L339" s="2" t="s">
        <v>892</v>
      </c>
      <c r="M339" t="s">
        <v>893</v>
      </c>
      <c r="N339" t="s">
        <v>894</v>
      </c>
      <c r="O339" t="s">
        <v>26</v>
      </c>
      <c r="P339" t="s">
        <v>27</v>
      </c>
      <c r="Q339" s="2" t="s">
        <v>28</v>
      </c>
      <c r="R339" s="2" t="s">
        <v>28</v>
      </c>
      <c r="S339" s="2" t="s">
        <v>28</v>
      </c>
      <c r="T339" s="2" t="s">
        <v>28</v>
      </c>
      <c r="U339" s="2" t="s">
        <v>28</v>
      </c>
      <c r="V339" s="2" t="s">
        <v>28</v>
      </c>
      <c r="W339" s="16" t="s">
        <v>5629</v>
      </c>
      <c r="X339" t="s">
        <v>5624</v>
      </c>
    </row>
    <row r="340" spans="1:24" x14ac:dyDescent="0.55000000000000004">
      <c r="A340" t="s">
        <v>895</v>
      </c>
      <c r="B340" t="s">
        <v>896</v>
      </c>
      <c r="C340">
        <v>2020</v>
      </c>
      <c r="D340" t="s">
        <v>897</v>
      </c>
      <c r="E340">
        <v>174</v>
      </c>
      <c r="G340">
        <v>112349</v>
      </c>
      <c r="K340" s="2" t="s">
        <v>898</v>
      </c>
      <c r="L340" s="2" t="s">
        <v>899</v>
      </c>
      <c r="M340" t="s">
        <v>900</v>
      </c>
      <c r="N340" t="s">
        <v>901</v>
      </c>
      <c r="O340" t="s">
        <v>26</v>
      </c>
      <c r="P340" t="s">
        <v>27</v>
      </c>
      <c r="Q340" s="2" t="s">
        <v>28</v>
      </c>
      <c r="R340" s="2" t="s">
        <v>28</v>
      </c>
      <c r="S340" s="2" t="s">
        <v>28</v>
      </c>
      <c r="T340" s="2" t="s">
        <v>28</v>
      </c>
      <c r="U340" s="2" t="s">
        <v>28</v>
      </c>
      <c r="V340" s="2" t="s">
        <v>28</v>
      </c>
      <c r="W340" s="16" t="s">
        <v>5629</v>
      </c>
      <c r="X340" t="s">
        <v>5624</v>
      </c>
    </row>
    <row r="341" spans="1:24" x14ac:dyDescent="0.55000000000000004">
      <c r="A341" t="s">
        <v>902</v>
      </c>
      <c r="B341" t="s">
        <v>903</v>
      </c>
      <c r="C341">
        <v>2020</v>
      </c>
      <c r="D341" t="s">
        <v>53</v>
      </c>
      <c r="E341">
        <v>144</v>
      </c>
      <c r="G341">
        <v>107764</v>
      </c>
      <c r="K341" s="2" t="s">
        <v>904</v>
      </c>
      <c r="L341" s="2" t="s">
        <v>905</v>
      </c>
      <c r="M341" t="s">
        <v>906</v>
      </c>
      <c r="N341" t="s">
        <v>907</v>
      </c>
      <c r="O341" t="s">
        <v>26</v>
      </c>
      <c r="P341" t="s">
        <v>27</v>
      </c>
      <c r="Q341" s="2" t="s">
        <v>28</v>
      </c>
      <c r="R341" s="2" t="s">
        <v>28</v>
      </c>
      <c r="S341" s="2" t="s">
        <v>28</v>
      </c>
      <c r="T341" s="2" t="s">
        <v>28</v>
      </c>
      <c r="U341" s="2" t="s">
        <v>28</v>
      </c>
      <c r="V341" s="2" t="s">
        <v>28</v>
      </c>
      <c r="W341" s="16" t="s">
        <v>5629</v>
      </c>
      <c r="X341" t="s">
        <v>5624</v>
      </c>
    </row>
    <row r="342" spans="1:24" x14ac:dyDescent="0.55000000000000004">
      <c r="A342" t="s">
        <v>908</v>
      </c>
      <c r="B342" t="s">
        <v>909</v>
      </c>
      <c r="C342">
        <v>2020</v>
      </c>
      <c r="D342" t="s">
        <v>910</v>
      </c>
      <c r="E342">
        <v>65</v>
      </c>
      <c r="F342">
        <v>5</v>
      </c>
      <c r="H342">
        <v>979</v>
      </c>
      <c r="I342">
        <v>991</v>
      </c>
      <c r="K342" s="2" t="s">
        <v>911</v>
      </c>
      <c r="L342" s="2" t="s">
        <v>912</v>
      </c>
      <c r="M342" t="s">
        <v>913</v>
      </c>
      <c r="O342" t="s">
        <v>26</v>
      </c>
      <c r="P342" t="s">
        <v>27</v>
      </c>
      <c r="Q342" s="2" t="s">
        <v>43</v>
      </c>
      <c r="R342" t="s">
        <v>28</v>
      </c>
      <c r="S342" t="s">
        <v>43</v>
      </c>
      <c r="T342" t="s">
        <v>28</v>
      </c>
      <c r="U342" t="s">
        <v>28</v>
      </c>
      <c r="V342" t="s">
        <v>28</v>
      </c>
      <c r="W342" s="16" t="s">
        <v>5629</v>
      </c>
      <c r="X342" t="s">
        <v>5624</v>
      </c>
    </row>
    <row r="343" spans="1:24" x14ac:dyDescent="0.55000000000000004">
      <c r="A343" t="s">
        <v>914</v>
      </c>
      <c r="B343" t="s">
        <v>915</v>
      </c>
      <c r="C343">
        <v>2020</v>
      </c>
      <c r="D343" t="s">
        <v>916</v>
      </c>
      <c r="E343">
        <v>2</v>
      </c>
      <c r="F343">
        <v>4</v>
      </c>
      <c r="H343">
        <v>349</v>
      </c>
      <c r="I343">
        <v>360</v>
      </c>
      <c r="K343" s="2" t="s">
        <v>917</v>
      </c>
      <c r="L343" s="2" t="s">
        <v>918</v>
      </c>
      <c r="M343" t="s">
        <v>919</v>
      </c>
      <c r="N343" t="s">
        <v>920</v>
      </c>
      <c r="O343" t="s">
        <v>143</v>
      </c>
      <c r="P343" t="s">
        <v>27</v>
      </c>
      <c r="Q343" s="2" t="s">
        <v>28</v>
      </c>
      <c r="R343" t="s">
        <v>28</v>
      </c>
      <c r="S343" t="s">
        <v>28</v>
      </c>
      <c r="T343" t="s">
        <v>28</v>
      </c>
      <c r="U343" t="s">
        <v>28</v>
      </c>
      <c r="V343" t="s">
        <v>28</v>
      </c>
      <c r="W343" s="16" t="s">
        <v>5629</v>
      </c>
      <c r="X343" t="s">
        <v>5624</v>
      </c>
    </row>
    <row r="344" spans="1:24" x14ac:dyDescent="0.55000000000000004">
      <c r="A344" t="s">
        <v>921</v>
      </c>
      <c r="B344" t="s">
        <v>922</v>
      </c>
      <c r="C344">
        <v>2020</v>
      </c>
      <c r="D344" t="s">
        <v>923</v>
      </c>
      <c r="E344">
        <v>192</v>
      </c>
      <c r="F344">
        <v>4</v>
      </c>
      <c r="H344">
        <v>929</v>
      </c>
      <c r="I344">
        <v>937</v>
      </c>
      <c r="K344" s="2" t="s">
        <v>924</v>
      </c>
      <c r="L344" s="2" t="s">
        <v>925</v>
      </c>
      <c r="M344" t="s">
        <v>926</v>
      </c>
      <c r="N344" t="s">
        <v>927</v>
      </c>
      <c r="O344" t="s">
        <v>26</v>
      </c>
      <c r="P344" t="s">
        <v>27</v>
      </c>
      <c r="Q344" s="2" t="s">
        <v>28</v>
      </c>
      <c r="R344" t="s">
        <v>28</v>
      </c>
      <c r="S344" t="s">
        <v>28</v>
      </c>
      <c r="T344" t="s">
        <v>28</v>
      </c>
      <c r="U344" t="s">
        <v>28</v>
      </c>
      <c r="V344" t="s">
        <v>28</v>
      </c>
      <c r="W344" s="16" t="s">
        <v>5629</v>
      </c>
      <c r="X344" t="s">
        <v>5624</v>
      </c>
    </row>
    <row r="345" spans="1:24" x14ac:dyDescent="0.55000000000000004">
      <c r="A345" t="s">
        <v>928</v>
      </c>
      <c r="B345" t="s">
        <v>929</v>
      </c>
      <c r="C345">
        <v>2020</v>
      </c>
      <c r="D345" t="s">
        <v>68</v>
      </c>
      <c r="E345">
        <v>226</v>
      </c>
      <c r="F345">
        <v>1</v>
      </c>
      <c r="H345">
        <v>8</v>
      </c>
      <c r="I345">
        <v>10</v>
      </c>
      <c r="K345" s="2" t="s">
        <v>930</v>
      </c>
      <c r="L345" s="2" t="s">
        <v>931</v>
      </c>
      <c r="M345" t="s">
        <v>932</v>
      </c>
      <c r="N345" t="s">
        <v>933</v>
      </c>
      <c r="O345" t="s">
        <v>170</v>
      </c>
      <c r="P345" t="s">
        <v>27</v>
      </c>
      <c r="Q345" s="2" t="s">
        <v>28</v>
      </c>
      <c r="R345" t="s">
        <v>28</v>
      </c>
      <c r="S345" t="s">
        <v>28</v>
      </c>
      <c r="T345" t="s">
        <v>28</v>
      </c>
      <c r="U345" t="s">
        <v>28</v>
      </c>
      <c r="V345" t="s">
        <v>28</v>
      </c>
      <c r="W345" s="16" t="s">
        <v>5629</v>
      </c>
      <c r="X345" t="s">
        <v>5624</v>
      </c>
    </row>
    <row r="346" spans="1:24" x14ac:dyDescent="0.55000000000000004">
      <c r="A346" t="s">
        <v>934</v>
      </c>
      <c r="B346" t="s">
        <v>935</v>
      </c>
      <c r="C346">
        <v>2020</v>
      </c>
      <c r="D346" t="s">
        <v>60</v>
      </c>
      <c r="E346">
        <v>101</v>
      </c>
      <c r="F346">
        <v>3</v>
      </c>
      <c r="G346" t="s">
        <v>936</v>
      </c>
      <c r="K346" s="2" t="s">
        <v>937</v>
      </c>
      <c r="L346" s="2" t="s">
        <v>938</v>
      </c>
      <c r="M346" t="s">
        <v>939</v>
      </c>
      <c r="N346" t="s">
        <v>940</v>
      </c>
      <c r="O346" t="s">
        <v>26</v>
      </c>
      <c r="P346" t="s">
        <v>27</v>
      </c>
      <c r="Q346" s="2" t="s">
        <v>28</v>
      </c>
      <c r="R346" t="s">
        <v>28</v>
      </c>
      <c r="S346" t="s">
        <v>28</v>
      </c>
      <c r="T346" t="s">
        <v>28</v>
      </c>
      <c r="U346" t="s">
        <v>28</v>
      </c>
      <c r="V346" t="s">
        <v>28</v>
      </c>
      <c r="W346" s="16" t="s">
        <v>5629</v>
      </c>
      <c r="X346" t="s">
        <v>5624</v>
      </c>
    </row>
    <row r="347" spans="1:24" x14ac:dyDescent="0.55000000000000004">
      <c r="A347" t="s">
        <v>941</v>
      </c>
      <c r="B347" t="s">
        <v>942</v>
      </c>
      <c r="C347">
        <v>2020</v>
      </c>
      <c r="D347" t="s">
        <v>105</v>
      </c>
      <c r="E347">
        <v>30</v>
      </c>
      <c r="F347">
        <v>2</v>
      </c>
      <c r="G347" t="s">
        <v>943</v>
      </c>
      <c r="K347" s="2" t="s">
        <v>944</v>
      </c>
      <c r="L347" s="2" t="s">
        <v>945</v>
      </c>
      <c r="M347" t="s">
        <v>946</v>
      </c>
      <c r="N347" t="s">
        <v>947</v>
      </c>
      <c r="O347" t="s">
        <v>26</v>
      </c>
      <c r="P347" t="s">
        <v>27</v>
      </c>
      <c r="Q347" s="2" t="s">
        <v>28</v>
      </c>
      <c r="R347" t="s">
        <v>28</v>
      </c>
      <c r="S347" t="s">
        <v>28</v>
      </c>
      <c r="T347" t="s">
        <v>28</v>
      </c>
      <c r="U347" t="s">
        <v>28</v>
      </c>
      <c r="V347" t="s">
        <v>28</v>
      </c>
      <c r="W347" s="16" t="s">
        <v>5629</v>
      </c>
      <c r="X347" t="s">
        <v>5624</v>
      </c>
    </row>
    <row r="348" spans="1:24" x14ac:dyDescent="0.55000000000000004">
      <c r="A348" t="s">
        <v>954</v>
      </c>
      <c r="B348" t="s">
        <v>955</v>
      </c>
      <c r="C348">
        <v>2020</v>
      </c>
      <c r="D348" t="s">
        <v>956</v>
      </c>
      <c r="E348">
        <v>140</v>
      </c>
      <c r="G348">
        <v>103957</v>
      </c>
      <c r="K348" s="2" t="s">
        <v>957</v>
      </c>
      <c r="L348" s="2" t="s">
        <v>958</v>
      </c>
      <c r="M348" t="s">
        <v>959</v>
      </c>
      <c r="N348" t="s">
        <v>960</v>
      </c>
      <c r="O348" t="s">
        <v>26</v>
      </c>
      <c r="P348" t="s">
        <v>27</v>
      </c>
      <c r="Q348" s="2" t="s">
        <v>28</v>
      </c>
      <c r="R348" t="s">
        <v>28</v>
      </c>
      <c r="S348" t="s">
        <v>28</v>
      </c>
      <c r="T348" t="s">
        <v>28</v>
      </c>
      <c r="U348" t="s">
        <v>28</v>
      </c>
      <c r="V348" t="s">
        <v>28</v>
      </c>
      <c r="W348" s="16" t="s">
        <v>5629</v>
      </c>
      <c r="X348" t="s">
        <v>5624</v>
      </c>
    </row>
    <row r="349" spans="1:24" x14ac:dyDescent="0.55000000000000004">
      <c r="A349" t="s">
        <v>961</v>
      </c>
      <c r="B349" t="s">
        <v>962</v>
      </c>
      <c r="C349">
        <v>2020</v>
      </c>
      <c r="D349" t="s">
        <v>963</v>
      </c>
      <c r="E349">
        <v>48</v>
      </c>
      <c r="G349">
        <v>126506</v>
      </c>
      <c r="K349" s="2" t="s">
        <v>964</v>
      </c>
      <c r="L349" s="2" t="s">
        <v>965</v>
      </c>
      <c r="M349" t="s">
        <v>966</v>
      </c>
      <c r="N349" t="s">
        <v>967</v>
      </c>
      <c r="O349" t="s">
        <v>26</v>
      </c>
      <c r="P349" t="s">
        <v>27</v>
      </c>
      <c r="Q349" t="s">
        <v>43</v>
      </c>
      <c r="R349" t="s">
        <v>28</v>
      </c>
      <c r="S349" t="s">
        <v>43</v>
      </c>
      <c r="T349" t="s">
        <v>28</v>
      </c>
      <c r="U349" t="s">
        <v>28</v>
      </c>
      <c r="V349" t="s">
        <v>28</v>
      </c>
      <c r="W349" s="16" t="s">
        <v>5629</v>
      </c>
      <c r="X349" t="s">
        <v>5624</v>
      </c>
    </row>
    <row r="350" spans="1:24" x14ac:dyDescent="0.55000000000000004">
      <c r="A350" t="s">
        <v>968</v>
      </c>
      <c r="B350" t="s">
        <v>969</v>
      </c>
      <c r="C350">
        <v>2020</v>
      </c>
      <c r="D350" t="s">
        <v>624</v>
      </c>
      <c r="E350">
        <v>10</v>
      </c>
      <c r="G350">
        <v>1658</v>
      </c>
      <c r="K350" s="2" t="s">
        <v>970</v>
      </c>
      <c r="L350" s="2" t="s">
        <v>971</v>
      </c>
      <c r="M350" t="s">
        <v>972</v>
      </c>
      <c r="N350" t="s">
        <v>973</v>
      </c>
      <c r="O350" t="s">
        <v>143</v>
      </c>
      <c r="P350" t="s">
        <v>27</v>
      </c>
      <c r="Q350" t="s">
        <v>28</v>
      </c>
      <c r="R350" t="s">
        <v>28</v>
      </c>
      <c r="S350" t="s">
        <v>28</v>
      </c>
      <c r="T350" t="s">
        <v>28</v>
      </c>
      <c r="U350" t="s">
        <v>28</v>
      </c>
      <c r="V350" t="s">
        <v>28</v>
      </c>
      <c r="W350" s="16" t="s">
        <v>5629</v>
      </c>
      <c r="X350" t="s">
        <v>5624</v>
      </c>
    </row>
    <row r="351" spans="1:24" x14ac:dyDescent="0.55000000000000004">
      <c r="A351" t="s">
        <v>974</v>
      </c>
      <c r="B351" t="s">
        <v>975</v>
      </c>
      <c r="C351">
        <v>2020</v>
      </c>
      <c r="D351" t="s">
        <v>976</v>
      </c>
      <c r="H351">
        <v>97</v>
      </c>
      <c r="I351">
        <v>114</v>
      </c>
      <c r="K351" s="2" t="s">
        <v>977</v>
      </c>
      <c r="L351" s="2" t="s">
        <v>978</v>
      </c>
      <c r="M351" t="s">
        <v>4585</v>
      </c>
      <c r="N351" t="s">
        <v>979</v>
      </c>
      <c r="O351" t="s">
        <v>198</v>
      </c>
      <c r="P351" t="s">
        <v>27</v>
      </c>
      <c r="Q351" t="s">
        <v>28</v>
      </c>
      <c r="R351" t="s">
        <v>28</v>
      </c>
      <c r="S351" t="s">
        <v>28</v>
      </c>
      <c r="T351" t="s">
        <v>28</v>
      </c>
      <c r="U351" t="s">
        <v>28</v>
      </c>
      <c r="V351" t="s">
        <v>28</v>
      </c>
      <c r="W351" s="16" t="s">
        <v>5629</v>
      </c>
      <c r="X351" t="s">
        <v>5624</v>
      </c>
    </row>
    <row r="352" spans="1:24" x14ac:dyDescent="0.55000000000000004">
      <c r="A352" t="s">
        <v>980</v>
      </c>
      <c r="B352" t="s">
        <v>981</v>
      </c>
      <c r="C352">
        <v>2020</v>
      </c>
      <c r="D352" t="s">
        <v>982</v>
      </c>
      <c r="E352">
        <v>54</v>
      </c>
      <c r="F352">
        <v>2</v>
      </c>
      <c r="H352">
        <v>79</v>
      </c>
      <c r="I352">
        <v>85</v>
      </c>
      <c r="K352" s="2" t="s">
        <v>983</v>
      </c>
      <c r="L352" s="2" t="s">
        <v>984</v>
      </c>
      <c r="M352" t="s">
        <v>4586</v>
      </c>
      <c r="N352" t="s">
        <v>985</v>
      </c>
      <c r="O352" t="s">
        <v>26</v>
      </c>
      <c r="P352" t="s">
        <v>27</v>
      </c>
      <c r="Q352" t="s">
        <v>28</v>
      </c>
      <c r="R352" t="s">
        <v>28</v>
      </c>
      <c r="S352" t="s">
        <v>28</v>
      </c>
      <c r="T352" t="s">
        <v>28</v>
      </c>
      <c r="U352" t="s">
        <v>28</v>
      </c>
      <c r="V352" t="s">
        <v>28</v>
      </c>
      <c r="W352" s="16" t="s">
        <v>5629</v>
      </c>
      <c r="X352" t="s">
        <v>5624</v>
      </c>
    </row>
    <row r="353" spans="1:52" x14ac:dyDescent="0.55000000000000004">
      <c r="A353" t="s">
        <v>4587</v>
      </c>
      <c r="B353" t="s">
        <v>986</v>
      </c>
      <c r="C353">
        <v>2020</v>
      </c>
      <c r="D353" t="s">
        <v>987</v>
      </c>
      <c r="E353">
        <v>2020</v>
      </c>
      <c r="F353">
        <v>6</v>
      </c>
      <c r="G353" t="s">
        <v>988</v>
      </c>
      <c r="K353" s="2" t="s">
        <v>989</v>
      </c>
      <c r="L353" s="2" t="s">
        <v>990</v>
      </c>
      <c r="M353" t="s">
        <v>991</v>
      </c>
      <c r="N353" t="s">
        <v>992</v>
      </c>
      <c r="O353" t="s">
        <v>26</v>
      </c>
      <c r="P353" t="s">
        <v>27</v>
      </c>
      <c r="Q353" t="s">
        <v>43</v>
      </c>
      <c r="R353" t="s">
        <v>28</v>
      </c>
      <c r="S353" t="s">
        <v>43</v>
      </c>
      <c r="T353" t="s">
        <v>28</v>
      </c>
      <c r="U353" t="s">
        <v>43</v>
      </c>
      <c r="V353" t="s">
        <v>28</v>
      </c>
      <c r="W353" s="16" t="s">
        <v>5629</v>
      </c>
      <c r="X353" t="s">
        <v>5624</v>
      </c>
    </row>
    <row r="354" spans="1:52" x14ac:dyDescent="0.55000000000000004">
      <c r="A354" t="s">
        <v>993</v>
      </c>
      <c r="B354" t="s">
        <v>994</v>
      </c>
      <c r="C354">
        <v>2020</v>
      </c>
      <c r="D354" t="s">
        <v>995</v>
      </c>
      <c r="E354">
        <v>11</v>
      </c>
      <c r="F354">
        <v>6</v>
      </c>
      <c r="H354">
        <v>347</v>
      </c>
      <c r="I354">
        <v>351</v>
      </c>
      <c r="K354" s="2" t="s">
        <v>996</v>
      </c>
      <c r="L354" s="2" t="s">
        <v>997</v>
      </c>
      <c r="M354" t="s">
        <v>4588</v>
      </c>
      <c r="N354" t="s">
        <v>998</v>
      </c>
      <c r="O354" t="s">
        <v>26</v>
      </c>
      <c r="P354" t="s">
        <v>27</v>
      </c>
      <c r="Q354" t="s">
        <v>28</v>
      </c>
      <c r="R354" t="s">
        <v>28</v>
      </c>
      <c r="S354" t="s">
        <v>28</v>
      </c>
      <c r="T354" t="s">
        <v>28</v>
      </c>
      <c r="U354" t="s">
        <v>28</v>
      </c>
      <c r="V354" t="s">
        <v>28</v>
      </c>
      <c r="W354" s="16" t="s">
        <v>5629</v>
      </c>
      <c r="X354" t="s">
        <v>5624</v>
      </c>
    </row>
    <row r="355" spans="1:52" x14ac:dyDescent="0.55000000000000004">
      <c r="A355" t="s">
        <v>825</v>
      </c>
      <c r="B355" t="s">
        <v>999</v>
      </c>
      <c r="C355">
        <v>2020</v>
      </c>
      <c r="D355" t="s">
        <v>1000</v>
      </c>
      <c r="G355">
        <v>1785667</v>
      </c>
      <c r="K355" s="2" t="s">
        <v>1001</v>
      </c>
      <c r="L355" s="2" t="s">
        <v>1002</v>
      </c>
      <c r="M355" t="s">
        <v>4589</v>
      </c>
      <c r="N355" t="s">
        <v>4590</v>
      </c>
      <c r="O355" t="s">
        <v>26</v>
      </c>
      <c r="P355" t="s">
        <v>27</v>
      </c>
      <c r="Q355" t="s">
        <v>43</v>
      </c>
      <c r="R355" t="s">
        <v>28</v>
      </c>
      <c r="S355" t="s">
        <v>28</v>
      </c>
      <c r="T355" t="s">
        <v>43</v>
      </c>
      <c r="U355" t="s">
        <v>28</v>
      </c>
      <c r="V355" t="s">
        <v>43</v>
      </c>
      <c r="W355" s="16" t="s">
        <v>5629</v>
      </c>
      <c r="X355" t="s">
        <v>5624</v>
      </c>
    </row>
    <row r="356" spans="1:52" x14ac:dyDescent="0.55000000000000004">
      <c r="A356" t="s">
        <v>1003</v>
      </c>
      <c r="B356" t="s">
        <v>1004</v>
      </c>
      <c r="C356">
        <v>2020</v>
      </c>
      <c r="D356" t="s">
        <v>1005</v>
      </c>
      <c r="E356">
        <v>50</v>
      </c>
      <c r="F356">
        <v>5</v>
      </c>
      <c r="H356">
        <v>510</v>
      </c>
      <c r="I356">
        <v>518</v>
      </c>
      <c r="K356" s="2" t="s">
        <v>1006</v>
      </c>
      <c r="L356" s="2" t="s">
        <v>1007</v>
      </c>
      <c r="M356" t="s">
        <v>4591</v>
      </c>
      <c r="N356" t="s">
        <v>1008</v>
      </c>
      <c r="O356" t="s">
        <v>26</v>
      </c>
      <c r="P356" t="s">
        <v>27</v>
      </c>
      <c r="Q356" t="s">
        <v>28</v>
      </c>
      <c r="R356" t="s">
        <v>28</v>
      </c>
      <c r="S356" t="s">
        <v>28</v>
      </c>
      <c r="T356" t="s">
        <v>28</v>
      </c>
      <c r="U356" t="s">
        <v>28</v>
      </c>
      <c r="V356" t="s">
        <v>28</v>
      </c>
      <c r="W356" s="16" t="s">
        <v>5629</v>
      </c>
      <c r="X356" t="s">
        <v>5624</v>
      </c>
    </row>
    <row r="357" spans="1:52" x14ac:dyDescent="0.55000000000000004">
      <c r="A357" t="s">
        <v>4592</v>
      </c>
      <c r="B357" t="s">
        <v>1009</v>
      </c>
      <c r="C357">
        <v>2020</v>
      </c>
      <c r="D357" t="s">
        <v>513</v>
      </c>
      <c r="E357">
        <v>30</v>
      </c>
      <c r="F357">
        <v>1</v>
      </c>
      <c r="H357">
        <v>51</v>
      </c>
      <c r="I357">
        <v>61</v>
      </c>
      <c r="K357" s="2" t="s">
        <v>1010</v>
      </c>
      <c r="L357" s="2" t="s">
        <v>1011</v>
      </c>
      <c r="M357" t="s">
        <v>4593</v>
      </c>
      <c r="N357" t="s">
        <v>1012</v>
      </c>
      <c r="O357" t="s">
        <v>26</v>
      </c>
      <c r="P357" t="s">
        <v>27</v>
      </c>
      <c r="Q357" t="s">
        <v>28</v>
      </c>
      <c r="R357" t="s">
        <v>28</v>
      </c>
      <c r="S357" t="s">
        <v>28</v>
      </c>
      <c r="T357" t="s">
        <v>28</v>
      </c>
      <c r="U357" t="s">
        <v>28</v>
      </c>
      <c r="V357" t="s">
        <v>28</v>
      </c>
      <c r="W357" s="16" t="s">
        <v>5629</v>
      </c>
      <c r="X357" t="s">
        <v>5624</v>
      </c>
    </row>
    <row r="358" spans="1:52" x14ac:dyDescent="0.55000000000000004">
      <c r="A358" t="s">
        <v>1013</v>
      </c>
      <c r="B358" t="s">
        <v>1014</v>
      </c>
      <c r="C358">
        <v>2020</v>
      </c>
      <c r="D358" t="s">
        <v>1015</v>
      </c>
      <c r="E358">
        <v>27</v>
      </c>
      <c r="F358">
        <v>1</v>
      </c>
      <c r="H358">
        <v>465</v>
      </c>
      <c r="I358">
        <v>473</v>
      </c>
      <c r="K358" s="2" t="s">
        <v>1016</v>
      </c>
      <c r="L358" s="2" t="s">
        <v>1017</v>
      </c>
      <c r="M358" t="s">
        <v>4594</v>
      </c>
      <c r="N358" t="s">
        <v>1018</v>
      </c>
      <c r="O358" t="s">
        <v>26</v>
      </c>
      <c r="P358" t="s">
        <v>27</v>
      </c>
      <c r="Q358" t="s">
        <v>28</v>
      </c>
      <c r="R358" t="s">
        <v>28</v>
      </c>
      <c r="S358" t="s">
        <v>28</v>
      </c>
      <c r="T358" t="s">
        <v>28</v>
      </c>
      <c r="U358" t="s">
        <v>28</v>
      </c>
      <c r="V358" t="s">
        <v>28</v>
      </c>
      <c r="W358" s="16" t="s">
        <v>5629</v>
      </c>
      <c r="X358" t="s">
        <v>5624</v>
      </c>
    </row>
    <row r="359" spans="1:52" x14ac:dyDescent="0.55000000000000004">
      <c r="A359" t="s">
        <v>1019</v>
      </c>
      <c r="B359" t="s">
        <v>1020</v>
      </c>
      <c r="C359">
        <v>2020</v>
      </c>
      <c r="D359" t="s">
        <v>351</v>
      </c>
      <c r="E359">
        <v>35</v>
      </c>
      <c r="F359">
        <v>1</v>
      </c>
      <c r="H359">
        <v>208</v>
      </c>
      <c r="I359">
        <v>218</v>
      </c>
      <c r="K359" s="2" t="s">
        <v>1021</v>
      </c>
      <c r="L359" s="2" t="s">
        <v>1022</v>
      </c>
      <c r="M359" t="s">
        <v>4595</v>
      </c>
      <c r="N359" t="s">
        <v>1023</v>
      </c>
      <c r="O359" t="s">
        <v>26</v>
      </c>
      <c r="P359" t="s">
        <v>27</v>
      </c>
      <c r="Q359" t="s">
        <v>43</v>
      </c>
      <c r="R359" t="s">
        <v>28</v>
      </c>
      <c r="S359" t="s">
        <v>28</v>
      </c>
      <c r="T359" t="s">
        <v>43</v>
      </c>
      <c r="U359" t="s">
        <v>43</v>
      </c>
      <c r="V359" t="s">
        <v>28</v>
      </c>
      <c r="W359" s="16" t="s">
        <v>5629</v>
      </c>
      <c r="X359" t="s">
        <v>5624</v>
      </c>
    </row>
    <row r="360" spans="1:52" x14ac:dyDescent="0.55000000000000004">
      <c r="A360" t="s">
        <v>1024</v>
      </c>
      <c r="B360" t="s">
        <v>1025</v>
      </c>
      <c r="C360">
        <v>2020</v>
      </c>
      <c r="D360" t="s">
        <v>53</v>
      </c>
      <c r="E360">
        <v>140</v>
      </c>
      <c r="G360">
        <v>107645</v>
      </c>
      <c r="K360" s="2" t="s">
        <v>1026</v>
      </c>
      <c r="L360" s="2" t="s">
        <v>1027</v>
      </c>
      <c r="M360" t="s">
        <v>4596</v>
      </c>
      <c r="N360" t="s">
        <v>1028</v>
      </c>
      <c r="O360" t="s">
        <v>26</v>
      </c>
      <c r="P360" t="s">
        <v>27</v>
      </c>
      <c r="Q360" t="s">
        <v>43</v>
      </c>
      <c r="R360" t="s">
        <v>28</v>
      </c>
      <c r="S360" t="s">
        <v>28</v>
      </c>
      <c r="T360" t="s">
        <v>43</v>
      </c>
      <c r="U360" t="s">
        <v>43</v>
      </c>
      <c r="V360" t="s">
        <v>28</v>
      </c>
      <c r="W360" s="16" t="s">
        <v>5629</v>
      </c>
      <c r="X360" t="s">
        <v>5624</v>
      </c>
    </row>
    <row r="361" spans="1:52" x14ac:dyDescent="0.55000000000000004">
      <c r="A361" t="s">
        <v>1029</v>
      </c>
      <c r="B361" t="s">
        <v>1030</v>
      </c>
      <c r="C361">
        <v>2020</v>
      </c>
      <c r="D361" t="s">
        <v>53</v>
      </c>
      <c r="E361">
        <v>140</v>
      </c>
      <c r="G361">
        <v>107641</v>
      </c>
      <c r="K361" s="2" t="s">
        <v>1031</v>
      </c>
      <c r="L361" s="2" t="s">
        <v>1032</v>
      </c>
      <c r="M361" t="s">
        <v>4597</v>
      </c>
      <c r="N361" t="s">
        <v>1033</v>
      </c>
      <c r="O361" t="s">
        <v>26</v>
      </c>
      <c r="P361" t="s">
        <v>27</v>
      </c>
      <c r="Q361" t="s">
        <v>28</v>
      </c>
      <c r="R361" t="s">
        <v>28</v>
      </c>
      <c r="S361" t="s">
        <v>28</v>
      </c>
      <c r="T361" t="s">
        <v>28</v>
      </c>
      <c r="U361" t="s">
        <v>28</v>
      </c>
      <c r="V361" t="s">
        <v>28</v>
      </c>
      <c r="W361" s="16" t="s">
        <v>5629</v>
      </c>
      <c r="X361" t="s">
        <v>5624</v>
      </c>
    </row>
    <row r="362" spans="1:52" x14ac:dyDescent="0.55000000000000004">
      <c r="A362" t="s">
        <v>1034</v>
      </c>
      <c r="B362" t="s">
        <v>1035</v>
      </c>
      <c r="C362">
        <v>2020</v>
      </c>
      <c r="D362" t="s">
        <v>1036</v>
      </c>
      <c r="E362">
        <v>56</v>
      </c>
      <c r="F362">
        <v>1</v>
      </c>
      <c r="H362">
        <v>11</v>
      </c>
      <c r="I362">
        <v>24</v>
      </c>
      <c r="K362" s="2" t="s">
        <v>1037</v>
      </c>
      <c r="L362" s="2" t="s">
        <v>1038</v>
      </c>
      <c r="M362" t="s">
        <v>4598</v>
      </c>
      <c r="N362" t="s">
        <v>1039</v>
      </c>
      <c r="O362" t="s">
        <v>26</v>
      </c>
      <c r="P362" t="s">
        <v>27</v>
      </c>
      <c r="Q362" t="s">
        <v>28</v>
      </c>
      <c r="R362" t="s">
        <v>28</v>
      </c>
      <c r="S362" t="s">
        <v>28</v>
      </c>
      <c r="T362" t="s">
        <v>28</v>
      </c>
      <c r="U362" t="s">
        <v>28</v>
      </c>
      <c r="V362" t="s">
        <v>28</v>
      </c>
      <c r="W362" s="16" t="s">
        <v>5629</v>
      </c>
      <c r="X362" t="s">
        <v>5624</v>
      </c>
    </row>
    <row r="363" spans="1:52" x14ac:dyDescent="0.55000000000000004">
      <c r="A363" t="s">
        <v>1040</v>
      </c>
      <c r="B363" t="s">
        <v>1041</v>
      </c>
      <c r="C363">
        <v>2019</v>
      </c>
      <c r="D363" t="s">
        <v>871</v>
      </c>
      <c r="E363">
        <v>2</v>
      </c>
      <c r="G363">
        <v>81</v>
      </c>
      <c r="K363" s="2" t="s">
        <v>1042</v>
      </c>
      <c r="L363" s="2" t="s">
        <v>1043</v>
      </c>
      <c r="M363" t="s">
        <v>4599</v>
      </c>
      <c r="N363" t="s">
        <v>1044</v>
      </c>
      <c r="O363" t="s">
        <v>26</v>
      </c>
      <c r="P363" t="s">
        <v>27</v>
      </c>
      <c r="Q363" t="s">
        <v>43</v>
      </c>
      <c r="R363" t="s">
        <v>28</v>
      </c>
      <c r="S363" t="s">
        <v>28</v>
      </c>
      <c r="T363" t="s">
        <v>43</v>
      </c>
      <c r="U363" t="s">
        <v>28</v>
      </c>
      <c r="V363" t="s">
        <v>28</v>
      </c>
      <c r="W363" s="16" t="s">
        <v>5629</v>
      </c>
      <c r="X363" t="s">
        <v>5624</v>
      </c>
    </row>
    <row r="364" spans="1:52" x14ac:dyDescent="0.55000000000000004">
      <c r="A364" t="s">
        <v>1045</v>
      </c>
      <c r="B364" t="s">
        <v>1046</v>
      </c>
      <c r="C364">
        <v>2019</v>
      </c>
      <c r="D364" t="s">
        <v>668</v>
      </c>
      <c r="E364">
        <v>10</v>
      </c>
      <c r="F364">
        <v>12</v>
      </c>
      <c r="G364">
        <v>1112</v>
      </c>
      <c r="K364" s="2" t="s">
        <v>1047</v>
      </c>
      <c r="L364" s="2" t="s">
        <v>1048</v>
      </c>
      <c r="M364" t="s">
        <v>4600</v>
      </c>
      <c r="N364" t="s">
        <v>1049</v>
      </c>
      <c r="O364" t="s">
        <v>26</v>
      </c>
      <c r="P364" t="s">
        <v>27</v>
      </c>
      <c r="Q364" t="s">
        <v>28</v>
      </c>
      <c r="R364" t="s">
        <v>28</v>
      </c>
      <c r="S364" t="s">
        <v>28</v>
      </c>
      <c r="T364" t="s">
        <v>28</v>
      </c>
      <c r="U364" t="s">
        <v>28</v>
      </c>
      <c r="V364" t="s">
        <v>28</v>
      </c>
      <c r="W364" s="16" t="s">
        <v>5629</v>
      </c>
      <c r="X364" t="s">
        <v>5624</v>
      </c>
    </row>
    <row r="365" spans="1:52" x14ac:dyDescent="0.55000000000000004">
      <c r="A365" t="s">
        <v>1050</v>
      </c>
      <c r="B365" t="s">
        <v>1051</v>
      </c>
      <c r="C365">
        <v>2019</v>
      </c>
      <c r="D365" t="s">
        <v>1052</v>
      </c>
      <c r="E365">
        <v>12</v>
      </c>
      <c r="F365">
        <v>12</v>
      </c>
      <c r="H365">
        <v>989</v>
      </c>
      <c r="I365">
        <v>994</v>
      </c>
      <c r="K365" s="2" t="s">
        <v>1053</v>
      </c>
      <c r="L365" s="2" t="s">
        <v>1054</v>
      </c>
      <c r="M365" t="s">
        <v>4601</v>
      </c>
      <c r="O365" t="s">
        <v>26</v>
      </c>
      <c r="P365" t="s">
        <v>27</v>
      </c>
      <c r="Q365" t="s">
        <v>43</v>
      </c>
      <c r="R365" t="s">
        <v>28</v>
      </c>
      <c r="S365" t="s">
        <v>43</v>
      </c>
      <c r="T365" t="s">
        <v>43</v>
      </c>
      <c r="U365" t="s">
        <v>43</v>
      </c>
      <c r="V365" t="s">
        <v>43</v>
      </c>
      <c r="W365" s="16" t="s">
        <v>5629</v>
      </c>
      <c r="X365" t="s">
        <v>5624</v>
      </c>
      <c r="AZ365" s="20" t="s">
        <v>5698</v>
      </c>
    </row>
    <row r="366" spans="1:52" x14ac:dyDescent="0.55000000000000004">
      <c r="A366" t="s">
        <v>4602</v>
      </c>
      <c r="B366" t="s">
        <v>1055</v>
      </c>
      <c r="C366">
        <v>2019</v>
      </c>
      <c r="D366" t="s">
        <v>1056</v>
      </c>
      <c r="E366">
        <v>10</v>
      </c>
      <c r="F366">
        <v>1</v>
      </c>
      <c r="G366">
        <v>5077</v>
      </c>
      <c r="K366" s="2" t="s">
        <v>1057</v>
      </c>
      <c r="L366" s="2" t="s">
        <v>1058</v>
      </c>
      <c r="M366" t="s">
        <v>4603</v>
      </c>
      <c r="O366" t="s">
        <v>26</v>
      </c>
      <c r="P366" t="s">
        <v>27</v>
      </c>
      <c r="Q366" t="s">
        <v>43</v>
      </c>
      <c r="R366" t="s">
        <v>28</v>
      </c>
      <c r="S366" t="s">
        <v>28</v>
      </c>
      <c r="T366" t="s">
        <v>28</v>
      </c>
      <c r="U366" t="s">
        <v>43</v>
      </c>
      <c r="V366" t="s">
        <v>43</v>
      </c>
      <c r="W366" s="16" t="s">
        <v>5629</v>
      </c>
      <c r="X366" t="s">
        <v>5624</v>
      </c>
      <c r="AZ366" s="20" t="s">
        <v>5681</v>
      </c>
    </row>
    <row r="367" spans="1:52" x14ac:dyDescent="0.55000000000000004">
      <c r="A367" t="s">
        <v>1059</v>
      </c>
      <c r="B367" t="s">
        <v>1060</v>
      </c>
      <c r="C367">
        <v>2019</v>
      </c>
      <c r="D367" t="s">
        <v>466</v>
      </c>
      <c r="E367">
        <v>22</v>
      </c>
      <c r="F367">
        <v>12</v>
      </c>
      <c r="H367">
        <v>2111</v>
      </c>
      <c r="I367">
        <v>2119</v>
      </c>
      <c r="K367" s="2" t="s">
        <v>1061</v>
      </c>
      <c r="L367" s="2" t="s">
        <v>1062</v>
      </c>
      <c r="M367" t="s">
        <v>4604</v>
      </c>
      <c r="N367" t="s">
        <v>1063</v>
      </c>
      <c r="O367" t="s">
        <v>496</v>
      </c>
      <c r="P367" t="s">
        <v>27</v>
      </c>
      <c r="Q367" t="s">
        <v>28</v>
      </c>
      <c r="R367" t="s">
        <v>28</v>
      </c>
      <c r="S367" t="s">
        <v>28</v>
      </c>
      <c r="T367" t="s">
        <v>28</v>
      </c>
      <c r="U367" t="s">
        <v>28</v>
      </c>
      <c r="V367" t="s">
        <v>28</v>
      </c>
      <c r="W367" s="16" t="s">
        <v>5629</v>
      </c>
      <c r="X367" t="s">
        <v>5624</v>
      </c>
    </row>
    <row r="368" spans="1:52" x14ac:dyDescent="0.55000000000000004">
      <c r="A368" t="s">
        <v>1064</v>
      </c>
      <c r="B368" t="s">
        <v>1065</v>
      </c>
      <c r="C368">
        <v>2019</v>
      </c>
      <c r="D368" t="s">
        <v>282</v>
      </c>
      <c r="E368">
        <v>9</v>
      </c>
      <c r="F368">
        <v>1</v>
      </c>
      <c r="G368">
        <v>8240</v>
      </c>
      <c r="K368" s="2" t="s">
        <v>1066</v>
      </c>
      <c r="L368" s="2" t="s">
        <v>1067</v>
      </c>
      <c r="M368" t="s">
        <v>4605</v>
      </c>
      <c r="O368" t="s">
        <v>26</v>
      </c>
      <c r="P368" t="s">
        <v>27</v>
      </c>
      <c r="Q368" t="s">
        <v>28</v>
      </c>
      <c r="R368" t="s">
        <v>28</v>
      </c>
      <c r="S368" t="s">
        <v>28</v>
      </c>
      <c r="T368" t="s">
        <v>28</v>
      </c>
      <c r="U368" t="s">
        <v>28</v>
      </c>
      <c r="V368" t="s">
        <v>28</v>
      </c>
      <c r="W368" s="16" t="s">
        <v>5629</v>
      </c>
      <c r="X368" t="s">
        <v>5624</v>
      </c>
    </row>
    <row r="369" spans="1:52" x14ac:dyDescent="0.55000000000000004">
      <c r="A369" t="s">
        <v>1068</v>
      </c>
      <c r="B369" t="s">
        <v>1069</v>
      </c>
      <c r="C369">
        <v>2019</v>
      </c>
      <c r="D369" t="s">
        <v>38</v>
      </c>
      <c r="E369">
        <v>693</v>
      </c>
      <c r="G369">
        <v>133548</v>
      </c>
      <c r="K369" s="2" t="s">
        <v>1070</v>
      </c>
      <c r="L369" s="2" t="s">
        <v>1071</v>
      </c>
      <c r="M369" t="s">
        <v>4606</v>
      </c>
      <c r="N369" t="s">
        <v>1072</v>
      </c>
      <c r="O369" t="s">
        <v>26</v>
      </c>
      <c r="P369" t="s">
        <v>27</v>
      </c>
      <c r="Q369" t="s">
        <v>43</v>
      </c>
      <c r="R369" t="s">
        <v>28</v>
      </c>
      <c r="S369" t="s">
        <v>28</v>
      </c>
      <c r="T369" t="s">
        <v>28</v>
      </c>
      <c r="U369" t="s">
        <v>43</v>
      </c>
      <c r="V369" t="s">
        <v>28</v>
      </c>
      <c r="W369" s="16" t="s">
        <v>5629</v>
      </c>
      <c r="X369" t="s">
        <v>5624</v>
      </c>
    </row>
    <row r="370" spans="1:52" x14ac:dyDescent="0.55000000000000004">
      <c r="A370" t="s">
        <v>1073</v>
      </c>
      <c r="B370" t="s">
        <v>1074</v>
      </c>
      <c r="C370">
        <v>2019</v>
      </c>
      <c r="D370" t="s">
        <v>131</v>
      </c>
      <c r="E370">
        <v>14</v>
      </c>
      <c r="F370">
        <v>11</v>
      </c>
      <c r="G370" t="s">
        <v>1075</v>
      </c>
      <c r="K370" s="2" t="s">
        <v>1076</v>
      </c>
      <c r="L370" s="2" t="s">
        <v>1077</v>
      </c>
      <c r="M370" t="s">
        <v>4607</v>
      </c>
      <c r="O370" t="s">
        <v>26</v>
      </c>
      <c r="P370" t="s">
        <v>27</v>
      </c>
      <c r="Q370" t="s">
        <v>28</v>
      </c>
      <c r="R370" t="s">
        <v>28</v>
      </c>
      <c r="S370" t="s">
        <v>28</v>
      </c>
      <c r="T370" t="s">
        <v>28</v>
      </c>
      <c r="U370" t="s">
        <v>28</v>
      </c>
      <c r="V370" t="s">
        <v>28</v>
      </c>
      <c r="W370" s="16" t="s">
        <v>5629</v>
      </c>
      <c r="X370" t="s">
        <v>5624</v>
      </c>
    </row>
    <row r="371" spans="1:52" x14ac:dyDescent="0.55000000000000004">
      <c r="A371" t="s">
        <v>1078</v>
      </c>
      <c r="B371" t="s">
        <v>1079</v>
      </c>
      <c r="C371">
        <v>2019</v>
      </c>
      <c r="D371" t="s">
        <v>513</v>
      </c>
      <c r="E371">
        <v>29</v>
      </c>
      <c r="F371">
        <v>6</v>
      </c>
      <c r="H371">
        <v>591</v>
      </c>
      <c r="I371">
        <v>598</v>
      </c>
      <c r="K371" s="2" t="s">
        <v>1080</v>
      </c>
      <c r="L371" s="2" t="s">
        <v>1081</v>
      </c>
      <c r="M371" t="s">
        <v>4608</v>
      </c>
      <c r="N371" t="s">
        <v>1082</v>
      </c>
      <c r="O371" t="s">
        <v>26</v>
      </c>
      <c r="P371" t="s">
        <v>27</v>
      </c>
      <c r="Q371" t="s">
        <v>28</v>
      </c>
      <c r="R371" t="s">
        <v>28</v>
      </c>
      <c r="S371" t="s">
        <v>28</v>
      </c>
      <c r="T371" t="s">
        <v>28</v>
      </c>
      <c r="U371" t="s">
        <v>28</v>
      </c>
      <c r="V371" t="s">
        <v>28</v>
      </c>
      <c r="W371" s="16" t="s">
        <v>5629</v>
      </c>
      <c r="X371" t="s">
        <v>5624</v>
      </c>
    </row>
    <row r="372" spans="1:52" x14ac:dyDescent="0.55000000000000004">
      <c r="A372" t="s">
        <v>1083</v>
      </c>
      <c r="B372" t="s">
        <v>1084</v>
      </c>
      <c r="C372">
        <v>2019</v>
      </c>
      <c r="D372" t="s">
        <v>1085</v>
      </c>
      <c r="E372">
        <v>77</v>
      </c>
      <c r="G372">
        <v>150591</v>
      </c>
      <c r="K372" s="2" t="s">
        <v>1086</v>
      </c>
      <c r="L372" s="2" t="s">
        <v>1087</v>
      </c>
      <c r="M372" t="s">
        <v>4609</v>
      </c>
      <c r="N372" t="s">
        <v>1088</v>
      </c>
      <c r="O372" t="s">
        <v>26</v>
      </c>
      <c r="P372" t="s">
        <v>27</v>
      </c>
      <c r="Q372" t="s">
        <v>28</v>
      </c>
      <c r="R372" t="s">
        <v>28</v>
      </c>
      <c r="S372" t="s">
        <v>28</v>
      </c>
      <c r="T372" t="s">
        <v>28</v>
      </c>
      <c r="U372" t="s">
        <v>28</v>
      </c>
      <c r="V372" t="s">
        <v>28</v>
      </c>
      <c r="W372" s="16" t="s">
        <v>5629</v>
      </c>
      <c r="X372" t="s">
        <v>5624</v>
      </c>
    </row>
    <row r="373" spans="1:52" x14ac:dyDescent="0.55000000000000004">
      <c r="A373" t="s">
        <v>4610</v>
      </c>
      <c r="B373" t="s">
        <v>1089</v>
      </c>
      <c r="C373">
        <v>2019</v>
      </c>
      <c r="D373" t="s">
        <v>1090</v>
      </c>
      <c r="E373">
        <v>41</v>
      </c>
      <c r="H373">
        <v>234</v>
      </c>
      <c r="I373">
        <v>244</v>
      </c>
      <c r="K373" s="2" t="s">
        <v>1091</v>
      </c>
      <c r="L373" s="2" t="s">
        <v>1092</v>
      </c>
      <c r="M373" t="s">
        <v>4611</v>
      </c>
      <c r="N373" t="s">
        <v>1093</v>
      </c>
      <c r="O373" t="s">
        <v>26</v>
      </c>
      <c r="P373" t="s">
        <v>27</v>
      </c>
      <c r="Q373" t="s">
        <v>28</v>
      </c>
      <c r="R373" t="s">
        <v>28</v>
      </c>
      <c r="S373" t="s">
        <v>28</v>
      </c>
      <c r="T373" t="s">
        <v>28</v>
      </c>
      <c r="U373" t="s">
        <v>28</v>
      </c>
      <c r="V373" t="s">
        <v>28</v>
      </c>
      <c r="W373" s="16" t="s">
        <v>5629</v>
      </c>
      <c r="X373" t="s">
        <v>5624</v>
      </c>
    </row>
    <row r="374" spans="1:52" x14ac:dyDescent="0.55000000000000004">
      <c r="A374" t="s">
        <v>4616</v>
      </c>
      <c r="B374" t="s">
        <v>1098</v>
      </c>
      <c r="C374">
        <v>2019</v>
      </c>
      <c r="D374" t="s">
        <v>1099</v>
      </c>
      <c r="E374">
        <v>33</v>
      </c>
      <c r="F374">
        <v>5</v>
      </c>
      <c r="H374">
        <v>1447</v>
      </c>
      <c r="I374">
        <v>1457</v>
      </c>
      <c r="K374" s="2" t="s">
        <v>1100</v>
      </c>
      <c r="L374" s="2" t="s">
        <v>1101</v>
      </c>
      <c r="M374" t="s">
        <v>4617</v>
      </c>
      <c r="N374" t="s">
        <v>4618</v>
      </c>
      <c r="O374" t="s">
        <v>26</v>
      </c>
      <c r="P374" t="s">
        <v>27</v>
      </c>
      <c r="Q374" t="s">
        <v>28</v>
      </c>
      <c r="R374" t="s">
        <v>28</v>
      </c>
      <c r="S374" t="s">
        <v>28</v>
      </c>
      <c r="T374" t="s">
        <v>28</v>
      </c>
      <c r="U374" t="s">
        <v>28</v>
      </c>
      <c r="V374" t="s">
        <v>28</v>
      </c>
      <c r="W374" s="16" t="s">
        <v>5629</v>
      </c>
      <c r="X374" t="s">
        <v>5624</v>
      </c>
    </row>
    <row r="375" spans="1:52" x14ac:dyDescent="0.55000000000000004">
      <c r="A375" t="s">
        <v>1102</v>
      </c>
      <c r="B375" t="s">
        <v>1103</v>
      </c>
      <c r="C375">
        <v>2019</v>
      </c>
      <c r="D375" t="s">
        <v>781</v>
      </c>
      <c r="E375">
        <v>142</v>
      </c>
      <c r="H375">
        <v>155</v>
      </c>
      <c r="I375">
        <v>165</v>
      </c>
      <c r="K375" s="2" t="s">
        <v>1104</v>
      </c>
      <c r="L375" s="2" t="s">
        <v>1105</v>
      </c>
      <c r="M375" t="s">
        <v>4619</v>
      </c>
      <c r="N375" t="s">
        <v>1106</v>
      </c>
      <c r="O375" t="s">
        <v>26</v>
      </c>
      <c r="P375" t="s">
        <v>27</v>
      </c>
      <c r="Q375" t="s">
        <v>28</v>
      </c>
      <c r="R375" t="s">
        <v>28</v>
      </c>
      <c r="S375" t="s">
        <v>28</v>
      </c>
      <c r="T375" t="s">
        <v>28</v>
      </c>
      <c r="U375" t="s">
        <v>28</v>
      </c>
      <c r="V375" t="s">
        <v>28</v>
      </c>
      <c r="W375" s="16" t="s">
        <v>5629</v>
      </c>
      <c r="X375" t="s">
        <v>5624</v>
      </c>
    </row>
    <row r="376" spans="1:52" x14ac:dyDescent="0.55000000000000004">
      <c r="A376" t="s">
        <v>1107</v>
      </c>
      <c r="B376" t="s">
        <v>1108</v>
      </c>
      <c r="C376">
        <v>2019</v>
      </c>
      <c r="D376" t="s">
        <v>1109</v>
      </c>
      <c r="E376">
        <v>46</v>
      </c>
      <c r="F376">
        <v>5</v>
      </c>
      <c r="H376">
        <v>457</v>
      </c>
      <c r="I376">
        <v>465</v>
      </c>
      <c r="K376" s="2" t="s">
        <v>1110</v>
      </c>
      <c r="L376" s="2" t="s">
        <v>1111</v>
      </c>
      <c r="M376" t="s">
        <v>4620</v>
      </c>
      <c r="O376" t="s">
        <v>26</v>
      </c>
      <c r="P376" t="s">
        <v>27</v>
      </c>
      <c r="Q376" t="s">
        <v>28</v>
      </c>
      <c r="R376" t="s">
        <v>28</v>
      </c>
      <c r="S376" t="s">
        <v>28</v>
      </c>
      <c r="T376" t="s">
        <v>28</v>
      </c>
      <c r="U376" t="s">
        <v>28</v>
      </c>
      <c r="V376" t="s">
        <v>28</v>
      </c>
      <c r="W376" s="16" t="s">
        <v>5629</v>
      </c>
      <c r="X376" t="s">
        <v>5624</v>
      </c>
    </row>
    <row r="377" spans="1:52" x14ac:dyDescent="0.55000000000000004">
      <c r="A377" t="s">
        <v>511</v>
      </c>
      <c r="B377" t="s">
        <v>1112</v>
      </c>
      <c r="C377">
        <v>2019</v>
      </c>
      <c r="D377" t="s">
        <v>864</v>
      </c>
      <c r="E377">
        <v>28</v>
      </c>
      <c r="F377">
        <v>18</v>
      </c>
      <c r="H377">
        <v>4290</v>
      </c>
      <c r="I377">
        <v>4299</v>
      </c>
      <c r="K377" s="2" t="s">
        <v>1113</v>
      </c>
      <c r="L377" s="2" t="s">
        <v>1114</v>
      </c>
      <c r="M377" t="s">
        <v>4621</v>
      </c>
      <c r="N377" t="s">
        <v>1115</v>
      </c>
      <c r="O377" t="s">
        <v>26</v>
      </c>
      <c r="P377" t="s">
        <v>27</v>
      </c>
      <c r="Q377" t="s">
        <v>28</v>
      </c>
      <c r="R377" t="s">
        <v>28</v>
      </c>
      <c r="S377" t="s">
        <v>28</v>
      </c>
      <c r="T377" t="s">
        <v>28</v>
      </c>
      <c r="U377" t="s">
        <v>28</v>
      </c>
      <c r="V377" t="s">
        <v>28</v>
      </c>
      <c r="W377" s="16" t="s">
        <v>5629</v>
      </c>
      <c r="X377" t="s">
        <v>5624</v>
      </c>
    </row>
    <row r="378" spans="1:52" x14ac:dyDescent="0.55000000000000004">
      <c r="A378" t="s">
        <v>4622</v>
      </c>
      <c r="B378" t="s">
        <v>1116</v>
      </c>
      <c r="C378">
        <v>2019</v>
      </c>
      <c r="D378" t="s">
        <v>1117</v>
      </c>
      <c r="E378">
        <v>18</v>
      </c>
      <c r="F378">
        <v>9</v>
      </c>
      <c r="H378">
        <v>1231</v>
      </c>
      <c r="I378">
        <v>1240</v>
      </c>
      <c r="K378" s="2" t="s">
        <v>1118</v>
      </c>
      <c r="L378" s="2" t="s">
        <v>1119</v>
      </c>
      <c r="M378" t="s">
        <v>4623</v>
      </c>
      <c r="N378" t="s">
        <v>1120</v>
      </c>
      <c r="O378" t="s">
        <v>26</v>
      </c>
      <c r="P378" t="s">
        <v>27</v>
      </c>
      <c r="Q378" t="s">
        <v>28</v>
      </c>
      <c r="R378" t="s">
        <v>28</v>
      </c>
      <c r="S378" t="s">
        <v>28</v>
      </c>
      <c r="T378" t="s">
        <v>28</v>
      </c>
      <c r="U378" t="s">
        <v>28</v>
      </c>
      <c r="V378" t="s">
        <v>28</v>
      </c>
      <c r="W378" s="16" t="s">
        <v>5629</v>
      </c>
      <c r="X378" t="s">
        <v>5624</v>
      </c>
    </row>
    <row r="379" spans="1:52" x14ac:dyDescent="0.55000000000000004">
      <c r="A379" t="s">
        <v>1121</v>
      </c>
      <c r="B379" t="s">
        <v>1122</v>
      </c>
      <c r="C379">
        <v>2019</v>
      </c>
      <c r="D379" t="s">
        <v>1123</v>
      </c>
      <c r="E379">
        <v>21</v>
      </c>
      <c r="G379">
        <v>101311</v>
      </c>
      <c r="K379" s="2" t="s">
        <v>1124</v>
      </c>
      <c r="L379" s="2" t="s">
        <v>1125</v>
      </c>
      <c r="M379" t="s">
        <v>4624</v>
      </c>
      <c r="N379" t="s">
        <v>1126</v>
      </c>
      <c r="O379" t="s">
        <v>26</v>
      </c>
      <c r="P379" t="s">
        <v>27</v>
      </c>
      <c r="Q379" t="s">
        <v>43</v>
      </c>
      <c r="R379" t="s">
        <v>28</v>
      </c>
      <c r="S379" t="s">
        <v>43</v>
      </c>
      <c r="T379" t="s">
        <v>28</v>
      </c>
      <c r="U379" t="s">
        <v>28</v>
      </c>
      <c r="V379" t="s">
        <v>28</v>
      </c>
      <c r="W379" s="16" t="s">
        <v>5629</v>
      </c>
      <c r="X379" t="s">
        <v>5624</v>
      </c>
    </row>
    <row r="380" spans="1:52" x14ac:dyDescent="0.55000000000000004">
      <c r="A380" t="s">
        <v>1127</v>
      </c>
      <c r="B380" t="s">
        <v>1128</v>
      </c>
      <c r="C380">
        <v>2019</v>
      </c>
      <c r="D380" t="s">
        <v>53</v>
      </c>
      <c r="E380">
        <v>135</v>
      </c>
      <c r="H380">
        <v>264</v>
      </c>
      <c r="I380">
        <v>266</v>
      </c>
      <c r="K380" s="2" t="s">
        <v>1129</v>
      </c>
      <c r="L380" s="2" t="s">
        <v>1130</v>
      </c>
      <c r="M380" t="s">
        <v>4625</v>
      </c>
      <c r="N380" t="s">
        <v>1131</v>
      </c>
      <c r="O380" t="s">
        <v>26</v>
      </c>
      <c r="P380" t="s">
        <v>27</v>
      </c>
      <c r="Q380" t="s">
        <v>28</v>
      </c>
      <c r="R380" t="s">
        <v>28</v>
      </c>
      <c r="S380" t="s">
        <v>28</v>
      </c>
      <c r="T380" t="s">
        <v>28</v>
      </c>
      <c r="U380" t="s">
        <v>28</v>
      </c>
      <c r="V380" t="s">
        <v>28</v>
      </c>
      <c r="W380" s="16" t="s">
        <v>5629</v>
      </c>
      <c r="X380" t="s">
        <v>5624</v>
      </c>
    </row>
    <row r="381" spans="1:52" x14ac:dyDescent="0.55000000000000004">
      <c r="A381" t="s">
        <v>1132</v>
      </c>
      <c r="B381" t="s">
        <v>1133</v>
      </c>
      <c r="C381">
        <v>2019</v>
      </c>
      <c r="D381" t="s">
        <v>68</v>
      </c>
      <c r="E381">
        <v>223</v>
      </c>
      <c r="F381">
        <v>2</v>
      </c>
      <c r="H381">
        <v>896</v>
      </c>
      <c r="I381">
        <v>907</v>
      </c>
      <c r="K381" s="2" t="s">
        <v>1134</v>
      </c>
      <c r="L381" s="2" t="s">
        <v>1135</v>
      </c>
      <c r="M381" t="s">
        <v>4626</v>
      </c>
      <c r="N381" t="s">
        <v>4627</v>
      </c>
      <c r="O381" t="s">
        <v>26</v>
      </c>
      <c r="P381" t="s">
        <v>27</v>
      </c>
      <c r="Q381" t="s">
        <v>28</v>
      </c>
      <c r="R381" t="s">
        <v>28</v>
      </c>
      <c r="S381" t="s">
        <v>28</v>
      </c>
      <c r="T381" t="s">
        <v>28</v>
      </c>
      <c r="U381" t="s">
        <v>28</v>
      </c>
      <c r="V381" t="s">
        <v>28</v>
      </c>
      <c r="W381" s="16" t="s">
        <v>5629</v>
      </c>
      <c r="X381" t="s">
        <v>5624</v>
      </c>
    </row>
    <row r="382" spans="1:52" x14ac:dyDescent="0.55000000000000004">
      <c r="A382" t="s">
        <v>1136</v>
      </c>
      <c r="B382" t="s">
        <v>1137</v>
      </c>
      <c r="C382">
        <v>2019</v>
      </c>
      <c r="D382" t="s">
        <v>668</v>
      </c>
      <c r="E382">
        <v>10</v>
      </c>
      <c r="F382">
        <v>6</v>
      </c>
      <c r="G382">
        <v>502</v>
      </c>
      <c r="K382" s="2" t="s">
        <v>1138</v>
      </c>
      <c r="L382" s="2" t="s">
        <v>1139</v>
      </c>
      <c r="M382" t="s">
        <v>4628</v>
      </c>
      <c r="N382" t="s">
        <v>1140</v>
      </c>
      <c r="O382" t="s">
        <v>26</v>
      </c>
      <c r="P382" t="s">
        <v>27</v>
      </c>
      <c r="Q382" t="s">
        <v>43</v>
      </c>
      <c r="R382" t="s">
        <v>28</v>
      </c>
      <c r="S382" t="s">
        <v>28</v>
      </c>
      <c r="T382" t="s">
        <v>43</v>
      </c>
      <c r="U382" t="s">
        <v>28</v>
      </c>
      <c r="V382" t="s">
        <v>28</v>
      </c>
      <c r="W382" s="16" t="s">
        <v>5629</v>
      </c>
      <c r="X382" t="s">
        <v>5624</v>
      </c>
    </row>
    <row r="383" spans="1:52" x14ac:dyDescent="0.55000000000000004">
      <c r="A383" t="s">
        <v>1141</v>
      </c>
      <c r="B383" t="s">
        <v>1142</v>
      </c>
      <c r="C383">
        <v>2019</v>
      </c>
      <c r="D383" t="s">
        <v>1143</v>
      </c>
      <c r="E383">
        <v>33</v>
      </c>
      <c r="F383">
        <v>4</v>
      </c>
      <c r="H383">
        <v>501</v>
      </c>
      <c r="I383">
        <v>523</v>
      </c>
      <c r="K383" s="2" t="s">
        <v>1144</v>
      </c>
      <c r="L383" s="2" t="s">
        <v>1145</v>
      </c>
      <c r="M383" t="s">
        <v>4629</v>
      </c>
      <c r="N383" t="s">
        <v>1146</v>
      </c>
      <c r="O383" t="s">
        <v>26</v>
      </c>
      <c r="P383" t="s">
        <v>27</v>
      </c>
      <c r="Q383" t="s">
        <v>43</v>
      </c>
      <c r="R383" t="s">
        <v>28</v>
      </c>
      <c r="S383" t="s">
        <v>43</v>
      </c>
      <c r="T383" t="s">
        <v>28</v>
      </c>
      <c r="U383" t="s">
        <v>43</v>
      </c>
      <c r="V383" t="s">
        <v>43</v>
      </c>
      <c r="W383" s="16" t="s">
        <v>5629</v>
      </c>
      <c r="X383" t="s">
        <v>5624</v>
      </c>
      <c r="AZ383" s="19" t="s">
        <v>5685</v>
      </c>
    </row>
    <row r="384" spans="1:52" x14ac:dyDescent="0.55000000000000004">
      <c r="A384" t="s">
        <v>1147</v>
      </c>
      <c r="B384" t="s">
        <v>1148</v>
      </c>
      <c r="C384">
        <v>2019</v>
      </c>
      <c r="D384" t="s">
        <v>60</v>
      </c>
      <c r="E384">
        <v>100</v>
      </c>
      <c r="F384">
        <v>4</v>
      </c>
      <c r="G384" t="s">
        <v>1149</v>
      </c>
      <c r="K384" s="2" t="s">
        <v>1150</v>
      </c>
      <c r="L384" s="2" t="s">
        <v>1151</v>
      </c>
      <c r="M384" t="s">
        <v>4630</v>
      </c>
      <c r="N384" t="s">
        <v>1152</v>
      </c>
      <c r="O384" t="s">
        <v>26</v>
      </c>
      <c r="P384" t="s">
        <v>27</v>
      </c>
      <c r="Q384" t="s">
        <v>28</v>
      </c>
      <c r="R384" t="s">
        <v>28</v>
      </c>
      <c r="S384" t="s">
        <v>28</v>
      </c>
      <c r="T384" t="s">
        <v>28</v>
      </c>
      <c r="U384" t="s">
        <v>28</v>
      </c>
      <c r="V384" t="s">
        <v>28</v>
      </c>
      <c r="W384" s="16" t="s">
        <v>5629</v>
      </c>
      <c r="X384" t="s">
        <v>5624</v>
      </c>
    </row>
    <row r="385" spans="1:24" x14ac:dyDescent="0.55000000000000004">
      <c r="A385" t="s">
        <v>1153</v>
      </c>
      <c r="B385" t="s">
        <v>1154</v>
      </c>
      <c r="C385">
        <v>2019</v>
      </c>
      <c r="D385" t="s">
        <v>1155</v>
      </c>
      <c r="E385">
        <v>65</v>
      </c>
      <c r="F385">
        <v>4</v>
      </c>
      <c r="H385">
        <v>549</v>
      </c>
      <c r="I385">
        <v>565</v>
      </c>
      <c r="K385" s="2" t="s">
        <v>1156</v>
      </c>
      <c r="L385" s="2" t="s">
        <v>1157</v>
      </c>
      <c r="M385" t="s">
        <v>4631</v>
      </c>
      <c r="N385" t="s">
        <v>1158</v>
      </c>
      <c r="O385" t="s">
        <v>26</v>
      </c>
      <c r="P385" t="s">
        <v>27</v>
      </c>
      <c r="Q385" t="s">
        <v>43</v>
      </c>
      <c r="R385" t="s">
        <v>28</v>
      </c>
      <c r="S385" t="s">
        <v>43</v>
      </c>
      <c r="T385" t="s">
        <v>28</v>
      </c>
      <c r="U385" t="s">
        <v>28</v>
      </c>
      <c r="V385" t="s">
        <v>28</v>
      </c>
      <c r="W385" s="16" t="s">
        <v>5629</v>
      </c>
      <c r="X385" t="s">
        <v>5624</v>
      </c>
    </row>
    <row r="386" spans="1:24" x14ac:dyDescent="0.55000000000000004">
      <c r="A386" t="s">
        <v>1159</v>
      </c>
      <c r="B386" t="s">
        <v>1160</v>
      </c>
      <c r="C386">
        <v>2019</v>
      </c>
      <c r="D386" t="s">
        <v>1161</v>
      </c>
      <c r="E386">
        <v>19</v>
      </c>
      <c r="F386">
        <v>1</v>
      </c>
      <c r="G386">
        <v>10</v>
      </c>
      <c r="K386" s="2" t="s">
        <v>1162</v>
      </c>
      <c r="L386" s="2" t="s">
        <v>1163</v>
      </c>
      <c r="M386" t="s">
        <v>4632</v>
      </c>
      <c r="N386" t="s">
        <v>1164</v>
      </c>
      <c r="O386" t="s">
        <v>26</v>
      </c>
      <c r="P386" t="s">
        <v>27</v>
      </c>
      <c r="Q386" t="s">
        <v>28</v>
      </c>
      <c r="R386" t="s">
        <v>28</v>
      </c>
      <c r="S386" t="s">
        <v>28</v>
      </c>
      <c r="T386" t="s">
        <v>28</v>
      </c>
      <c r="U386" t="s">
        <v>28</v>
      </c>
      <c r="V386" t="s">
        <v>28</v>
      </c>
      <c r="W386" s="16" t="s">
        <v>5629</v>
      </c>
      <c r="X386" t="s">
        <v>5624</v>
      </c>
    </row>
    <row r="387" spans="1:24" x14ac:dyDescent="0.55000000000000004">
      <c r="A387" t="s">
        <v>1165</v>
      </c>
      <c r="B387" t="s">
        <v>1166</v>
      </c>
      <c r="C387">
        <v>2019</v>
      </c>
      <c r="D387" t="s">
        <v>186</v>
      </c>
      <c r="E387">
        <v>435</v>
      </c>
      <c r="F387" s="4">
        <v>44563</v>
      </c>
      <c r="H387">
        <v>81</v>
      </c>
      <c r="I387">
        <v>93</v>
      </c>
      <c r="K387" s="2" t="s">
        <v>1167</v>
      </c>
      <c r="L387" s="2" t="s">
        <v>1168</v>
      </c>
      <c r="M387" t="s">
        <v>4633</v>
      </c>
      <c r="N387" t="s">
        <v>1169</v>
      </c>
      <c r="O387" t="s">
        <v>26</v>
      </c>
      <c r="P387" t="s">
        <v>27</v>
      </c>
      <c r="Q387" t="s">
        <v>43</v>
      </c>
      <c r="R387" t="s">
        <v>28</v>
      </c>
      <c r="S387" t="s">
        <v>28</v>
      </c>
      <c r="T387" t="s">
        <v>43</v>
      </c>
      <c r="U387" t="s">
        <v>28</v>
      </c>
      <c r="V387" t="s">
        <v>28</v>
      </c>
      <c r="W387" s="16" t="s">
        <v>5629</v>
      </c>
      <c r="X387" t="s">
        <v>5624</v>
      </c>
    </row>
    <row r="388" spans="1:24" x14ac:dyDescent="0.55000000000000004">
      <c r="A388" t="s">
        <v>1175</v>
      </c>
      <c r="B388" t="s">
        <v>1176</v>
      </c>
      <c r="C388">
        <v>2019</v>
      </c>
      <c r="D388" t="s">
        <v>433</v>
      </c>
      <c r="E388">
        <v>95</v>
      </c>
      <c r="F388">
        <v>2</v>
      </c>
      <c r="G388" t="s">
        <v>1177</v>
      </c>
      <c r="K388" s="2" t="s">
        <v>1178</v>
      </c>
      <c r="L388" s="2" t="s">
        <v>1179</v>
      </c>
      <c r="M388" t="s">
        <v>4635</v>
      </c>
      <c r="N388" t="s">
        <v>1180</v>
      </c>
      <c r="O388" t="s">
        <v>26</v>
      </c>
      <c r="P388" t="s">
        <v>27</v>
      </c>
      <c r="Q388" t="s">
        <v>43</v>
      </c>
      <c r="R388" t="s">
        <v>28</v>
      </c>
      <c r="S388" t="s">
        <v>28</v>
      </c>
      <c r="T388" t="s">
        <v>43</v>
      </c>
      <c r="U388" t="s">
        <v>28</v>
      </c>
      <c r="V388" t="s">
        <v>28</v>
      </c>
      <c r="W388" s="16" t="s">
        <v>5629</v>
      </c>
      <c r="X388" t="s">
        <v>5624</v>
      </c>
    </row>
    <row r="389" spans="1:24" x14ac:dyDescent="0.55000000000000004">
      <c r="A389" t="s">
        <v>1181</v>
      </c>
      <c r="B389" t="s">
        <v>4636</v>
      </c>
      <c r="C389">
        <v>2019</v>
      </c>
      <c r="D389" t="s">
        <v>1182</v>
      </c>
      <c r="H389">
        <v>289</v>
      </c>
      <c r="I389">
        <v>298</v>
      </c>
      <c r="K389" s="2" t="s">
        <v>1183</v>
      </c>
      <c r="L389" s="2" t="s">
        <v>1184</v>
      </c>
      <c r="M389" t="s">
        <v>4637</v>
      </c>
      <c r="N389" t="s">
        <v>1185</v>
      </c>
      <c r="O389" t="s">
        <v>198</v>
      </c>
      <c r="P389" t="s">
        <v>27</v>
      </c>
      <c r="Q389" t="s">
        <v>28</v>
      </c>
      <c r="R389" t="s">
        <v>28</v>
      </c>
      <c r="S389" t="s">
        <v>28</v>
      </c>
      <c r="T389" t="s">
        <v>28</v>
      </c>
      <c r="U389" t="s">
        <v>28</v>
      </c>
      <c r="V389" t="s">
        <v>28</v>
      </c>
      <c r="W389" s="16" t="s">
        <v>5629</v>
      </c>
      <c r="X389" t="s">
        <v>5624</v>
      </c>
    </row>
    <row r="390" spans="1:24" x14ac:dyDescent="0.55000000000000004">
      <c r="A390" t="s">
        <v>1186</v>
      </c>
      <c r="B390" t="s">
        <v>1187</v>
      </c>
      <c r="C390">
        <v>2019</v>
      </c>
      <c r="D390" t="s">
        <v>1188</v>
      </c>
      <c r="H390">
        <v>295</v>
      </c>
      <c r="I390">
        <v>305</v>
      </c>
      <c r="K390" s="2" t="s">
        <v>1189</v>
      </c>
      <c r="L390" s="2" t="s">
        <v>1190</v>
      </c>
      <c r="M390" t="s">
        <v>4638</v>
      </c>
      <c r="N390" t="s">
        <v>1191</v>
      </c>
      <c r="O390" t="s">
        <v>198</v>
      </c>
      <c r="P390" t="s">
        <v>27</v>
      </c>
      <c r="Q390" t="s">
        <v>43</v>
      </c>
      <c r="R390" t="s">
        <v>28</v>
      </c>
      <c r="S390" t="s">
        <v>28</v>
      </c>
      <c r="T390" t="s">
        <v>28</v>
      </c>
      <c r="U390" t="s">
        <v>43</v>
      </c>
      <c r="V390" t="s">
        <v>28</v>
      </c>
      <c r="W390" s="16" t="s">
        <v>5629</v>
      </c>
      <c r="X390" t="s">
        <v>5624</v>
      </c>
    </row>
    <row r="391" spans="1:24" x14ac:dyDescent="0.55000000000000004">
      <c r="A391" t="s">
        <v>1192</v>
      </c>
      <c r="B391" t="s">
        <v>1193</v>
      </c>
      <c r="C391">
        <v>2019</v>
      </c>
      <c r="D391" t="s">
        <v>1194</v>
      </c>
      <c r="E391">
        <v>17</v>
      </c>
      <c r="F391">
        <v>6</v>
      </c>
      <c r="H391">
        <v>13749</v>
      </c>
      <c r="I391">
        <v>13758</v>
      </c>
      <c r="K391" s="2" t="s">
        <v>1195</v>
      </c>
      <c r="L391" s="2" t="s">
        <v>1196</v>
      </c>
      <c r="M391" t="s">
        <v>4639</v>
      </c>
      <c r="N391" t="s">
        <v>1197</v>
      </c>
      <c r="O391" t="s">
        <v>26</v>
      </c>
      <c r="P391" t="s">
        <v>27</v>
      </c>
      <c r="Q391" t="s">
        <v>28</v>
      </c>
      <c r="R391" t="s">
        <v>28</v>
      </c>
      <c r="S391" t="s">
        <v>28</v>
      </c>
      <c r="T391" t="s">
        <v>28</v>
      </c>
      <c r="U391" t="s">
        <v>28</v>
      </c>
      <c r="V391" t="s">
        <v>28</v>
      </c>
      <c r="W391" s="16" t="s">
        <v>5629</v>
      </c>
      <c r="X391" t="s">
        <v>5624</v>
      </c>
    </row>
    <row r="392" spans="1:24" x14ac:dyDescent="0.55000000000000004">
      <c r="A392" t="s">
        <v>1198</v>
      </c>
      <c r="B392" t="s">
        <v>1199</v>
      </c>
      <c r="C392">
        <v>2019</v>
      </c>
      <c r="D392" t="s">
        <v>1200</v>
      </c>
      <c r="E392">
        <v>20</v>
      </c>
      <c r="F392">
        <v>1</v>
      </c>
      <c r="H392">
        <v>51</v>
      </c>
      <c r="I392">
        <v>59</v>
      </c>
      <c r="K392" s="2" t="s">
        <v>1201</v>
      </c>
      <c r="L392" s="2" t="s">
        <v>1202</v>
      </c>
      <c r="M392" t="s">
        <v>4640</v>
      </c>
      <c r="N392" t="s">
        <v>1203</v>
      </c>
      <c r="O392" t="s">
        <v>26</v>
      </c>
      <c r="P392" t="s">
        <v>27</v>
      </c>
      <c r="Q392" t="s">
        <v>28</v>
      </c>
      <c r="R392" t="s">
        <v>28</v>
      </c>
      <c r="S392" t="s">
        <v>28</v>
      </c>
      <c r="T392" t="s">
        <v>28</v>
      </c>
      <c r="U392" t="s">
        <v>28</v>
      </c>
      <c r="V392" t="s">
        <v>28</v>
      </c>
      <c r="W392" s="16" t="s">
        <v>5629</v>
      </c>
      <c r="X392" t="s">
        <v>5624</v>
      </c>
    </row>
    <row r="393" spans="1:24" x14ac:dyDescent="0.55000000000000004">
      <c r="A393" t="s">
        <v>1204</v>
      </c>
      <c r="B393" t="s">
        <v>1205</v>
      </c>
      <c r="C393">
        <v>2019</v>
      </c>
      <c r="D393" t="s">
        <v>807</v>
      </c>
      <c r="E393">
        <v>25</v>
      </c>
      <c r="F393">
        <v>9</v>
      </c>
      <c r="H393">
        <v>2900</v>
      </c>
      <c r="I393">
        <v>2914</v>
      </c>
      <c r="K393" s="2" t="s">
        <v>1206</v>
      </c>
      <c r="L393" s="2" t="s">
        <v>1207</v>
      </c>
      <c r="M393" t="s">
        <v>4641</v>
      </c>
      <c r="N393" t="s">
        <v>1208</v>
      </c>
      <c r="O393" t="s">
        <v>26</v>
      </c>
      <c r="P393" t="s">
        <v>27</v>
      </c>
      <c r="Q393" t="s">
        <v>28</v>
      </c>
      <c r="R393" t="s">
        <v>28</v>
      </c>
      <c r="S393" t="s">
        <v>28</v>
      </c>
      <c r="T393" t="s">
        <v>28</v>
      </c>
      <c r="U393" t="s">
        <v>28</v>
      </c>
      <c r="V393" t="s">
        <v>28</v>
      </c>
      <c r="W393" s="16" t="s">
        <v>5629</v>
      </c>
      <c r="X393" t="s">
        <v>5624</v>
      </c>
    </row>
    <row r="394" spans="1:24" x14ac:dyDescent="0.55000000000000004">
      <c r="A394" t="s">
        <v>4642</v>
      </c>
      <c r="B394" t="s">
        <v>1209</v>
      </c>
      <c r="C394">
        <v>2019</v>
      </c>
      <c r="D394" t="s">
        <v>365</v>
      </c>
      <c r="E394">
        <v>10</v>
      </c>
      <c r="F394" t="s">
        <v>1210</v>
      </c>
      <c r="G394">
        <v>744</v>
      </c>
      <c r="K394" s="2" t="s">
        <v>1211</v>
      </c>
      <c r="L394" s="2" t="s">
        <v>1212</v>
      </c>
      <c r="M394" t="s">
        <v>4643</v>
      </c>
      <c r="N394" t="s">
        <v>1213</v>
      </c>
      <c r="O394" t="s">
        <v>143</v>
      </c>
      <c r="P394" t="s">
        <v>27</v>
      </c>
      <c r="Q394" t="s">
        <v>43</v>
      </c>
      <c r="R394" t="s">
        <v>28</v>
      </c>
      <c r="S394" t="s">
        <v>28</v>
      </c>
      <c r="T394" t="s">
        <v>28</v>
      </c>
      <c r="U394" t="s">
        <v>43</v>
      </c>
      <c r="V394" t="s">
        <v>28</v>
      </c>
      <c r="W394" s="16" t="s">
        <v>5629</v>
      </c>
      <c r="X394" t="s">
        <v>5624</v>
      </c>
    </row>
    <row r="395" spans="1:24" x14ac:dyDescent="0.55000000000000004">
      <c r="A395" t="s">
        <v>1214</v>
      </c>
      <c r="B395" t="s">
        <v>1215</v>
      </c>
      <c r="C395">
        <v>2019</v>
      </c>
      <c r="D395" t="s">
        <v>365</v>
      </c>
      <c r="E395">
        <v>10</v>
      </c>
      <c r="F395" t="s">
        <v>1216</v>
      </c>
      <c r="G395">
        <v>168</v>
      </c>
      <c r="K395" s="2" t="s">
        <v>1217</v>
      </c>
      <c r="L395" s="2" t="s">
        <v>1218</v>
      </c>
      <c r="M395" t="s">
        <v>4644</v>
      </c>
      <c r="N395" t="s">
        <v>1219</v>
      </c>
      <c r="O395" t="s">
        <v>26</v>
      </c>
      <c r="P395" t="s">
        <v>27</v>
      </c>
      <c r="Q395" t="s">
        <v>43</v>
      </c>
      <c r="R395" t="s">
        <v>28</v>
      </c>
      <c r="S395" t="s">
        <v>43</v>
      </c>
      <c r="T395" t="s">
        <v>28</v>
      </c>
      <c r="U395" t="s">
        <v>28</v>
      </c>
      <c r="V395" t="s">
        <v>43</v>
      </c>
      <c r="W395" s="16" t="s">
        <v>5629</v>
      </c>
      <c r="X395" t="s">
        <v>5624</v>
      </c>
    </row>
    <row r="396" spans="1:24" x14ac:dyDescent="0.55000000000000004">
      <c r="A396" t="s">
        <v>1220</v>
      </c>
      <c r="B396" t="s">
        <v>1221</v>
      </c>
      <c r="C396">
        <v>2019</v>
      </c>
      <c r="D396" t="s">
        <v>1222</v>
      </c>
      <c r="E396">
        <v>77</v>
      </c>
      <c r="F396">
        <v>1</v>
      </c>
      <c r="H396">
        <v>148</v>
      </c>
      <c r="I396">
        <v>167</v>
      </c>
      <c r="K396" s="2" t="s">
        <v>1223</v>
      </c>
      <c r="L396" s="2" t="s">
        <v>1224</v>
      </c>
      <c r="M396" t="s">
        <v>4645</v>
      </c>
      <c r="N396" t="s">
        <v>1225</v>
      </c>
      <c r="O396" t="s">
        <v>26</v>
      </c>
      <c r="P396" t="s">
        <v>27</v>
      </c>
      <c r="Q396" t="s">
        <v>28</v>
      </c>
      <c r="R396" t="s">
        <v>28</v>
      </c>
      <c r="S396" t="s">
        <v>28</v>
      </c>
      <c r="T396" t="s">
        <v>28</v>
      </c>
      <c r="U396" t="s">
        <v>28</v>
      </c>
      <c r="V396" t="s">
        <v>28</v>
      </c>
      <c r="W396" s="16" t="s">
        <v>5629</v>
      </c>
      <c r="X396" t="s">
        <v>5624</v>
      </c>
    </row>
    <row r="397" spans="1:24" x14ac:dyDescent="0.55000000000000004">
      <c r="A397" t="s">
        <v>1226</v>
      </c>
      <c r="B397" t="s">
        <v>1227</v>
      </c>
      <c r="C397">
        <v>2018</v>
      </c>
      <c r="D397" t="s">
        <v>1228</v>
      </c>
      <c r="E397">
        <v>373</v>
      </c>
      <c r="F397">
        <v>1761</v>
      </c>
      <c r="G397">
        <v>20170448</v>
      </c>
      <c r="K397" s="2" t="s">
        <v>1229</v>
      </c>
      <c r="L397" s="2" t="s">
        <v>1230</v>
      </c>
      <c r="M397" t="s">
        <v>4647</v>
      </c>
      <c r="N397" t="s">
        <v>1231</v>
      </c>
      <c r="O397" t="s">
        <v>143</v>
      </c>
      <c r="P397" t="s">
        <v>27</v>
      </c>
      <c r="Q397" t="s">
        <v>28</v>
      </c>
      <c r="R397" t="s">
        <v>28</v>
      </c>
      <c r="S397" t="s">
        <v>28</v>
      </c>
      <c r="T397" t="s">
        <v>28</v>
      </c>
      <c r="U397" t="s">
        <v>28</v>
      </c>
      <c r="V397" t="s">
        <v>28</v>
      </c>
      <c r="W397" s="16" t="s">
        <v>5629</v>
      </c>
      <c r="X397" t="s">
        <v>5624</v>
      </c>
    </row>
    <row r="398" spans="1:24" x14ac:dyDescent="0.55000000000000004">
      <c r="A398" t="s">
        <v>1232</v>
      </c>
      <c r="B398" t="s">
        <v>1233</v>
      </c>
      <c r="C398">
        <v>2018</v>
      </c>
      <c r="D398" t="s">
        <v>1234</v>
      </c>
      <c r="E398">
        <v>2</v>
      </c>
      <c r="F398">
        <v>4</v>
      </c>
      <c r="G398">
        <v>64</v>
      </c>
      <c r="H398">
        <v>1</v>
      </c>
      <c r="I398">
        <v>39</v>
      </c>
      <c r="K398" s="2" t="s">
        <v>1235</v>
      </c>
      <c r="L398" s="2" t="s">
        <v>1236</v>
      </c>
      <c r="M398" t="s">
        <v>4648</v>
      </c>
      <c r="N398" t="s">
        <v>1237</v>
      </c>
      <c r="O398" t="s">
        <v>26</v>
      </c>
      <c r="P398" t="s">
        <v>27</v>
      </c>
      <c r="Q398" t="s">
        <v>28</v>
      </c>
      <c r="R398" t="s">
        <v>28</v>
      </c>
      <c r="S398" t="s">
        <v>28</v>
      </c>
      <c r="T398" t="s">
        <v>28</v>
      </c>
      <c r="U398" t="s">
        <v>28</v>
      </c>
      <c r="V398" t="s">
        <v>28</v>
      </c>
      <c r="W398" s="16" t="s">
        <v>5629</v>
      </c>
      <c r="X398" t="s">
        <v>5624</v>
      </c>
    </row>
    <row r="399" spans="1:24" x14ac:dyDescent="0.55000000000000004">
      <c r="A399" t="s">
        <v>1238</v>
      </c>
      <c r="B399" t="s">
        <v>1239</v>
      </c>
      <c r="C399">
        <v>2018</v>
      </c>
      <c r="D399" t="s">
        <v>1240</v>
      </c>
      <c r="E399">
        <v>45</v>
      </c>
      <c r="F399">
        <v>12</v>
      </c>
      <c r="H399">
        <v>2803</v>
      </c>
      <c r="I399">
        <v>2814</v>
      </c>
      <c r="K399" s="2" t="s">
        <v>1241</v>
      </c>
      <c r="L399" s="2" t="s">
        <v>1242</v>
      </c>
      <c r="M399" t="s">
        <v>4649</v>
      </c>
      <c r="N399" t="s">
        <v>1243</v>
      </c>
      <c r="O399" t="s">
        <v>26</v>
      </c>
      <c r="P399" t="s">
        <v>27</v>
      </c>
      <c r="Q399" t="s">
        <v>28</v>
      </c>
      <c r="R399" t="s">
        <v>28</v>
      </c>
      <c r="S399" t="s">
        <v>28</v>
      </c>
      <c r="T399" t="s">
        <v>28</v>
      </c>
      <c r="U399" t="s">
        <v>28</v>
      </c>
      <c r="V399" t="s">
        <v>28</v>
      </c>
      <c r="W399" s="16" t="s">
        <v>5629</v>
      </c>
      <c r="X399" t="s">
        <v>5624</v>
      </c>
    </row>
    <row r="400" spans="1:24" x14ac:dyDescent="0.55000000000000004">
      <c r="A400" t="s">
        <v>1244</v>
      </c>
      <c r="B400" t="s">
        <v>1245</v>
      </c>
      <c r="C400">
        <v>2018</v>
      </c>
      <c r="D400" t="s">
        <v>313</v>
      </c>
      <c r="E400">
        <v>200</v>
      </c>
      <c r="F400">
        <v>1</v>
      </c>
      <c r="G400">
        <v>12028</v>
      </c>
      <c r="K400" s="2" t="s">
        <v>1246</v>
      </c>
      <c r="L400" s="2" t="s">
        <v>1247</v>
      </c>
      <c r="M400" t="s">
        <v>4650</v>
      </c>
      <c r="O400" t="s">
        <v>1248</v>
      </c>
      <c r="P400" t="s">
        <v>27</v>
      </c>
      <c r="Q400" t="s">
        <v>28</v>
      </c>
      <c r="R400" t="s">
        <v>28</v>
      </c>
      <c r="S400" t="s">
        <v>28</v>
      </c>
      <c r="T400" t="s">
        <v>28</v>
      </c>
      <c r="U400" t="s">
        <v>28</v>
      </c>
      <c r="V400" t="s">
        <v>28</v>
      </c>
      <c r="W400" s="16" t="s">
        <v>5629</v>
      </c>
      <c r="X400" t="s">
        <v>5624</v>
      </c>
    </row>
    <row r="401" spans="1:24" x14ac:dyDescent="0.55000000000000004">
      <c r="A401" t="s">
        <v>1249</v>
      </c>
      <c r="B401" t="s">
        <v>1250</v>
      </c>
      <c r="C401">
        <v>2018</v>
      </c>
      <c r="D401" t="s">
        <v>506</v>
      </c>
      <c r="E401">
        <v>224</v>
      </c>
      <c r="H401">
        <v>225</v>
      </c>
      <c r="I401">
        <v>234</v>
      </c>
      <c r="K401" s="2" t="s">
        <v>1251</v>
      </c>
      <c r="L401" s="2" t="s">
        <v>1252</v>
      </c>
      <c r="M401" t="s">
        <v>4651</v>
      </c>
      <c r="N401" t="s">
        <v>1253</v>
      </c>
      <c r="O401" t="s">
        <v>26</v>
      </c>
      <c r="P401" t="s">
        <v>27</v>
      </c>
      <c r="Q401" t="s">
        <v>28</v>
      </c>
      <c r="R401" t="s">
        <v>28</v>
      </c>
      <c r="S401" t="s">
        <v>28</v>
      </c>
      <c r="T401" t="s">
        <v>28</v>
      </c>
      <c r="U401" t="s">
        <v>28</v>
      </c>
      <c r="V401" t="s">
        <v>28</v>
      </c>
      <c r="W401" s="16" t="s">
        <v>5629</v>
      </c>
      <c r="X401" t="s">
        <v>5624</v>
      </c>
    </row>
    <row r="402" spans="1:24" x14ac:dyDescent="0.55000000000000004">
      <c r="A402" t="s">
        <v>4652</v>
      </c>
      <c r="B402" t="s">
        <v>1254</v>
      </c>
      <c r="C402">
        <v>2018</v>
      </c>
      <c r="D402" t="s">
        <v>1255</v>
      </c>
      <c r="E402">
        <v>20</v>
      </c>
      <c r="F402">
        <v>10</v>
      </c>
      <c r="H402">
        <v>3573</v>
      </c>
      <c r="I402">
        <v>3588</v>
      </c>
      <c r="K402" s="2" t="s">
        <v>1256</v>
      </c>
      <c r="L402" s="2" t="s">
        <v>1257</v>
      </c>
      <c r="M402" t="s">
        <v>4653</v>
      </c>
      <c r="O402" t="s">
        <v>26</v>
      </c>
      <c r="P402" t="s">
        <v>27</v>
      </c>
      <c r="Q402" t="s">
        <v>28</v>
      </c>
      <c r="R402" t="s">
        <v>28</v>
      </c>
      <c r="S402" t="s">
        <v>28</v>
      </c>
      <c r="T402" t="s">
        <v>28</v>
      </c>
      <c r="U402" t="s">
        <v>28</v>
      </c>
      <c r="V402" t="s">
        <v>28</v>
      </c>
      <c r="W402" s="16" t="s">
        <v>5629</v>
      </c>
      <c r="X402" t="s">
        <v>5624</v>
      </c>
    </row>
    <row r="403" spans="1:24" x14ac:dyDescent="0.55000000000000004">
      <c r="A403" t="s">
        <v>1258</v>
      </c>
      <c r="B403" t="s">
        <v>1259</v>
      </c>
      <c r="C403">
        <v>2018</v>
      </c>
      <c r="D403" t="s">
        <v>807</v>
      </c>
      <c r="E403">
        <v>24</v>
      </c>
      <c r="F403">
        <v>10</v>
      </c>
      <c r="H403">
        <v>4544</v>
      </c>
      <c r="I403">
        <v>4553</v>
      </c>
      <c r="K403" s="2" t="s">
        <v>1260</v>
      </c>
      <c r="L403" s="2" t="s">
        <v>1261</v>
      </c>
      <c r="M403" t="s">
        <v>4654</v>
      </c>
      <c r="N403" t="s">
        <v>1262</v>
      </c>
      <c r="O403" t="s">
        <v>26</v>
      </c>
      <c r="P403" t="s">
        <v>27</v>
      </c>
      <c r="Q403" t="s">
        <v>28</v>
      </c>
      <c r="R403" t="s">
        <v>28</v>
      </c>
      <c r="S403" t="s">
        <v>28</v>
      </c>
      <c r="T403" t="s">
        <v>28</v>
      </c>
      <c r="U403" t="s">
        <v>28</v>
      </c>
      <c r="V403" t="s">
        <v>28</v>
      </c>
      <c r="W403" s="16" t="s">
        <v>5629</v>
      </c>
      <c r="X403" t="s">
        <v>5624</v>
      </c>
    </row>
    <row r="404" spans="1:24" x14ac:dyDescent="0.55000000000000004">
      <c r="A404" t="s">
        <v>4655</v>
      </c>
      <c r="B404" t="s">
        <v>1263</v>
      </c>
      <c r="C404">
        <v>2018</v>
      </c>
      <c r="D404" t="s">
        <v>186</v>
      </c>
      <c r="E404">
        <v>431</v>
      </c>
      <c r="F404" s="4">
        <v>44563</v>
      </c>
      <c r="H404">
        <v>143</v>
      </c>
      <c r="I404">
        <v>157</v>
      </c>
      <c r="K404" s="2" t="s">
        <v>1264</v>
      </c>
      <c r="L404" s="2" t="s">
        <v>1265</v>
      </c>
      <c r="M404" t="s">
        <v>4656</v>
      </c>
      <c r="N404" t="s">
        <v>1266</v>
      </c>
      <c r="O404" t="s">
        <v>26</v>
      </c>
      <c r="P404" t="s">
        <v>27</v>
      </c>
      <c r="Q404" t="s">
        <v>28</v>
      </c>
      <c r="R404" t="s">
        <v>28</v>
      </c>
      <c r="S404" t="s">
        <v>28</v>
      </c>
      <c r="T404" t="s">
        <v>28</v>
      </c>
      <c r="U404" t="s">
        <v>28</v>
      </c>
      <c r="V404" t="s">
        <v>28</v>
      </c>
      <c r="W404" s="16" t="s">
        <v>5629</v>
      </c>
      <c r="X404" t="s">
        <v>5624</v>
      </c>
    </row>
    <row r="405" spans="1:24" x14ac:dyDescent="0.55000000000000004">
      <c r="A405" t="s">
        <v>1267</v>
      </c>
      <c r="B405" t="s">
        <v>1268</v>
      </c>
      <c r="C405">
        <v>2018</v>
      </c>
      <c r="D405" t="s">
        <v>53</v>
      </c>
      <c r="E405">
        <v>125</v>
      </c>
      <c r="H405">
        <v>44</v>
      </c>
      <c r="I405">
        <v>53</v>
      </c>
      <c r="K405" s="2" t="s">
        <v>1269</v>
      </c>
      <c r="L405" s="2" t="s">
        <v>1270</v>
      </c>
      <c r="M405" t="s">
        <v>4657</v>
      </c>
      <c r="N405" t="s">
        <v>1271</v>
      </c>
      <c r="O405" t="s">
        <v>26</v>
      </c>
      <c r="P405" t="s">
        <v>27</v>
      </c>
      <c r="Q405" t="s">
        <v>28</v>
      </c>
      <c r="R405" t="s">
        <v>28</v>
      </c>
      <c r="S405" t="s">
        <v>28</v>
      </c>
      <c r="T405" t="s">
        <v>28</v>
      </c>
      <c r="U405" t="s">
        <v>28</v>
      </c>
      <c r="V405" t="s">
        <v>28</v>
      </c>
      <c r="W405" s="16" t="s">
        <v>5629</v>
      </c>
      <c r="X405" t="s">
        <v>5624</v>
      </c>
    </row>
    <row r="406" spans="1:24" x14ac:dyDescent="0.55000000000000004">
      <c r="A406" t="s">
        <v>4658</v>
      </c>
      <c r="B406" t="s">
        <v>1272</v>
      </c>
      <c r="C406">
        <v>2018</v>
      </c>
      <c r="D406" t="s">
        <v>413</v>
      </c>
      <c r="E406">
        <v>32</v>
      </c>
      <c r="F406">
        <v>9</v>
      </c>
      <c r="H406">
        <v>2115</v>
      </c>
      <c r="I406">
        <v>2126</v>
      </c>
      <c r="K406" s="2" t="s">
        <v>1273</v>
      </c>
      <c r="L406" s="2" t="s">
        <v>1274</v>
      </c>
      <c r="M406" t="s">
        <v>4659</v>
      </c>
      <c r="N406" t="s">
        <v>1275</v>
      </c>
      <c r="O406" t="s">
        <v>143</v>
      </c>
      <c r="P406" t="s">
        <v>27</v>
      </c>
      <c r="Q406" t="s">
        <v>28</v>
      </c>
      <c r="R406" t="s">
        <v>28</v>
      </c>
      <c r="S406" t="s">
        <v>28</v>
      </c>
      <c r="T406" t="s">
        <v>28</v>
      </c>
      <c r="U406" t="s">
        <v>28</v>
      </c>
      <c r="V406" t="s">
        <v>28</v>
      </c>
      <c r="W406" s="16" t="s">
        <v>5629</v>
      </c>
      <c r="X406" t="s">
        <v>5624</v>
      </c>
    </row>
    <row r="407" spans="1:24" x14ac:dyDescent="0.55000000000000004">
      <c r="A407" t="s">
        <v>1276</v>
      </c>
      <c r="B407" t="s">
        <v>4660</v>
      </c>
      <c r="C407">
        <v>2018</v>
      </c>
      <c r="D407" t="s">
        <v>1277</v>
      </c>
      <c r="E407">
        <v>105</v>
      </c>
      <c r="F407">
        <v>9</v>
      </c>
      <c r="H407">
        <v>1595</v>
      </c>
      <c r="I407">
        <v>1600</v>
      </c>
      <c r="K407" s="2" t="s">
        <v>1278</v>
      </c>
      <c r="L407" s="2" t="s">
        <v>1279</v>
      </c>
      <c r="M407" t="s">
        <v>4661</v>
      </c>
      <c r="N407" t="s">
        <v>1280</v>
      </c>
      <c r="O407" t="s">
        <v>26</v>
      </c>
      <c r="P407" t="s">
        <v>27</v>
      </c>
      <c r="Q407" t="s">
        <v>28</v>
      </c>
      <c r="R407" t="s">
        <v>28</v>
      </c>
      <c r="S407" t="s">
        <v>28</v>
      </c>
      <c r="T407" t="s">
        <v>28</v>
      </c>
      <c r="U407" t="s">
        <v>28</v>
      </c>
      <c r="V407" t="s">
        <v>28</v>
      </c>
      <c r="W407" s="16" t="s">
        <v>5629</v>
      </c>
      <c r="X407" t="s">
        <v>5624</v>
      </c>
    </row>
    <row r="408" spans="1:24" x14ac:dyDescent="0.55000000000000004">
      <c r="A408" t="s">
        <v>4662</v>
      </c>
      <c r="B408" t="s">
        <v>1281</v>
      </c>
      <c r="C408">
        <v>2018</v>
      </c>
      <c r="D408" t="s">
        <v>1117</v>
      </c>
      <c r="E408">
        <v>17</v>
      </c>
      <c r="F408">
        <v>8</v>
      </c>
      <c r="H408">
        <v>925</v>
      </c>
      <c r="I408">
        <v>939</v>
      </c>
      <c r="K408" s="2" t="s">
        <v>1282</v>
      </c>
      <c r="L408" s="2" t="s">
        <v>1283</v>
      </c>
      <c r="M408" t="s">
        <v>4663</v>
      </c>
      <c r="N408" t="s">
        <v>1284</v>
      </c>
      <c r="O408" t="s">
        <v>26</v>
      </c>
      <c r="P408" t="s">
        <v>27</v>
      </c>
      <c r="Q408" t="s">
        <v>28</v>
      </c>
      <c r="R408" t="s">
        <v>28</v>
      </c>
      <c r="S408" t="s">
        <v>28</v>
      </c>
      <c r="T408" t="s">
        <v>28</v>
      </c>
      <c r="U408" t="s">
        <v>28</v>
      </c>
      <c r="V408" t="s">
        <v>28</v>
      </c>
      <c r="W408" s="16" t="s">
        <v>5629</v>
      </c>
      <c r="X408" t="s">
        <v>5624</v>
      </c>
    </row>
    <row r="409" spans="1:24" x14ac:dyDescent="0.55000000000000004">
      <c r="A409" t="s">
        <v>1285</v>
      </c>
      <c r="B409" t="s">
        <v>1286</v>
      </c>
      <c r="C409">
        <v>2018</v>
      </c>
      <c r="D409" t="s">
        <v>807</v>
      </c>
      <c r="E409">
        <v>24</v>
      </c>
      <c r="F409">
        <v>8</v>
      </c>
      <c r="H409">
        <v>3317</v>
      </c>
      <c r="I409">
        <v>3330</v>
      </c>
      <c r="K409" s="2" t="s">
        <v>1287</v>
      </c>
      <c r="L409" s="2" t="s">
        <v>1288</v>
      </c>
      <c r="M409" t="s">
        <v>4664</v>
      </c>
      <c r="N409" t="s">
        <v>1289</v>
      </c>
      <c r="O409" t="s">
        <v>26</v>
      </c>
      <c r="P409" t="s">
        <v>27</v>
      </c>
      <c r="Q409" t="s">
        <v>28</v>
      </c>
      <c r="R409" t="s">
        <v>28</v>
      </c>
      <c r="S409" t="s">
        <v>28</v>
      </c>
      <c r="T409" t="s">
        <v>28</v>
      </c>
      <c r="U409" t="s">
        <v>28</v>
      </c>
      <c r="V409" t="s">
        <v>28</v>
      </c>
      <c r="W409" s="16" t="s">
        <v>5629</v>
      </c>
      <c r="X409" t="s">
        <v>5624</v>
      </c>
    </row>
    <row r="410" spans="1:24" x14ac:dyDescent="0.55000000000000004">
      <c r="A410" t="s">
        <v>1290</v>
      </c>
      <c r="B410" t="s">
        <v>1291</v>
      </c>
      <c r="C410">
        <v>2018</v>
      </c>
      <c r="D410" t="s">
        <v>1292</v>
      </c>
      <c r="E410">
        <v>10</v>
      </c>
      <c r="F410">
        <v>7</v>
      </c>
      <c r="G410">
        <v>2280</v>
      </c>
      <c r="K410" s="2" t="s">
        <v>1293</v>
      </c>
      <c r="L410" s="2" t="s">
        <v>1294</v>
      </c>
      <c r="M410" t="s">
        <v>4665</v>
      </c>
      <c r="N410" t="s">
        <v>1295</v>
      </c>
      <c r="O410" t="s">
        <v>26</v>
      </c>
      <c r="P410" t="s">
        <v>27</v>
      </c>
      <c r="Q410" t="s">
        <v>28</v>
      </c>
      <c r="R410" t="s">
        <v>28</v>
      </c>
      <c r="S410" t="s">
        <v>28</v>
      </c>
      <c r="T410" t="s">
        <v>28</v>
      </c>
      <c r="U410" t="s">
        <v>28</v>
      </c>
      <c r="V410" t="s">
        <v>28</v>
      </c>
      <c r="W410" s="16" t="s">
        <v>5629</v>
      </c>
      <c r="X410" t="s">
        <v>5624</v>
      </c>
    </row>
    <row r="411" spans="1:24" x14ac:dyDescent="0.55000000000000004">
      <c r="A411" t="s">
        <v>1296</v>
      </c>
      <c r="B411" t="s">
        <v>1297</v>
      </c>
      <c r="C411">
        <v>2018</v>
      </c>
      <c r="D411" t="s">
        <v>220</v>
      </c>
      <c r="E411">
        <v>69</v>
      </c>
      <c r="F411">
        <v>4</v>
      </c>
      <c r="H411">
        <v>634</v>
      </c>
      <c r="I411">
        <v>645</v>
      </c>
      <c r="K411" s="2" t="s">
        <v>1298</v>
      </c>
      <c r="L411" s="2" t="s">
        <v>1299</v>
      </c>
      <c r="M411" t="s">
        <v>4666</v>
      </c>
      <c r="O411" t="s">
        <v>26</v>
      </c>
      <c r="P411" t="s">
        <v>27</v>
      </c>
      <c r="Q411" t="s">
        <v>28</v>
      </c>
      <c r="R411" t="s">
        <v>28</v>
      </c>
      <c r="S411" t="s">
        <v>28</v>
      </c>
      <c r="T411" t="s">
        <v>28</v>
      </c>
      <c r="U411" t="s">
        <v>28</v>
      </c>
      <c r="V411" t="s">
        <v>28</v>
      </c>
      <c r="W411" s="16" t="s">
        <v>5629</v>
      </c>
      <c r="X411" t="s">
        <v>5624</v>
      </c>
    </row>
    <row r="412" spans="1:24" x14ac:dyDescent="0.55000000000000004">
      <c r="A412" t="s">
        <v>4667</v>
      </c>
      <c r="B412" t="s">
        <v>1300</v>
      </c>
      <c r="C412">
        <v>2018</v>
      </c>
      <c r="D412" t="s">
        <v>365</v>
      </c>
      <c r="E412">
        <v>9</v>
      </c>
      <c r="F412" t="s">
        <v>1301</v>
      </c>
      <c r="G412">
        <v>1006</v>
      </c>
      <c r="K412" s="2" t="s">
        <v>1302</v>
      </c>
      <c r="L412" s="2" t="s">
        <v>1303</v>
      </c>
      <c r="M412" t="s">
        <v>4668</v>
      </c>
      <c r="N412" t="s">
        <v>1304</v>
      </c>
      <c r="O412" t="s">
        <v>143</v>
      </c>
      <c r="P412" t="s">
        <v>27</v>
      </c>
      <c r="Q412" t="s">
        <v>28</v>
      </c>
      <c r="R412" t="s">
        <v>28</v>
      </c>
      <c r="S412" t="s">
        <v>28</v>
      </c>
      <c r="T412" t="s">
        <v>28</v>
      </c>
      <c r="U412" t="s">
        <v>28</v>
      </c>
      <c r="V412" t="s">
        <v>28</v>
      </c>
      <c r="W412" s="16" t="s">
        <v>5629</v>
      </c>
      <c r="X412" t="s">
        <v>5624</v>
      </c>
    </row>
    <row r="413" spans="1:24" x14ac:dyDescent="0.55000000000000004">
      <c r="A413" t="s">
        <v>1305</v>
      </c>
      <c r="B413" t="s">
        <v>1306</v>
      </c>
      <c r="C413">
        <v>2018</v>
      </c>
      <c r="D413" t="s">
        <v>38</v>
      </c>
      <c r="E413">
        <v>625</v>
      </c>
      <c r="H413">
        <v>619</v>
      </c>
      <c r="I413">
        <v>626</v>
      </c>
      <c r="K413" s="2" t="s">
        <v>1307</v>
      </c>
      <c r="L413" s="2" t="s">
        <v>1308</v>
      </c>
      <c r="M413" t="s">
        <v>4669</v>
      </c>
      <c r="N413" t="s">
        <v>1309</v>
      </c>
      <c r="O413" t="s">
        <v>26</v>
      </c>
      <c r="P413" t="s">
        <v>27</v>
      </c>
      <c r="Q413" t="s">
        <v>28</v>
      </c>
      <c r="R413" t="s">
        <v>28</v>
      </c>
      <c r="S413" t="s">
        <v>28</v>
      </c>
      <c r="T413" t="s">
        <v>28</v>
      </c>
      <c r="U413" t="s">
        <v>28</v>
      </c>
      <c r="V413" t="s">
        <v>28</v>
      </c>
      <c r="W413" s="16" t="s">
        <v>5629</v>
      </c>
      <c r="X413" t="s">
        <v>5624</v>
      </c>
    </row>
    <row r="414" spans="1:24" x14ac:dyDescent="0.55000000000000004">
      <c r="A414" t="s">
        <v>1310</v>
      </c>
      <c r="B414" t="s">
        <v>1311</v>
      </c>
      <c r="C414">
        <v>2018</v>
      </c>
      <c r="D414" t="s">
        <v>53</v>
      </c>
      <c r="E414">
        <v>120</v>
      </c>
      <c r="H414">
        <v>181</v>
      </c>
      <c r="I414">
        <v>190</v>
      </c>
      <c r="K414" s="2" t="s">
        <v>1312</v>
      </c>
      <c r="L414" s="2" t="s">
        <v>1313</v>
      </c>
      <c r="M414" t="s">
        <v>4670</v>
      </c>
      <c r="N414" t="s">
        <v>1314</v>
      </c>
      <c r="O414" t="s">
        <v>26</v>
      </c>
      <c r="P414" t="s">
        <v>27</v>
      </c>
      <c r="Q414" t="s">
        <v>28</v>
      </c>
      <c r="R414" t="s">
        <v>28</v>
      </c>
      <c r="S414" t="s">
        <v>28</v>
      </c>
      <c r="T414" t="s">
        <v>28</v>
      </c>
      <c r="U414" t="s">
        <v>28</v>
      </c>
      <c r="V414" t="s">
        <v>28</v>
      </c>
      <c r="W414" s="16" t="s">
        <v>5629</v>
      </c>
      <c r="X414" t="s">
        <v>5624</v>
      </c>
    </row>
    <row r="415" spans="1:24" x14ac:dyDescent="0.55000000000000004">
      <c r="A415" t="s">
        <v>1315</v>
      </c>
      <c r="B415" t="s">
        <v>1316</v>
      </c>
      <c r="C415">
        <v>2018</v>
      </c>
      <c r="D415" t="s">
        <v>53</v>
      </c>
      <c r="E415">
        <v>120</v>
      </c>
      <c r="H415">
        <v>28</v>
      </c>
      <c r="I415">
        <v>36</v>
      </c>
      <c r="K415" s="2" t="s">
        <v>1317</v>
      </c>
      <c r="L415" s="2" t="s">
        <v>1318</v>
      </c>
      <c r="M415" t="s">
        <v>4671</v>
      </c>
      <c r="N415" t="s">
        <v>1319</v>
      </c>
      <c r="O415" t="s">
        <v>26</v>
      </c>
      <c r="P415" t="s">
        <v>27</v>
      </c>
      <c r="Q415" t="s">
        <v>28</v>
      </c>
      <c r="R415" t="s">
        <v>28</v>
      </c>
      <c r="S415" t="s">
        <v>28</v>
      </c>
      <c r="T415" t="s">
        <v>28</v>
      </c>
      <c r="U415" t="s">
        <v>28</v>
      </c>
      <c r="V415" t="s">
        <v>28</v>
      </c>
      <c r="W415" s="16" t="s">
        <v>5629</v>
      </c>
      <c r="X415" t="s">
        <v>5624</v>
      </c>
    </row>
    <row r="416" spans="1:24" x14ac:dyDescent="0.55000000000000004">
      <c r="A416" t="s">
        <v>1320</v>
      </c>
      <c r="B416" t="s">
        <v>1321</v>
      </c>
      <c r="C416">
        <v>2018</v>
      </c>
      <c r="D416" t="s">
        <v>1322</v>
      </c>
      <c r="E416">
        <v>165</v>
      </c>
      <c r="F416">
        <v>2</v>
      </c>
      <c r="H416">
        <v>265</v>
      </c>
      <c r="I416">
        <v>273</v>
      </c>
      <c r="K416" s="2" t="s">
        <v>1323</v>
      </c>
      <c r="L416" s="2" t="s">
        <v>1324</v>
      </c>
      <c r="M416" t="s">
        <v>4672</v>
      </c>
      <c r="N416" t="s">
        <v>1325</v>
      </c>
      <c r="O416" t="s">
        <v>26</v>
      </c>
      <c r="P416" t="s">
        <v>27</v>
      </c>
      <c r="Q416" t="s">
        <v>28</v>
      </c>
      <c r="R416" t="s">
        <v>28</v>
      </c>
      <c r="S416" t="s">
        <v>28</v>
      </c>
      <c r="T416" t="s">
        <v>28</v>
      </c>
      <c r="U416" t="s">
        <v>28</v>
      </c>
      <c r="V416" t="s">
        <v>28</v>
      </c>
      <c r="W416" s="16" t="s">
        <v>5629</v>
      </c>
      <c r="X416" t="s">
        <v>5624</v>
      </c>
    </row>
    <row r="417" spans="1:24" x14ac:dyDescent="0.55000000000000004">
      <c r="A417" t="s">
        <v>1326</v>
      </c>
      <c r="B417" t="s">
        <v>4673</v>
      </c>
      <c r="C417">
        <v>2018</v>
      </c>
      <c r="D417" t="s">
        <v>1327</v>
      </c>
      <c r="E417">
        <v>28</v>
      </c>
      <c r="F417">
        <v>2</v>
      </c>
      <c r="H417">
        <v>875</v>
      </c>
      <c r="I417">
        <v>887</v>
      </c>
      <c r="K417" s="2" t="s">
        <v>1328</v>
      </c>
      <c r="L417" s="2" t="s">
        <v>1329</v>
      </c>
      <c r="M417" t="s">
        <v>4674</v>
      </c>
      <c r="N417" t="s">
        <v>1330</v>
      </c>
      <c r="O417" t="s">
        <v>26</v>
      </c>
      <c r="P417" t="s">
        <v>27</v>
      </c>
      <c r="Q417" t="s">
        <v>28</v>
      </c>
      <c r="R417" t="s">
        <v>28</v>
      </c>
      <c r="S417" t="s">
        <v>28</v>
      </c>
      <c r="T417" t="s">
        <v>28</v>
      </c>
      <c r="U417" t="s">
        <v>28</v>
      </c>
      <c r="V417" t="s">
        <v>28</v>
      </c>
      <c r="W417" s="16" t="s">
        <v>5629</v>
      </c>
      <c r="X417" t="s">
        <v>5624</v>
      </c>
    </row>
    <row r="418" spans="1:24" x14ac:dyDescent="0.55000000000000004">
      <c r="A418" t="s">
        <v>4675</v>
      </c>
      <c r="B418" t="s">
        <v>1331</v>
      </c>
      <c r="C418">
        <v>2018</v>
      </c>
      <c r="D418" t="s">
        <v>68</v>
      </c>
      <c r="E418">
        <v>218</v>
      </c>
      <c r="F418">
        <v>1</v>
      </c>
      <c r="H418">
        <v>54</v>
      </c>
      <c r="I418">
        <v>65</v>
      </c>
      <c r="K418" s="2" t="s">
        <v>1332</v>
      </c>
      <c r="L418" s="2" t="s">
        <v>1333</v>
      </c>
      <c r="M418" t="s">
        <v>4676</v>
      </c>
      <c r="N418" t="s">
        <v>1334</v>
      </c>
      <c r="O418" t="s">
        <v>143</v>
      </c>
      <c r="P418" t="s">
        <v>27</v>
      </c>
      <c r="Q418" t="s">
        <v>28</v>
      </c>
      <c r="R418" t="s">
        <v>28</v>
      </c>
      <c r="S418" t="s">
        <v>28</v>
      </c>
      <c r="T418" t="s">
        <v>28</v>
      </c>
      <c r="U418" t="s">
        <v>28</v>
      </c>
      <c r="V418" t="s">
        <v>28</v>
      </c>
      <c r="W418" s="16" t="s">
        <v>5629</v>
      </c>
      <c r="X418" t="s">
        <v>5624</v>
      </c>
    </row>
    <row r="419" spans="1:24" x14ac:dyDescent="0.55000000000000004">
      <c r="A419" t="s">
        <v>1335</v>
      </c>
      <c r="B419" t="s">
        <v>1336</v>
      </c>
      <c r="C419">
        <v>2018</v>
      </c>
      <c r="D419" t="s">
        <v>413</v>
      </c>
      <c r="E419">
        <v>32</v>
      </c>
      <c r="F419">
        <v>4</v>
      </c>
      <c r="H419">
        <v>870</v>
      </c>
      <c r="I419">
        <v>881</v>
      </c>
      <c r="K419" s="2" t="s">
        <v>1337</v>
      </c>
      <c r="L419" s="2" t="s">
        <v>1338</v>
      </c>
      <c r="M419" t="s">
        <v>4677</v>
      </c>
      <c r="N419" t="s">
        <v>1339</v>
      </c>
      <c r="O419" t="s">
        <v>26</v>
      </c>
      <c r="P419" t="s">
        <v>27</v>
      </c>
      <c r="Q419" t="s">
        <v>28</v>
      </c>
      <c r="R419" t="s">
        <v>28</v>
      </c>
      <c r="S419" t="s">
        <v>28</v>
      </c>
      <c r="T419" t="s">
        <v>28</v>
      </c>
      <c r="U419" t="s">
        <v>28</v>
      </c>
      <c r="V419" t="s">
        <v>28</v>
      </c>
      <c r="W419" s="16" t="s">
        <v>5629</v>
      </c>
      <c r="X419" t="s">
        <v>5624</v>
      </c>
    </row>
    <row r="420" spans="1:24" x14ac:dyDescent="0.55000000000000004">
      <c r="A420" t="s">
        <v>1340</v>
      </c>
      <c r="B420" t="s">
        <v>1341</v>
      </c>
      <c r="C420">
        <v>2018</v>
      </c>
      <c r="D420" t="s">
        <v>1342</v>
      </c>
      <c r="E420">
        <v>186</v>
      </c>
      <c r="F420">
        <v>4</v>
      </c>
      <c r="H420">
        <v>587</v>
      </c>
      <c r="I420">
        <v>590</v>
      </c>
      <c r="K420" s="2" t="s">
        <v>1343</v>
      </c>
      <c r="L420" s="2" t="s">
        <v>1344</v>
      </c>
      <c r="M420" t="s">
        <v>4678</v>
      </c>
      <c r="N420" t="s">
        <v>1345</v>
      </c>
      <c r="O420" t="s">
        <v>26</v>
      </c>
      <c r="P420" t="s">
        <v>27</v>
      </c>
      <c r="Q420" t="s">
        <v>28</v>
      </c>
      <c r="R420" t="s">
        <v>28</v>
      </c>
      <c r="S420" t="s">
        <v>28</v>
      </c>
      <c r="T420" t="s">
        <v>28</v>
      </c>
      <c r="U420" t="s">
        <v>28</v>
      </c>
      <c r="V420" t="s">
        <v>28</v>
      </c>
      <c r="W420" s="16" t="s">
        <v>5629</v>
      </c>
      <c r="X420" t="s">
        <v>5624</v>
      </c>
    </row>
    <row r="421" spans="1:24" x14ac:dyDescent="0.55000000000000004">
      <c r="A421" t="s">
        <v>1346</v>
      </c>
      <c r="B421" t="s">
        <v>1347</v>
      </c>
      <c r="C421">
        <v>2018</v>
      </c>
      <c r="D421" t="s">
        <v>1348</v>
      </c>
      <c r="E421">
        <v>194</v>
      </c>
      <c r="H421">
        <v>682</v>
      </c>
      <c r="I421">
        <v>691</v>
      </c>
      <c r="K421" s="2" t="s">
        <v>1349</v>
      </c>
      <c r="L421" s="2" t="s">
        <v>1350</v>
      </c>
      <c r="M421" t="s">
        <v>4679</v>
      </c>
      <c r="N421" t="s">
        <v>1351</v>
      </c>
      <c r="O421" t="s">
        <v>143</v>
      </c>
      <c r="P421" t="s">
        <v>27</v>
      </c>
      <c r="Q421" t="s">
        <v>28</v>
      </c>
      <c r="R421" t="s">
        <v>28</v>
      </c>
      <c r="S421" t="s">
        <v>28</v>
      </c>
      <c r="T421" t="s">
        <v>28</v>
      </c>
      <c r="U421" t="s">
        <v>28</v>
      </c>
      <c r="V421" t="s">
        <v>28</v>
      </c>
      <c r="W421" s="16" t="s">
        <v>5629</v>
      </c>
      <c r="X421" t="s">
        <v>5624</v>
      </c>
    </row>
    <row r="422" spans="1:24" x14ac:dyDescent="0.55000000000000004">
      <c r="A422" t="s">
        <v>1352</v>
      </c>
      <c r="B422" t="s">
        <v>4680</v>
      </c>
      <c r="C422">
        <v>2018</v>
      </c>
      <c r="D422" t="s">
        <v>288</v>
      </c>
      <c r="E422">
        <v>106</v>
      </c>
      <c r="F422">
        <v>2</v>
      </c>
      <c r="H422">
        <v>463</v>
      </c>
      <c r="I422">
        <v>467</v>
      </c>
      <c r="K422" s="2" t="s">
        <v>1353</v>
      </c>
      <c r="L422" s="2" t="s">
        <v>1354</v>
      </c>
      <c r="M422" t="s">
        <v>4681</v>
      </c>
      <c r="N422" t="s">
        <v>4682</v>
      </c>
      <c r="O422" t="s">
        <v>1355</v>
      </c>
      <c r="P422" t="s">
        <v>27</v>
      </c>
      <c r="Q422" t="s">
        <v>28</v>
      </c>
      <c r="R422" t="s">
        <v>28</v>
      </c>
      <c r="S422" t="s">
        <v>28</v>
      </c>
      <c r="T422" t="s">
        <v>28</v>
      </c>
      <c r="U422" t="s">
        <v>28</v>
      </c>
      <c r="V422" t="s">
        <v>28</v>
      </c>
      <c r="W422" s="16" t="s">
        <v>5629</v>
      </c>
      <c r="X422" t="s">
        <v>5624</v>
      </c>
    </row>
    <row r="423" spans="1:24" x14ac:dyDescent="0.55000000000000004">
      <c r="A423" t="s">
        <v>1356</v>
      </c>
      <c r="B423" t="s">
        <v>1357</v>
      </c>
      <c r="C423">
        <v>2018</v>
      </c>
      <c r="D423" t="s">
        <v>288</v>
      </c>
      <c r="E423">
        <v>106</v>
      </c>
      <c r="F423">
        <v>2</v>
      </c>
      <c r="H423">
        <v>502</v>
      </c>
      <c r="I423">
        <v>513</v>
      </c>
      <c r="K423" s="2" t="s">
        <v>1358</v>
      </c>
      <c r="L423" s="2" t="s">
        <v>1359</v>
      </c>
      <c r="M423" t="s">
        <v>4683</v>
      </c>
      <c r="N423" t="s">
        <v>4684</v>
      </c>
      <c r="O423" t="s">
        <v>26</v>
      </c>
      <c r="P423" t="s">
        <v>27</v>
      </c>
      <c r="Q423" t="s">
        <v>28</v>
      </c>
      <c r="R423" t="s">
        <v>28</v>
      </c>
      <c r="S423" t="s">
        <v>28</v>
      </c>
      <c r="T423" t="s">
        <v>28</v>
      </c>
      <c r="U423" t="s">
        <v>28</v>
      </c>
      <c r="V423" t="s">
        <v>28</v>
      </c>
      <c r="W423" s="16" t="s">
        <v>5629</v>
      </c>
      <c r="X423" t="s">
        <v>5624</v>
      </c>
    </row>
    <row r="424" spans="1:24" x14ac:dyDescent="0.55000000000000004">
      <c r="A424" t="s">
        <v>1360</v>
      </c>
      <c r="B424" t="s">
        <v>1361</v>
      </c>
      <c r="C424">
        <v>2018</v>
      </c>
      <c r="D424" t="s">
        <v>1362</v>
      </c>
      <c r="E424">
        <v>255</v>
      </c>
      <c r="H424">
        <v>111</v>
      </c>
      <c r="I424">
        <v>118</v>
      </c>
      <c r="K424" s="2" t="s">
        <v>1363</v>
      </c>
      <c r="L424" s="2" t="s">
        <v>1364</v>
      </c>
      <c r="M424" t="s">
        <v>4685</v>
      </c>
      <c r="N424" t="s">
        <v>1365</v>
      </c>
      <c r="O424" t="s">
        <v>26</v>
      </c>
      <c r="P424" t="s">
        <v>27</v>
      </c>
      <c r="Q424" t="s">
        <v>28</v>
      </c>
      <c r="R424" t="s">
        <v>28</v>
      </c>
      <c r="S424" t="s">
        <v>28</v>
      </c>
      <c r="T424" t="s">
        <v>28</v>
      </c>
      <c r="U424" t="s">
        <v>28</v>
      </c>
      <c r="V424" t="s">
        <v>28</v>
      </c>
      <c r="W424" s="16" t="s">
        <v>5629</v>
      </c>
      <c r="X424" t="s">
        <v>5624</v>
      </c>
    </row>
    <row r="425" spans="1:24" x14ac:dyDescent="0.55000000000000004">
      <c r="A425" t="s">
        <v>1366</v>
      </c>
      <c r="B425" t="s">
        <v>1367</v>
      </c>
      <c r="C425">
        <v>2018</v>
      </c>
      <c r="D425" t="s">
        <v>1368</v>
      </c>
      <c r="E425">
        <v>84</v>
      </c>
      <c r="F425">
        <v>3</v>
      </c>
      <c r="G425" t="s">
        <v>1369</v>
      </c>
      <c r="K425" s="2" t="s">
        <v>1370</v>
      </c>
      <c r="L425" s="2" t="s">
        <v>1371</v>
      </c>
      <c r="M425" t="s">
        <v>4686</v>
      </c>
      <c r="N425" t="s">
        <v>1372</v>
      </c>
      <c r="O425" t="s">
        <v>26</v>
      </c>
      <c r="P425" t="s">
        <v>27</v>
      </c>
      <c r="Q425" t="s">
        <v>28</v>
      </c>
      <c r="R425" t="s">
        <v>28</v>
      </c>
      <c r="S425" t="s">
        <v>28</v>
      </c>
      <c r="T425" t="s">
        <v>28</v>
      </c>
      <c r="U425" t="s">
        <v>28</v>
      </c>
      <c r="V425" t="s">
        <v>28</v>
      </c>
      <c r="W425" s="16" t="s">
        <v>5629</v>
      </c>
      <c r="X425" t="s">
        <v>5624</v>
      </c>
    </row>
    <row r="426" spans="1:24" x14ac:dyDescent="0.55000000000000004">
      <c r="A426" t="s">
        <v>4687</v>
      </c>
      <c r="B426" t="s">
        <v>1373</v>
      </c>
      <c r="C426">
        <v>2018</v>
      </c>
      <c r="D426" t="s">
        <v>681</v>
      </c>
      <c r="E426">
        <v>233</v>
      </c>
      <c r="H426">
        <v>92</v>
      </c>
      <c r="I426">
        <v>98</v>
      </c>
      <c r="K426" s="2" t="s">
        <v>1374</v>
      </c>
      <c r="L426" s="2" t="s">
        <v>1375</v>
      </c>
      <c r="M426" t="s">
        <v>4688</v>
      </c>
      <c r="N426" t="s">
        <v>1376</v>
      </c>
      <c r="O426" t="s">
        <v>26</v>
      </c>
      <c r="P426" t="s">
        <v>27</v>
      </c>
      <c r="Q426" t="s">
        <v>28</v>
      </c>
      <c r="R426" t="s">
        <v>28</v>
      </c>
      <c r="S426" t="s">
        <v>28</v>
      </c>
      <c r="T426" t="s">
        <v>28</v>
      </c>
      <c r="U426" t="s">
        <v>28</v>
      </c>
      <c r="V426" t="s">
        <v>28</v>
      </c>
      <c r="W426" s="16" t="s">
        <v>5629</v>
      </c>
      <c r="X426" t="s">
        <v>5624</v>
      </c>
    </row>
    <row r="427" spans="1:24" x14ac:dyDescent="0.55000000000000004">
      <c r="A427" t="s">
        <v>1377</v>
      </c>
      <c r="B427" t="s">
        <v>1378</v>
      </c>
      <c r="C427">
        <v>2018</v>
      </c>
      <c r="D427" t="s">
        <v>38</v>
      </c>
      <c r="E427" t="s">
        <v>1379</v>
      </c>
      <c r="H427">
        <v>548</v>
      </c>
      <c r="I427">
        <v>556</v>
      </c>
      <c r="K427" s="2" t="s">
        <v>1380</v>
      </c>
      <c r="L427" s="2" t="s">
        <v>1381</v>
      </c>
      <c r="M427" t="s">
        <v>4689</v>
      </c>
      <c r="N427" t="s">
        <v>1382</v>
      </c>
      <c r="O427" t="s">
        <v>26</v>
      </c>
      <c r="P427" t="s">
        <v>27</v>
      </c>
      <c r="Q427" t="s">
        <v>28</v>
      </c>
      <c r="R427" t="s">
        <v>28</v>
      </c>
      <c r="S427" t="s">
        <v>28</v>
      </c>
      <c r="T427" t="s">
        <v>28</v>
      </c>
      <c r="U427" t="s">
        <v>28</v>
      </c>
      <c r="V427" t="s">
        <v>28</v>
      </c>
      <c r="W427" s="16" t="s">
        <v>5629</v>
      </c>
      <c r="X427" t="s">
        <v>5624</v>
      </c>
    </row>
    <row r="428" spans="1:24" x14ac:dyDescent="0.55000000000000004">
      <c r="A428" t="s">
        <v>1383</v>
      </c>
      <c r="B428" t="s">
        <v>1384</v>
      </c>
      <c r="C428">
        <v>2018</v>
      </c>
      <c r="D428" t="s">
        <v>1385</v>
      </c>
      <c r="H428">
        <v>29</v>
      </c>
      <c r="I428">
        <v>71</v>
      </c>
      <c r="K428" s="2" t="s">
        <v>1386</v>
      </c>
      <c r="L428" s="2" t="s">
        <v>1387</v>
      </c>
      <c r="M428" t="s">
        <v>4690</v>
      </c>
      <c r="N428" t="s">
        <v>1388</v>
      </c>
      <c r="O428" t="s">
        <v>198</v>
      </c>
      <c r="P428" t="s">
        <v>27</v>
      </c>
      <c r="Q428" t="s">
        <v>28</v>
      </c>
      <c r="R428" t="s">
        <v>28</v>
      </c>
      <c r="S428" t="s">
        <v>28</v>
      </c>
      <c r="T428" t="s">
        <v>28</v>
      </c>
      <c r="U428" t="s">
        <v>28</v>
      </c>
      <c r="V428" t="s">
        <v>28</v>
      </c>
      <c r="W428" s="16" t="s">
        <v>5629</v>
      </c>
      <c r="X428" t="s">
        <v>5624</v>
      </c>
    </row>
    <row r="429" spans="1:24" x14ac:dyDescent="0.55000000000000004">
      <c r="A429" t="s">
        <v>1389</v>
      </c>
      <c r="B429" t="s">
        <v>1390</v>
      </c>
      <c r="C429">
        <v>2018</v>
      </c>
      <c r="D429" t="s">
        <v>1391</v>
      </c>
      <c r="H429">
        <v>600</v>
      </c>
      <c r="I429">
        <v>605</v>
      </c>
      <c r="K429" s="2" t="s">
        <v>1392</v>
      </c>
      <c r="L429" s="2" t="s">
        <v>1393</v>
      </c>
      <c r="M429" t="s">
        <v>4691</v>
      </c>
      <c r="N429" t="s">
        <v>1394</v>
      </c>
      <c r="O429" t="s">
        <v>198</v>
      </c>
      <c r="P429" t="s">
        <v>27</v>
      </c>
      <c r="Q429" t="s">
        <v>28</v>
      </c>
      <c r="R429" t="s">
        <v>28</v>
      </c>
      <c r="S429" t="s">
        <v>28</v>
      </c>
      <c r="T429" t="s">
        <v>28</v>
      </c>
      <c r="U429" t="s">
        <v>28</v>
      </c>
      <c r="V429" t="s">
        <v>28</v>
      </c>
      <c r="W429" s="16" t="s">
        <v>5629</v>
      </c>
      <c r="X429" t="s">
        <v>5624</v>
      </c>
    </row>
    <row r="430" spans="1:24" x14ac:dyDescent="0.55000000000000004">
      <c r="A430" t="s">
        <v>1395</v>
      </c>
      <c r="B430" t="s">
        <v>1396</v>
      </c>
      <c r="C430">
        <v>2018</v>
      </c>
      <c r="D430" t="s">
        <v>1397</v>
      </c>
      <c r="H430">
        <v>3</v>
      </c>
      <c r="I430">
        <v>13</v>
      </c>
      <c r="K430" s="2" t="s">
        <v>1398</v>
      </c>
      <c r="L430" s="2" t="s">
        <v>1399</v>
      </c>
      <c r="M430" t="s">
        <v>4692</v>
      </c>
      <c r="N430" t="s">
        <v>1400</v>
      </c>
      <c r="O430" t="s">
        <v>198</v>
      </c>
      <c r="P430" t="s">
        <v>27</v>
      </c>
      <c r="Q430" t="s">
        <v>28</v>
      </c>
      <c r="R430" t="s">
        <v>28</v>
      </c>
      <c r="S430" t="s">
        <v>28</v>
      </c>
      <c r="T430" t="s">
        <v>28</v>
      </c>
      <c r="U430" t="s">
        <v>28</v>
      </c>
      <c r="V430" t="s">
        <v>28</v>
      </c>
      <c r="W430" s="16" t="s">
        <v>5629</v>
      </c>
      <c r="X430" t="s">
        <v>5624</v>
      </c>
    </row>
    <row r="431" spans="1:24" x14ac:dyDescent="0.55000000000000004">
      <c r="A431" t="s">
        <v>1401</v>
      </c>
      <c r="B431" t="s">
        <v>1402</v>
      </c>
      <c r="C431">
        <v>2018</v>
      </c>
      <c r="D431" t="s">
        <v>1403</v>
      </c>
      <c r="E431">
        <v>7</v>
      </c>
      <c r="F431">
        <v>1</v>
      </c>
      <c r="H431">
        <v>51</v>
      </c>
      <c r="I431">
        <v>61</v>
      </c>
      <c r="K431" s="2" t="s">
        <v>1404</v>
      </c>
      <c r="L431" s="2" t="s">
        <v>1405</v>
      </c>
      <c r="M431" t="s">
        <v>4693</v>
      </c>
      <c r="N431" t="s">
        <v>1406</v>
      </c>
      <c r="O431" t="s">
        <v>26</v>
      </c>
      <c r="P431" t="s">
        <v>27</v>
      </c>
      <c r="Q431" t="s">
        <v>28</v>
      </c>
      <c r="R431" t="s">
        <v>28</v>
      </c>
      <c r="S431" t="s">
        <v>28</v>
      </c>
      <c r="T431" t="s">
        <v>28</v>
      </c>
      <c r="U431" t="s">
        <v>28</v>
      </c>
      <c r="V431" t="s">
        <v>28</v>
      </c>
      <c r="W431" s="16" t="s">
        <v>5629</v>
      </c>
      <c r="X431" t="s">
        <v>5624</v>
      </c>
    </row>
    <row r="432" spans="1:24" x14ac:dyDescent="0.55000000000000004">
      <c r="A432" t="s">
        <v>1407</v>
      </c>
      <c r="B432" t="s">
        <v>1408</v>
      </c>
      <c r="C432">
        <v>2018</v>
      </c>
      <c r="D432" t="s">
        <v>288</v>
      </c>
      <c r="E432">
        <v>106</v>
      </c>
      <c r="F432">
        <v>1</v>
      </c>
      <c r="H432">
        <v>168</v>
      </c>
      <c r="I432">
        <v>178</v>
      </c>
      <c r="K432" s="2" t="s">
        <v>1409</v>
      </c>
      <c r="L432" s="2" t="s">
        <v>1410</v>
      </c>
      <c r="M432" t="s">
        <v>4694</v>
      </c>
      <c r="N432" t="s">
        <v>1411</v>
      </c>
      <c r="O432" t="s">
        <v>26</v>
      </c>
      <c r="P432" t="s">
        <v>27</v>
      </c>
      <c r="Q432" t="s">
        <v>28</v>
      </c>
      <c r="R432" t="s">
        <v>28</v>
      </c>
      <c r="S432" t="s">
        <v>28</v>
      </c>
      <c r="T432" t="s">
        <v>28</v>
      </c>
      <c r="U432" t="s">
        <v>28</v>
      </c>
      <c r="V432" t="s">
        <v>28</v>
      </c>
      <c r="W432" s="16" t="s">
        <v>5629</v>
      </c>
      <c r="X432" t="s">
        <v>5624</v>
      </c>
    </row>
    <row r="433" spans="1:24" x14ac:dyDescent="0.55000000000000004">
      <c r="A433" t="s">
        <v>4695</v>
      </c>
      <c r="B433" t="s">
        <v>1412</v>
      </c>
      <c r="C433">
        <v>2018</v>
      </c>
      <c r="D433" t="s">
        <v>513</v>
      </c>
      <c r="E433">
        <v>28</v>
      </c>
      <c r="F433">
        <v>1</v>
      </c>
      <c r="H433">
        <v>71</v>
      </c>
      <c r="I433">
        <v>83</v>
      </c>
      <c r="K433" s="2" t="s">
        <v>1413</v>
      </c>
      <c r="L433" s="2" t="s">
        <v>1414</v>
      </c>
      <c r="M433" t="s">
        <v>4696</v>
      </c>
      <c r="N433" t="s">
        <v>1415</v>
      </c>
      <c r="O433" t="s">
        <v>26</v>
      </c>
      <c r="P433" t="s">
        <v>27</v>
      </c>
      <c r="Q433" t="s">
        <v>28</v>
      </c>
      <c r="R433" t="s">
        <v>28</v>
      </c>
      <c r="S433" t="s">
        <v>28</v>
      </c>
      <c r="T433" t="s">
        <v>28</v>
      </c>
      <c r="U433" t="s">
        <v>28</v>
      </c>
      <c r="V433" t="s">
        <v>28</v>
      </c>
      <c r="W433" s="16" t="s">
        <v>5629</v>
      </c>
      <c r="X433" t="s">
        <v>5624</v>
      </c>
    </row>
    <row r="434" spans="1:24" x14ac:dyDescent="0.55000000000000004">
      <c r="A434" t="s">
        <v>1416</v>
      </c>
      <c r="B434" t="s">
        <v>1417</v>
      </c>
      <c r="C434">
        <v>2017</v>
      </c>
      <c r="D434" t="s">
        <v>131</v>
      </c>
      <c r="E434">
        <v>12</v>
      </c>
      <c r="F434">
        <v>12</v>
      </c>
      <c r="G434" t="s">
        <v>1418</v>
      </c>
      <c r="K434" s="2" t="s">
        <v>1419</v>
      </c>
      <c r="L434" s="2" t="s">
        <v>1420</v>
      </c>
      <c r="M434" t="s">
        <v>4698</v>
      </c>
      <c r="O434" t="s">
        <v>26</v>
      </c>
      <c r="P434" t="s">
        <v>27</v>
      </c>
      <c r="Q434" t="s">
        <v>28</v>
      </c>
      <c r="R434" t="s">
        <v>28</v>
      </c>
      <c r="S434" t="s">
        <v>28</v>
      </c>
      <c r="T434" t="s">
        <v>28</v>
      </c>
      <c r="U434" t="s">
        <v>28</v>
      </c>
      <c r="V434" t="s">
        <v>28</v>
      </c>
      <c r="W434" s="16" t="s">
        <v>5629</v>
      </c>
      <c r="X434" t="s">
        <v>5624</v>
      </c>
    </row>
    <row r="435" spans="1:24" x14ac:dyDescent="0.55000000000000004">
      <c r="A435" t="s">
        <v>1421</v>
      </c>
      <c r="B435" t="s">
        <v>1422</v>
      </c>
      <c r="C435">
        <v>2017</v>
      </c>
      <c r="D435" t="s">
        <v>105</v>
      </c>
      <c r="E435">
        <v>27</v>
      </c>
      <c r="F435">
        <v>8</v>
      </c>
      <c r="H435">
        <v>2359</v>
      </c>
      <c r="I435">
        <v>2368</v>
      </c>
      <c r="K435" s="2" t="s">
        <v>1423</v>
      </c>
      <c r="L435" s="2" t="s">
        <v>1424</v>
      </c>
      <c r="M435" t="s">
        <v>4699</v>
      </c>
      <c r="N435" t="s">
        <v>4700</v>
      </c>
      <c r="O435" t="s">
        <v>26</v>
      </c>
      <c r="P435" t="s">
        <v>27</v>
      </c>
      <c r="Q435" t="s">
        <v>28</v>
      </c>
      <c r="R435" t="s">
        <v>28</v>
      </c>
      <c r="S435" t="s">
        <v>28</v>
      </c>
      <c r="T435" t="s">
        <v>28</v>
      </c>
      <c r="U435" t="s">
        <v>28</v>
      </c>
      <c r="V435" t="s">
        <v>28</v>
      </c>
      <c r="W435" s="16" t="s">
        <v>5629</v>
      </c>
      <c r="X435" t="s">
        <v>5624</v>
      </c>
    </row>
    <row r="436" spans="1:24" x14ac:dyDescent="0.55000000000000004">
      <c r="A436" t="s">
        <v>1425</v>
      </c>
      <c r="B436" t="s">
        <v>1426</v>
      </c>
      <c r="C436">
        <v>2017</v>
      </c>
      <c r="D436" t="s">
        <v>282</v>
      </c>
      <c r="E436">
        <v>7</v>
      </c>
      <c r="F436">
        <v>1</v>
      </c>
      <c r="G436">
        <v>15487</v>
      </c>
      <c r="K436" s="2" t="s">
        <v>1427</v>
      </c>
      <c r="L436" s="2" t="s">
        <v>1428</v>
      </c>
      <c r="M436" t="s">
        <v>4701</v>
      </c>
      <c r="O436" t="s">
        <v>26</v>
      </c>
      <c r="P436" t="s">
        <v>27</v>
      </c>
      <c r="Q436" t="s">
        <v>28</v>
      </c>
      <c r="R436" t="s">
        <v>28</v>
      </c>
      <c r="S436" t="s">
        <v>28</v>
      </c>
      <c r="T436" t="s">
        <v>28</v>
      </c>
      <c r="U436" t="s">
        <v>28</v>
      </c>
      <c r="V436" t="s">
        <v>28</v>
      </c>
      <c r="W436" s="16" t="s">
        <v>5629</v>
      </c>
      <c r="X436" t="s">
        <v>5624</v>
      </c>
    </row>
    <row r="437" spans="1:24" x14ac:dyDescent="0.55000000000000004">
      <c r="A437" t="s">
        <v>1429</v>
      </c>
      <c r="B437" t="s">
        <v>1430</v>
      </c>
      <c r="C437">
        <v>2017</v>
      </c>
      <c r="D437" t="s">
        <v>466</v>
      </c>
      <c r="E437">
        <v>20</v>
      </c>
      <c r="F437">
        <v>12</v>
      </c>
      <c r="H437">
        <v>1546</v>
      </c>
      <c r="I437">
        <v>1555</v>
      </c>
      <c r="K437" s="2" t="s">
        <v>1431</v>
      </c>
      <c r="L437" s="2" t="s">
        <v>1432</v>
      </c>
      <c r="M437" t="s">
        <v>4702</v>
      </c>
      <c r="N437" t="s">
        <v>4703</v>
      </c>
      <c r="O437" t="s">
        <v>496</v>
      </c>
      <c r="P437" t="s">
        <v>27</v>
      </c>
      <c r="Q437" t="s">
        <v>28</v>
      </c>
      <c r="R437" t="s">
        <v>28</v>
      </c>
      <c r="S437" t="s">
        <v>28</v>
      </c>
      <c r="T437" t="s">
        <v>28</v>
      </c>
      <c r="U437" t="s">
        <v>28</v>
      </c>
      <c r="V437" t="s">
        <v>28</v>
      </c>
      <c r="W437" s="16" t="s">
        <v>5629</v>
      </c>
      <c r="X437" t="s">
        <v>5624</v>
      </c>
    </row>
    <row r="438" spans="1:24" x14ac:dyDescent="0.55000000000000004">
      <c r="A438" t="s">
        <v>1433</v>
      </c>
      <c r="B438" t="s">
        <v>1434</v>
      </c>
      <c r="C438">
        <v>2017</v>
      </c>
      <c r="D438" t="s">
        <v>53</v>
      </c>
      <c r="E438">
        <v>115</v>
      </c>
      <c r="H438">
        <v>526</v>
      </c>
      <c r="I438">
        <v>536</v>
      </c>
      <c r="K438" s="2" t="s">
        <v>1435</v>
      </c>
      <c r="L438" s="2" t="s">
        <v>1436</v>
      </c>
      <c r="M438" t="s">
        <v>4704</v>
      </c>
      <c r="N438" t="s">
        <v>1437</v>
      </c>
      <c r="O438" t="s">
        <v>26</v>
      </c>
      <c r="P438" t="s">
        <v>27</v>
      </c>
      <c r="Q438" t="s">
        <v>28</v>
      </c>
      <c r="R438" t="s">
        <v>28</v>
      </c>
      <c r="S438" t="s">
        <v>28</v>
      </c>
      <c r="T438" t="s">
        <v>28</v>
      </c>
      <c r="U438" t="s">
        <v>28</v>
      </c>
      <c r="V438" t="s">
        <v>28</v>
      </c>
      <c r="W438" s="16" t="s">
        <v>5629</v>
      </c>
      <c r="X438" t="s">
        <v>5624</v>
      </c>
    </row>
    <row r="439" spans="1:24" x14ac:dyDescent="0.55000000000000004">
      <c r="A439" t="s">
        <v>1438</v>
      </c>
      <c r="B439" t="s">
        <v>1439</v>
      </c>
      <c r="C439">
        <v>2017</v>
      </c>
      <c r="D439" t="s">
        <v>282</v>
      </c>
      <c r="E439">
        <v>7</v>
      </c>
      <c r="F439">
        <v>1</v>
      </c>
      <c r="G439">
        <v>3067</v>
      </c>
      <c r="K439" s="2" t="s">
        <v>1440</v>
      </c>
      <c r="L439" s="2" t="s">
        <v>1441</v>
      </c>
      <c r="M439" t="s">
        <v>4705</v>
      </c>
      <c r="O439" t="s">
        <v>26</v>
      </c>
      <c r="P439" t="s">
        <v>27</v>
      </c>
      <c r="Q439" t="s">
        <v>28</v>
      </c>
      <c r="R439" t="s">
        <v>28</v>
      </c>
      <c r="S439" t="s">
        <v>28</v>
      </c>
      <c r="T439" t="s">
        <v>28</v>
      </c>
      <c r="U439" t="s">
        <v>28</v>
      </c>
      <c r="V439" t="s">
        <v>28</v>
      </c>
      <c r="W439" s="16" t="s">
        <v>5629</v>
      </c>
      <c r="X439" t="s">
        <v>5624</v>
      </c>
    </row>
    <row r="440" spans="1:24" x14ac:dyDescent="0.55000000000000004">
      <c r="A440" t="s">
        <v>1442</v>
      </c>
      <c r="B440" t="s">
        <v>1443</v>
      </c>
      <c r="C440">
        <v>2017</v>
      </c>
      <c r="D440" t="s">
        <v>1444</v>
      </c>
      <c r="E440">
        <v>38</v>
      </c>
      <c r="H440">
        <v>83</v>
      </c>
      <c r="I440">
        <v>86</v>
      </c>
      <c r="K440" s="2" t="s">
        <v>1445</v>
      </c>
      <c r="L440" s="2" t="s">
        <v>1446</v>
      </c>
      <c r="M440" t="s">
        <v>4706</v>
      </c>
      <c r="N440" t="s">
        <v>1447</v>
      </c>
      <c r="O440" t="s">
        <v>26</v>
      </c>
      <c r="P440" t="s">
        <v>27</v>
      </c>
      <c r="Q440" t="s">
        <v>28</v>
      </c>
      <c r="R440" t="s">
        <v>28</v>
      </c>
      <c r="S440" t="s">
        <v>28</v>
      </c>
      <c r="T440" t="s">
        <v>28</v>
      </c>
      <c r="U440" t="s">
        <v>28</v>
      </c>
      <c r="V440" t="s">
        <v>28</v>
      </c>
      <c r="W440" s="16" t="s">
        <v>5629</v>
      </c>
      <c r="X440" t="s">
        <v>5624</v>
      </c>
    </row>
    <row r="441" spans="1:24" x14ac:dyDescent="0.55000000000000004">
      <c r="A441" t="s">
        <v>1448</v>
      </c>
      <c r="B441" t="s">
        <v>1449</v>
      </c>
      <c r="C441">
        <v>2017</v>
      </c>
      <c r="D441" t="s">
        <v>186</v>
      </c>
      <c r="E441">
        <v>420</v>
      </c>
      <c r="F441" s="4">
        <v>44563</v>
      </c>
      <c r="H441">
        <v>407</v>
      </c>
      <c r="I441">
        <v>421</v>
      </c>
      <c r="K441" s="2" t="s">
        <v>1450</v>
      </c>
      <c r="L441" s="2" t="s">
        <v>1451</v>
      </c>
      <c r="M441" t="s">
        <v>4707</v>
      </c>
      <c r="N441" t="s">
        <v>1452</v>
      </c>
      <c r="O441" t="s">
        <v>26</v>
      </c>
      <c r="P441" t="s">
        <v>27</v>
      </c>
      <c r="Q441" t="s">
        <v>28</v>
      </c>
      <c r="R441" t="s">
        <v>28</v>
      </c>
      <c r="S441" t="s">
        <v>28</v>
      </c>
      <c r="T441" t="s">
        <v>28</v>
      </c>
      <c r="U441" t="s">
        <v>28</v>
      </c>
      <c r="V441" t="s">
        <v>28</v>
      </c>
      <c r="W441" s="16" t="s">
        <v>5629</v>
      </c>
      <c r="X441" t="s">
        <v>5624</v>
      </c>
    </row>
    <row r="442" spans="1:24" x14ac:dyDescent="0.55000000000000004">
      <c r="A442" t="s">
        <v>4708</v>
      </c>
      <c r="B442" t="s">
        <v>1453</v>
      </c>
      <c r="C442">
        <v>2017</v>
      </c>
      <c r="D442" t="s">
        <v>372</v>
      </c>
      <c r="E442">
        <v>403</v>
      </c>
      <c r="H442">
        <v>161</v>
      </c>
      <c r="I442">
        <v>185</v>
      </c>
      <c r="K442" s="2" t="s">
        <v>1454</v>
      </c>
      <c r="L442" s="2" t="s">
        <v>1455</v>
      </c>
      <c r="M442" t="s">
        <v>4709</v>
      </c>
      <c r="N442" t="s">
        <v>1456</v>
      </c>
      <c r="O442" t="s">
        <v>143</v>
      </c>
      <c r="P442" t="s">
        <v>27</v>
      </c>
      <c r="Q442" t="s">
        <v>28</v>
      </c>
      <c r="R442" t="s">
        <v>28</v>
      </c>
      <c r="S442" t="s">
        <v>28</v>
      </c>
      <c r="T442" t="s">
        <v>28</v>
      </c>
      <c r="U442" t="s">
        <v>28</v>
      </c>
      <c r="V442" t="s">
        <v>28</v>
      </c>
      <c r="W442" s="16" t="s">
        <v>5629</v>
      </c>
      <c r="X442" t="s">
        <v>5624</v>
      </c>
    </row>
    <row r="443" spans="1:24" x14ac:dyDescent="0.55000000000000004">
      <c r="A443" t="s">
        <v>1457</v>
      </c>
      <c r="B443" t="s">
        <v>1458</v>
      </c>
      <c r="C443">
        <v>2017</v>
      </c>
      <c r="D443" t="s">
        <v>105</v>
      </c>
      <c r="E443">
        <v>27</v>
      </c>
      <c r="F443">
        <v>7</v>
      </c>
      <c r="H443">
        <v>2001</v>
      </c>
      <c r="I443">
        <v>2012</v>
      </c>
      <c r="K443" s="2" t="s">
        <v>1459</v>
      </c>
      <c r="L443" s="2" t="s">
        <v>1460</v>
      </c>
      <c r="M443" t="s">
        <v>4710</v>
      </c>
      <c r="N443" t="s">
        <v>1461</v>
      </c>
      <c r="O443" t="s">
        <v>26</v>
      </c>
      <c r="P443" t="s">
        <v>27</v>
      </c>
      <c r="Q443" t="s">
        <v>28</v>
      </c>
      <c r="R443" t="s">
        <v>28</v>
      </c>
      <c r="S443" t="s">
        <v>28</v>
      </c>
      <c r="T443" t="s">
        <v>28</v>
      </c>
      <c r="U443" t="s">
        <v>28</v>
      </c>
      <c r="V443" t="s">
        <v>28</v>
      </c>
      <c r="W443" s="16" t="s">
        <v>5629</v>
      </c>
      <c r="X443" t="s">
        <v>5624</v>
      </c>
    </row>
    <row r="444" spans="1:24" x14ac:dyDescent="0.55000000000000004">
      <c r="A444" t="s">
        <v>1463</v>
      </c>
      <c r="B444" t="s">
        <v>1464</v>
      </c>
      <c r="C444">
        <v>2017</v>
      </c>
      <c r="D444" t="s">
        <v>532</v>
      </c>
      <c r="E444">
        <v>120</v>
      </c>
      <c r="F444">
        <v>3</v>
      </c>
      <c r="H444">
        <v>361</v>
      </c>
      <c r="I444">
        <v>371</v>
      </c>
      <c r="K444" s="2" t="s">
        <v>1465</v>
      </c>
      <c r="L444" s="2" t="s">
        <v>1466</v>
      </c>
      <c r="M444" t="s">
        <v>4711</v>
      </c>
      <c r="N444" t="s">
        <v>1467</v>
      </c>
      <c r="O444" t="s">
        <v>26</v>
      </c>
      <c r="P444" t="s">
        <v>27</v>
      </c>
      <c r="Q444" t="s">
        <v>28</v>
      </c>
      <c r="R444" t="s">
        <v>28</v>
      </c>
      <c r="S444" t="s">
        <v>28</v>
      </c>
      <c r="T444" t="s">
        <v>28</v>
      </c>
      <c r="U444" t="s">
        <v>28</v>
      </c>
      <c r="V444" t="s">
        <v>28</v>
      </c>
      <c r="W444" s="16" t="s">
        <v>5629</v>
      </c>
      <c r="X444" t="s">
        <v>5624</v>
      </c>
    </row>
    <row r="445" spans="1:24" x14ac:dyDescent="0.55000000000000004">
      <c r="A445" t="s">
        <v>4712</v>
      </c>
      <c r="B445" t="s">
        <v>1468</v>
      </c>
      <c r="C445">
        <v>2017</v>
      </c>
      <c r="D445" t="s">
        <v>1469</v>
      </c>
      <c r="E445">
        <v>262</v>
      </c>
      <c r="H445">
        <v>175</v>
      </c>
      <c r="I445">
        <v>181</v>
      </c>
      <c r="K445" s="2" t="s">
        <v>1470</v>
      </c>
      <c r="L445" s="2" t="s">
        <v>1471</v>
      </c>
      <c r="M445" t="s">
        <v>4713</v>
      </c>
      <c r="N445" t="s">
        <v>1472</v>
      </c>
      <c r="O445" t="s">
        <v>26</v>
      </c>
      <c r="P445" t="s">
        <v>27</v>
      </c>
      <c r="Q445" t="s">
        <v>28</v>
      </c>
      <c r="R445" t="s">
        <v>28</v>
      </c>
      <c r="S445" t="s">
        <v>28</v>
      </c>
      <c r="T445" t="s">
        <v>28</v>
      </c>
      <c r="U445" t="s">
        <v>28</v>
      </c>
      <c r="V445" t="s">
        <v>28</v>
      </c>
      <c r="W445" s="16" t="s">
        <v>5629</v>
      </c>
      <c r="X445" t="s">
        <v>5624</v>
      </c>
    </row>
    <row r="446" spans="1:24" x14ac:dyDescent="0.55000000000000004">
      <c r="A446" t="s">
        <v>1473</v>
      </c>
      <c r="B446" t="s">
        <v>1474</v>
      </c>
      <c r="C446">
        <v>2017</v>
      </c>
      <c r="D446" t="s">
        <v>624</v>
      </c>
      <c r="E446">
        <v>8</v>
      </c>
      <c r="G446">
        <v>1497</v>
      </c>
      <c r="K446" s="2" t="s">
        <v>1475</v>
      </c>
      <c r="L446" s="2" t="s">
        <v>1476</v>
      </c>
      <c r="M446" t="s">
        <v>4714</v>
      </c>
      <c r="N446" t="s">
        <v>1477</v>
      </c>
      <c r="O446" t="s">
        <v>26</v>
      </c>
      <c r="P446" t="s">
        <v>27</v>
      </c>
      <c r="Q446" t="s">
        <v>28</v>
      </c>
      <c r="R446" t="s">
        <v>28</v>
      </c>
      <c r="S446" t="s">
        <v>28</v>
      </c>
      <c r="T446" t="s">
        <v>28</v>
      </c>
      <c r="U446" t="s">
        <v>28</v>
      </c>
      <c r="V446" t="s">
        <v>28</v>
      </c>
      <c r="W446" s="16" t="s">
        <v>5629</v>
      </c>
      <c r="X446" t="s">
        <v>5624</v>
      </c>
    </row>
    <row r="447" spans="1:24" x14ac:dyDescent="0.55000000000000004">
      <c r="A447" t="s">
        <v>1478</v>
      </c>
      <c r="B447" t="s">
        <v>1479</v>
      </c>
      <c r="C447">
        <v>2017</v>
      </c>
      <c r="D447" t="s">
        <v>1480</v>
      </c>
      <c r="E447">
        <v>22</v>
      </c>
      <c r="H447">
        <v>28</v>
      </c>
      <c r="I447">
        <v>35</v>
      </c>
      <c r="K447" s="2" t="s">
        <v>1481</v>
      </c>
      <c r="L447" s="2" t="s">
        <v>1482</v>
      </c>
      <c r="M447" t="s">
        <v>4715</v>
      </c>
      <c r="N447" t="s">
        <v>1483</v>
      </c>
      <c r="O447" t="s">
        <v>26</v>
      </c>
      <c r="P447" t="s">
        <v>27</v>
      </c>
      <c r="Q447" t="s">
        <v>28</v>
      </c>
      <c r="R447" t="s">
        <v>28</v>
      </c>
      <c r="S447" t="s">
        <v>28</v>
      </c>
      <c r="T447" t="s">
        <v>28</v>
      </c>
      <c r="U447" t="s">
        <v>28</v>
      </c>
      <c r="V447" t="s">
        <v>28</v>
      </c>
      <c r="W447" s="16" t="s">
        <v>5629</v>
      </c>
      <c r="X447" t="s">
        <v>5624</v>
      </c>
    </row>
    <row r="448" spans="1:24" x14ac:dyDescent="0.55000000000000004">
      <c r="A448" t="s">
        <v>1484</v>
      </c>
      <c r="B448" t="s">
        <v>1485</v>
      </c>
      <c r="C448">
        <v>2017</v>
      </c>
      <c r="D448" t="s">
        <v>1486</v>
      </c>
      <c r="E448">
        <v>136</v>
      </c>
      <c r="F448">
        <v>4</v>
      </c>
      <c r="H448">
        <v>689</v>
      </c>
      <c r="I448">
        <v>697</v>
      </c>
      <c r="K448" s="2" t="s">
        <v>1487</v>
      </c>
      <c r="L448" s="2" t="s">
        <v>1488</v>
      </c>
      <c r="M448" t="s">
        <v>4716</v>
      </c>
      <c r="N448" t="s">
        <v>1489</v>
      </c>
      <c r="O448" t="s">
        <v>26</v>
      </c>
      <c r="P448" t="s">
        <v>27</v>
      </c>
      <c r="Q448" t="s">
        <v>28</v>
      </c>
      <c r="R448" t="s">
        <v>28</v>
      </c>
      <c r="S448" t="s">
        <v>28</v>
      </c>
      <c r="T448" t="s">
        <v>28</v>
      </c>
      <c r="U448" t="s">
        <v>28</v>
      </c>
      <c r="V448" t="s">
        <v>28</v>
      </c>
      <c r="W448" s="16" t="s">
        <v>5629</v>
      </c>
      <c r="X448" t="s">
        <v>5624</v>
      </c>
    </row>
    <row r="449" spans="1:24" x14ac:dyDescent="0.55000000000000004">
      <c r="A449" t="s">
        <v>4717</v>
      </c>
      <c r="B449" t="s">
        <v>1490</v>
      </c>
      <c r="C449">
        <v>2017</v>
      </c>
      <c r="D449" t="s">
        <v>1491</v>
      </c>
      <c r="E449">
        <v>6</v>
      </c>
      <c r="G449" t="s">
        <v>1492</v>
      </c>
      <c r="K449" s="2" t="s">
        <v>1493</v>
      </c>
      <c r="L449" s="2" t="s">
        <v>1494</v>
      </c>
      <c r="M449" t="s">
        <v>4718</v>
      </c>
      <c r="O449" t="s">
        <v>26</v>
      </c>
      <c r="P449" t="s">
        <v>27</v>
      </c>
      <c r="Q449" t="s">
        <v>43</v>
      </c>
      <c r="R449" t="s">
        <v>28</v>
      </c>
      <c r="S449" t="s">
        <v>43</v>
      </c>
      <c r="T449" t="s">
        <v>28</v>
      </c>
      <c r="U449" t="s">
        <v>28</v>
      </c>
      <c r="V449" t="s">
        <v>28</v>
      </c>
      <c r="W449" s="16" t="s">
        <v>5629</v>
      </c>
      <c r="X449" t="s">
        <v>5624</v>
      </c>
    </row>
    <row r="450" spans="1:24" x14ac:dyDescent="0.55000000000000004">
      <c r="A450" t="s">
        <v>1501</v>
      </c>
      <c r="B450" t="s">
        <v>1502</v>
      </c>
      <c r="C450">
        <v>2017</v>
      </c>
      <c r="D450" t="s">
        <v>1503</v>
      </c>
      <c r="E450">
        <v>189</v>
      </c>
      <c r="F450">
        <v>7</v>
      </c>
      <c r="G450">
        <v>315</v>
      </c>
      <c r="K450" s="2" t="s">
        <v>1504</v>
      </c>
      <c r="L450" s="2" t="s">
        <v>1505</v>
      </c>
      <c r="M450" t="s">
        <v>4720</v>
      </c>
      <c r="N450" t="s">
        <v>1506</v>
      </c>
      <c r="O450" t="s">
        <v>26</v>
      </c>
      <c r="P450" t="s">
        <v>27</v>
      </c>
      <c r="Q450" t="s">
        <v>28</v>
      </c>
      <c r="R450" t="s">
        <v>28</v>
      </c>
      <c r="S450" t="s">
        <v>28</v>
      </c>
      <c r="T450" t="s">
        <v>28</v>
      </c>
      <c r="U450" t="s">
        <v>28</v>
      </c>
      <c r="V450" t="s">
        <v>28</v>
      </c>
      <c r="W450" s="16" t="s">
        <v>5629</v>
      </c>
      <c r="X450" t="s">
        <v>5624</v>
      </c>
    </row>
    <row r="451" spans="1:24" x14ac:dyDescent="0.55000000000000004">
      <c r="A451" t="s">
        <v>1507</v>
      </c>
      <c r="B451" t="s">
        <v>1508</v>
      </c>
      <c r="C451">
        <v>2017</v>
      </c>
      <c r="D451" t="s">
        <v>513</v>
      </c>
      <c r="E451">
        <v>27</v>
      </c>
      <c r="F451">
        <v>5</v>
      </c>
      <c r="H451">
        <v>513</v>
      </c>
      <c r="I451">
        <v>524</v>
      </c>
      <c r="K451" s="2" t="s">
        <v>1509</v>
      </c>
      <c r="L451" s="2" t="s">
        <v>1510</v>
      </c>
      <c r="M451" t="s">
        <v>4721</v>
      </c>
      <c r="N451" t="s">
        <v>1511</v>
      </c>
      <c r="O451" t="s">
        <v>26</v>
      </c>
      <c r="P451" t="s">
        <v>27</v>
      </c>
      <c r="Q451" t="s">
        <v>28</v>
      </c>
      <c r="R451" t="s">
        <v>28</v>
      </c>
      <c r="S451" t="s">
        <v>28</v>
      </c>
      <c r="T451" t="s">
        <v>28</v>
      </c>
      <c r="U451" t="s">
        <v>28</v>
      </c>
      <c r="V451" t="s">
        <v>28</v>
      </c>
      <c r="W451" s="16" t="s">
        <v>5629</v>
      </c>
      <c r="X451" t="s">
        <v>5624</v>
      </c>
    </row>
    <row r="452" spans="1:24" x14ac:dyDescent="0.55000000000000004">
      <c r="A452" t="s">
        <v>4722</v>
      </c>
      <c r="B452" t="s">
        <v>1512</v>
      </c>
      <c r="C452">
        <v>2017</v>
      </c>
      <c r="D452" t="s">
        <v>1513</v>
      </c>
      <c r="E452">
        <v>81</v>
      </c>
      <c r="F452">
        <v>2</v>
      </c>
      <c r="G452" t="s">
        <v>1514</v>
      </c>
      <c r="K452" s="2" t="s">
        <v>1515</v>
      </c>
      <c r="L452" s="2" t="s">
        <v>1516</v>
      </c>
      <c r="M452" t="s">
        <v>4723</v>
      </c>
      <c r="N452" t="s">
        <v>1517</v>
      </c>
      <c r="O452" t="s">
        <v>26</v>
      </c>
      <c r="P452" t="s">
        <v>27</v>
      </c>
      <c r="Q452" t="s">
        <v>28</v>
      </c>
      <c r="R452" t="s">
        <v>28</v>
      </c>
      <c r="S452" t="s">
        <v>28</v>
      </c>
      <c r="T452" t="s">
        <v>28</v>
      </c>
      <c r="U452" t="s">
        <v>28</v>
      </c>
      <c r="V452" t="s">
        <v>28</v>
      </c>
      <c r="W452" s="16" t="s">
        <v>5629</v>
      </c>
      <c r="X452" t="s">
        <v>5624</v>
      </c>
    </row>
    <row r="453" spans="1:24" x14ac:dyDescent="0.55000000000000004">
      <c r="A453" t="s">
        <v>1518</v>
      </c>
      <c r="B453" t="s">
        <v>1519</v>
      </c>
      <c r="C453">
        <v>2017</v>
      </c>
      <c r="D453" t="s">
        <v>60</v>
      </c>
      <c r="E453">
        <v>98</v>
      </c>
      <c r="F453">
        <v>6</v>
      </c>
      <c r="H453">
        <v>1491</v>
      </c>
      <c r="I453">
        <v>1497</v>
      </c>
      <c r="K453" s="2" t="s">
        <v>1520</v>
      </c>
      <c r="L453" s="2" t="s">
        <v>1521</v>
      </c>
      <c r="M453" t="s">
        <v>4724</v>
      </c>
      <c r="N453" t="s">
        <v>1522</v>
      </c>
      <c r="O453" t="s">
        <v>26</v>
      </c>
      <c r="P453" t="s">
        <v>27</v>
      </c>
      <c r="Q453" t="s">
        <v>28</v>
      </c>
      <c r="R453" t="s">
        <v>28</v>
      </c>
      <c r="S453" t="s">
        <v>28</v>
      </c>
      <c r="T453" t="s">
        <v>28</v>
      </c>
      <c r="U453" t="s">
        <v>28</v>
      </c>
      <c r="V453" t="s">
        <v>28</v>
      </c>
      <c r="W453" s="16" t="s">
        <v>5629</v>
      </c>
      <c r="X453" t="s">
        <v>5624</v>
      </c>
    </row>
    <row r="454" spans="1:24" x14ac:dyDescent="0.55000000000000004">
      <c r="A454" t="s">
        <v>1523</v>
      </c>
      <c r="B454" t="s">
        <v>1524</v>
      </c>
      <c r="C454">
        <v>2017</v>
      </c>
      <c r="D454" t="s">
        <v>1525</v>
      </c>
      <c r="E454">
        <v>17</v>
      </c>
      <c r="F454">
        <v>6</v>
      </c>
      <c r="H454">
        <v>1579</v>
      </c>
      <c r="I454">
        <v>1587</v>
      </c>
      <c r="K454" s="2" t="s">
        <v>1526</v>
      </c>
      <c r="L454" s="2" t="s">
        <v>1527</v>
      </c>
      <c r="M454" t="s">
        <v>4725</v>
      </c>
      <c r="N454" t="s">
        <v>1528</v>
      </c>
      <c r="O454" t="s">
        <v>26</v>
      </c>
      <c r="P454" t="s">
        <v>27</v>
      </c>
      <c r="Q454" t="s">
        <v>28</v>
      </c>
      <c r="R454" t="s">
        <v>28</v>
      </c>
      <c r="S454" t="s">
        <v>28</v>
      </c>
      <c r="T454" t="s">
        <v>28</v>
      </c>
      <c r="U454" t="s">
        <v>28</v>
      </c>
      <c r="V454" t="s">
        <v>28</v>
      </c>
      <c r="W454" s="16" t="s">
        <v>5629</v>
      </c>
      <c r="X454" t="s">
        <v>5624</v>
      </c>
    </row>
    <row r="455" spans="1:24" x14ac:dyDescent="0.55000000000000004">
      <c r="A455" t="s">
        <v>1529</v>
      </c>
      <c r="B455" t="s">
        <v>1530</v>
      </c>
      <c r="C455">
        <v>2017</v>
      </c>
      <c r="D455" t="s">
        <v>1531</v>
      </c>
      <c r="H455">
        <v>305</v>
      </c>
      <c r="I455">
        <v>327</v>
      </c>
      <c r="K455" s="2" t="s">
        <v>1532</v>
      </c>
      <c r="L455" s="2" t="s">
        <v>1533</v>
      </c>
      <c r="M455" t="s">
        <v>4726</v>
      </c>
      <c r="O455" t="s">
        <v>198</v>
      </c>
      <c r="P455" t="s">
        <v>27</v>
      </c>
      <c r="Q455" t="s">
        <v>28</v>
      </c>
      <c r="R455" t="s">
        <v>28</v>
      </c>
      <c r="S455" t="s">
        <v>28</v>
      </c>
      <c r="T455" t="s">
        <v>28</v>
      </c>
      <c r="U455" t="s">
        <v>28</v>
      </c>
      <c r="V455" t="s">
        <v>28</v>
      </c>
      <c r="W455" s="16" t="s">
        <v>5629</v>
      </c>
      <c r="X455" t="s">
        <v>5624</v>
      </c>
    </row>
    <row r="456" spans="1:24" x14ac:dyDescent="0.55000000000000004">
      <c r="A456" t="s">
        <v>1534</v>
      </c>
      <c r="B456" t="s">
        <v>1535</v>
      </c>
      <c r="C456">
        <v>2017</v>
      </c>
      <c r="D456" t="s">
        <v>532</v>
      </c>
      <c r="E456">
        <v>119</v>
      </c>
      <c r="F456">
        <v>7</v>
      </c>
      <c r="H456">
        <v>1085</v>
      </c>
      <c r="I456">
        <v>1095</v>
      </c>
      <c r="K456" s="2" t="s">
        <v>1536</v>
      </c>
      <c r="L456" s="2" t="s">
        <v>1537</v>
      </c>
      <c r="M456" t="s">
        <v>4727</v>
      </c>
      <c r="N456" t="s">
        <v>1538</v>
      </c>
      <c r="O456" t="s">
        <v>26</v>
      </c>
      <c r="P456" t="s">
        <v>27</v>
      </c>
      <c r="Q456" t="s">
        <v>28</v>
      </c>
      <c r="R456" t="s">
        <v>28</v>
      </c>
      <c r="S456" t="s">
        <v>28</v>
      </c>
      <c r="T456" t="s">
        <v>28</v>
      </c>
      <c r="U456" t="s">
        <v>28</v>
      </c>
      <c r="V456" t="s">
        <v>28</v>
      </c>
      <c r="W456" s="16" t="s">
        <v>5629</v>
      </c>
      <c r="X456" t="s">
        <v>5624</v>
      </c>
    </row>
    <row r="457" spans="1:24" x14ac:dyDescent="0.55000000000000004">
      <c r="A457" t="s">
        <v>1539</v>
      </c>
      <c r="B457" t="s">
        <v>1540</v>
      </c>
      <c r="C457">
        <v>2017</v>
      </c>
      <c r="D457" t="s">
        <v>60</v>
      </c>
      <c r="E457">
        <v>98</v>
      </c>
      <c r="F457">
        <v>5</v>
      </c>
      <c r="H457">
        <v>1388</v>
      </c>
      <c r="I457">
        <v>1398</v>
      </c>
      <c r="K457" s="2" t="s">
        <v>1541</v>
      </c>
      <c r="L457" s="2" t="s">
        <v>1542</v>
      </c>
      <c r="M457" t="s">
        <v>4728</v>
      </c>
      <c r="N457" t="s">
        <v>1543</v>
      </c>
      <c r="O457" t="s">
        <v>26</v>
      </c>
      <c r="P457" t="s">
        <v>27</v>
      </c>
      <c r="Q457" t="s">
        <v>28</v>
      </c>
      <c r="R457" t="s">
        <v>28</v>
      </c>
      <c r="S457" t="s">
        <v>28</v>
      </c>
      <c r="T457" t="s">
        <v>28</v>
      </c>
      <c r="U457" t="s">
        <v>28</v>
      </c>
      <c r="V457" t="s">
        <v>28</v>
      </c>
      <c r="W457" s="16" t="s">
        <v>5629</v>
      </c>
      <c r="X457" t="s">
        <v>5624</v>
      </c>
    </row>
    <row r="458" spans="1:24" x14ac:dyDescent="0.55000000000000004">
      <c r="A458" t="s">
        <v>1544</v>
      </c>
      <c r="B458" t="s">
        <v>1545</v>
      </c>
      <c r="C458">
        <v>2017</v>
      </c>
      <c r="D458" t="s">
        <v>506</v>
      </c>
      <c r="E458">
        <v>192</v>
      </c>
      <c r="H458">
        <v>142</v>
      </c>
      <c r="I458">
        <v>149</v>
      </c>
      <c r="K458" s="2" t="s">
        <v>1546</v>
      </c>
      <c r="L458" s="2" t="s">
        <v>1547</v>
      </c>
      <c r="M458" t="s">
        <v>4729</v>
      </c>
      <c r="N458" t="s">
        <v>1548</v>
      </c>
      <c r="O458" t="s">
        <v>26</v>
      </c>
      <c r="P458" t="s">
        <v>27</v>
      </c>
      <c r="Q458" t="s">
        <v>28</v>
      </c>
      <c r="R458" t="s">
        <v>28</v>
      </c>
      <c r="S458" t="s">
        <v>28</v>
      </c>
      <c r="T458" t="s">
        <v>28</v>
      </c>
      <c r="U458" t="s">
        <v>28</v>
      </c>
      <c r="V458" t="s">
        <v>28</v>
      </c>
      <c r="W458" s="16" t="s">
        <v>5629</v>
      </c>
      <c r="X458" t="s">
        <v>5624</v>
      </c>
    </row>
    <row r="459" spans="1:24" x14ac:dyDescent="0.55000000000000004">
      <c r="A459" t="s">
        <v>1549</v>
      </c>
      <c r="B459" t="s">
        <v>1550</v>
      </c>
      <c r="C459">
        <v>2017</v>
      </c>
      <c r="D459" t="s">
        <v>1362</v>
      </c>
      <c r="E459">
        <v>241</v>
      </c>
      <c r="H459">
        <v>142</v>
      </c>
      <c r="I459">
        <v>149</v>
      </c>
      <c r="K459" s="2" t="s">
        <v>1551</v>
      </c>
      <c r="L459" s="2" t="s">
        <v>1552</v>
      </c>
      <c r="M459" t="s">
        <v>4730</v>
      </c>
      <c r="N459" t="s">
        <v>1553</v>
      </c>
      <c r="O459" t="s">
        <v>26</v>
      </c>
      <c r="P459" t="s">
        <v>27</v>
      </c>
      <c r="Q459" t="s">
        <v>28</v>
      </c>
      <c r="R459" t="s">
        <v>28</v>
      </c>
      <c r="S459" t="s">
        <v>28</v>
      </c>
      <c r="T459" t="s">
        <v>28</v>
      </c>
      <c r="U459" t="s">
        <v>28</v>
      </c>
      <c r="V459" t="s">
        <v>28</v>
      </c>
      <c r="W459" s="16" t="s">
        <v>5629</v>
      </c>
      <c r="X459" t="s">
        <v>5624</v>
      </c>
    </row>
    <row r="460" spans="1:24" x14ac:dyDescent="0.55000000000000004">
      <c r="A460" t="s">
        <v>1554</v>
      </c>
      <c r="B460" t="s">
        <v>1555</v>
      </c>
      <c r="C460">
        <v>2017</v>
      </c>
      <c r="D460" t="s">
        <v>372</v>
      </c>
      <c r="E460">
        <v>389</v>
      </c>
      <c r="H460">
        <v>386</v>
      </c>
      <c r="I460">
        <v>394</v>
      </c>
      <c r="K460" s="2" t="s">
        <v>1556</v>
      </c>
      <c r="L460" s="2" t="s">
        <v>1557</v>
      </c>
      <c r="M460" t="s">
        <v>4731</v>
      </c>
      <c r="N460" t="s">
        <v>1558</v>
      </c>
      <c r="O460" t="s">
        <v>26</v>
      </c>
      <c r="P460" t="s">
        <v>27</v>
      </c>
      <c r="Q460" t="s">
        <v>28</v>
      </c>
      <c r="R460" t="s">
        <v>28</v>
      </c>
      <c r="S460" t="s">
        <v>28</v>
      </c>
      <c r="T460" t="s">
        <v>28</v>
      </c>
      <c r="U460" t="s">
        <v>28</v>
      </c>
      <c r="V460" t="s">
        <v>28</v>
      </c>
      <c r="W460" s="16" t="s">
        <v>5629</v>
      </c>
      <c r="X460" t="s">
        <v>5624</v>
      </c>
    </row>
    <row r="461" spans="1:24" x14ac:dyDescent="0.55000000000000004">
      <c r="A461" t="s">
        <v>1564</v>
      </c>
      <c r="B461" t="s">
        <v>1565</v>
      </c>
      <c r="C461">
        <v>2017</v>
      </c>
      <c r="D461" t="s">
        <v>1566</v>
      </c>
      <c r="H461">
        <v>131</v>
      </c>
      <c r="I461">
        <v>139</v>
      </c>
      <c r="K461" s="2" t="s">
        <v>1567</v>
      </c>
      <c r="L461" s="2" t="s">
        <v>1568</v>
      </c>
      <c r="M461" t="s">
        <v>4733</v>
      </c>
      <c r="N461" t="s">
        <v>1569</v>
      </c>
      <c r="O461" t="s">
        <v>198</v>
      </c>
      <c r="P461" t="s">
        <v>27</v>
      </c>
      <c r="Q461" t="s">
        <v>28</v>
      </c>
      <c r="R461" t="s">
        <v>28</v>
      </c>
      <c r="S461" t="s">
        <v>28</v>
      </c>
      <c r="T461" t="s">
        <v>28</v>
      </c>
      <c r="U461" t="s">
        <v>28</v>
      </c>
      <c r="V461" t="s">
        <v>28</v>
      </c>
      <c r="W461" s="16" t="s">
        <v>5629</v>
      </c>
      <c r="X461" t="s">
        <v>5624</v>
      </c>
    </row>
    <row r="462" spans="1:24" x14ac:dyDescent="0.55000000000000004">
      <c r="A462" t="s">
        <v>1570</v>
      </c>
      <c r="B462" t="s">
        <v>1571</v>
      </c>
      <c r="C462">
        <v>2017</v>
      </c>
      <c r="D462" t="s">
        <v>1566</v>
      </c>
      <c r="H462">
        <v>301</v>
      </c>
      <c r="I462">
        <v>322</v>
      </c>
      <c r="K462" s="2" t="s">
        <v>1572</v>
      </c>
      <c r="L462" s="2" t="s">
        <v>1573</v>
      </c>
      <c r="M462" t="s">
        <v>4734</v>
      </c>
      <c r="N462" t="s">
        <v>1574</v>
      </c>
      <c r="O462" t="s">
        <v>198</v>
      </c>
      <c r="P462" t="s">
        <v>27</v>
      </c>
      <c r="Q462" t="s">
        <v>28</v>
      </c>
      <c r="R462" t="s">
        <v>28</v>
      </c>
      <c r="S462" t="s">
        <v>28</v>
      </c>
      <c r="T462" t="s">
        <v>28</v>
      </c>
      <c r="U462" t="s">
        <v>28</v>
      </c>
      <c r="V462" t="s">
        <v>28</v>
      </c>
      <c r="W462" s="16" t="s">
        <v>5629</v>
      </c>
      <c r="X462" t="s">
        <v>5624</v>
      </c>
    </row>
    <row r="463" spans="1:24" x14ac:dyDescent="0.55000000000000004">
      <c r="A463" t="s">
        <v>1575</v>
      </c>
      <c r="B463" t="s">
        <v>1576</v>
      </c>
      <c r="C463">
        <v>2017</v>
      </c>
      <c r="D463" t="s">
        <v>864</v>
      </c>
      <c r="E463">
        <v>26</v>
      </c>
      <c r="F463">
        <v>6</v>
      </c>
      <c r="H463">
        <v>1652</v>
      </c>
      <c r="I463">
        <v>1669</v>
      </c>
      <c r="K463" s="2" t="s">
        <v>1577</v>
      </c>
      <c r="L463" s="2" t="s">
        <v>1578</v>
      </c>
      <c r="M463" t="s">
        <v>4735</v>
      </c>
      <c r="N463" t="s">
        <v>1579</v>
      </c>
      <c r="O463" t="s">
        <v>26</v>
      </c>
      <c r="P463" t="s">
        <v>27</v>
      </c>
      <c r="Q463" t="s">
        <v>28</v>
      </c>
      <c r="R463" t="s">
        <v>28</v>
      </c>
      <c r="S463" t="s">
        <v>28</v>
      </c>
      <c r="T463" t="s">
        <v>28</v>
      </c>
      <c r="U463" t="s">
        <v>28</v>
      </c>
      <c r="V463" t="s">
        <v>28</v>
      </c>
      <c r="W463" s="16" t="s">
        <v>5629</v>
      </c>
      <c r="X463" t="s">
        <v>5624</v>
      </c>
    </row>
    <row r="464" spans="1:24" x14ac:dyDescent="0.55000000000000004">
      <c r="A464" t="s">
        <v>4736</v>
      </c>
      <c r="B464" t="s">
        <v>1580</v>
      </c>
      <c r="C464">
        <v>2017</v>
      </c>
      <c r="D464" t="s">
        <v>1581</v>
      </c>
      <c r="E464">
        <v>40</v>
      </c>
      <c r="F464">
        <v>3</v>
      </c>
      <c r="H464">
        <v>413</v>
      </c>
      <c r="I464">
        <v>423</v>
      </c>
      <c r="K464" s="2" t="s">
        <v>1582</v>
      </c>
      <c r="L464" s="2" t="s">
        <v>1583</v>
      </c>
      <c r="M464" t="s">
        <v>4737</v>
      </c>
      <c r="O464" t="s">
        <v>26</v>
      </c>
      <c r="P464" t="s">
        <v>27</v>
      </c>
      <c r="Q464" t="s">
        <v>28</v>
      </c>
      <c r="R464" t="s">
        <v>28</v>
      </c>
      <c r="S464" t="s">
        <v>28</v>
      </c>
      <c r="T464" t="s">
        <v>28</v>
      </c>
      <c r="U464" t="s">
        <v>28</v>
      </c>
      <c r="V464" t="s">
        <v>28</v>
      </c>
      <c r="W464" s="16" t="s">
        <v>5629</v>
      </c>
      <c r="X464" t="s">
        <v>5624</v>
      </c>
    </row>
    <row r="465" spans="1:24" x14ac:dyDescent="0.55000000000000004">
      <c r="A465" t="s">
        <v>1584</v>
      </c>
      <c r="B465" t="s">
        <v>1585</v>
      </c>
      <c r="C465">
        <v>2017</v>
      </c>
      <c r="D465" t="s">
        <v>1586</v>
      </c>
      <c r="E465">
        <v>81</v>
      </c>
      <c r="F465">
        <v>1</v>
      </c>
      <c r="H465">
        <v>50</v>
      </c>
      <c r="I465">
        <v>60</v>
      </c>
      <c r="K465" s="2" t="s">
        <v>1587</v>
      </c>
      <c r="L465" s="2" t="s">
        <v>1588</v>
      </c>
      <c r="M465" t="s">
        <v>4738</v>
      </c>
      <c r="O465" t="s">
        <v>26</v>
      </c>
      <c r="P465" t="s">
        <v>27</v>
      </c>
      <c r="Q465" t="s">
        <v>28</v>
      </c>
      <c r="R465" t="s">
        <v>28</v>
      </c>
      <c r="S465" t="s">
        <v>28</v>
      </c>
      <c r="T465" t="s">
        <v>28</v>
      </c>
      <c r="U465" t="s">
        <v>28</v>
      </c>
      <c r="V465" t="s">
        <v>28</v>
      </c>
      <c r="W465" s="16" t="s">
        <v>5629</v>
      </c>
      <c r="X465" t="s">
        <v>5624</v>
      </c>
    </row>
    <row r="466" spans="1:24" x14ac:dyDescent="0.55000000000000004">
      <c r="A466" t="s">
        <v>1589</v>
      </c>
      <c r="B466" t="s">
        <v>1590</v>
      </c>
      <c r="C466">
        <v>2017</v>
      </c>
      <c r="D466" t="s">
        <v>1362</v>
      </c>
      <c r="E466">
        <v>239</v>
      </c>
      <c r="H466">
        <v>236</v>
      </c>
      <c r="I466">
        <v>245</v>
      </c>
      <c r="K466" s="2" t="s">
        <v>1591</v>
      </c>
      <c r="L466" s="2" t="s">
        <v>1592</v>
      </c>
      <c r="M466" t="s">
        <v>4739</v>
      </c>
      <c r="N466" t="s">
        <v>1593</v>
      </c>
      <c r="O466" t="s">
        <v>26</v>
      </c>
      <c r="P466" t="s">
        <v>27</v>
      </c>
      <c r="Q466" t="s">
        <v>28</v>
      </c>
      <c r="R466" t="s">
        <v>28</v>
      </c>
      <c r="S466" t="s">
        <v>28</v>
      </c>
      <c r="T466" t="s">
        <v>28</v>
      </c>
      <c r="U466" t="s">
        <v>28</v>
      </c>
      <c r="V466" t="s">
        <v>28</v>
      </c>
      <c r="W466" s="16" t="s">
        <v>5629</v>
      </c>
      <c r="X466" t="s">
        <v>5624</v>
      </c>
    </row>
    <row r="467" spans="1:24" x14ac:dyDescent="0.55000000000000004">
      <c r="A467" t="s">
        <v>1594</v>
      </c>
      <c r="B467" t="s">
        <v>1595</v>
      </c>
      <c r="C467">
        <v>2017</v>
      </c>
      <c r="D467" t="s">
        <v>68</v>
      </c>
      <c r="E467">
        <v>213</v>
      </c>
      <c r="F467">
        <v>3</v>
      </c>
      <c r="H467">
        <v>996</v>
      </c>
      <c r="I467">
        <v>999</v>
      </c>
      <c r="K467" s="2" t="s">
        <v>1596</v>
      </c>
      <c r="L467" s="2" t="s">
        <v>1597</v>
      </c>
      <c r="M467" t="s">
        <v>932</v>
      </c>
      <c r="N467" t="s">
        <v>1598</v>
      </c>
      <c r="O467" t="s">
        <v>26</v>
      </c>
      <c r="P467" t="s">
        <v>27</v>
      </c>
      <c r="Q467" t="s">
        <v>28</v>
      </c>
      <c r="R467" t="s">
        <v>28</v>
      </c>
      <c r="S467" t="s">
        <v>28</v>
      </c>
      <c r="T467" t="s">
        <v>28</v>
      </c>
      <c r="U467" t="s">
        <v>28</v>
      </c>
      <c r="V467" t="s">
        <v>28</v>
      </c>
      <c r="W467" s="16" t="s">
        <v>5629</v>
      </c>
      <c r="X467" t="s">
        <v>5624</v>
      </c>
    </row>
    <row r="468" spans="1:24" x14ac:dyDescent="0.55000000000000004">
      <c r="A468" t="s">
        <v>1599</v>
      </c>
      <c r="B468" t="s">
        <v>1600</v>
      </c>
      <c r="C468">
        <v>2017</v>
      </c>
      <c r="D468" t="s">
        <v>807</v>
      </c>
      <c r="E468">
        <v>23</v>
      </c>
      <c r="F468">
        <v>2</v>
      </c>
      <c r="H468">
        <v>867</v>
      </c>
      <c r="I468">
        <v>880</v>
      </c>
      <c r="K468" s="2" t="s">
        <v>1601</v>
      </c>
      <c r="L468" s="2" t="s">
        <v>1602</v>
      </c>
      <c r="M468" t="s">
        <v>4740</v>
      </c>
      <c r="N468" t="s">
        <v>1603</v>
      </c>
      <c r="O468" t="s">
        <v>26</v>
      </c>
      <c r="P468" t="s">
        <v>27</v>
      </c>
      <c r="Q468" t="s">
        <v>28</v>
      </c>
      <c r="R468" t="s">
        <v>28</v>
      </c>
      <c r="S468" t="s">
        <v>28</v>
      </c>
      <c r="T468" t="s">
        <v>28</v>
      </c>
      <c r="U468" t="s">
        <v>28</v>
      </c>
      <c r="V468" t="s">
        <v>28</v>
      </c>
      <c r="W468" s="16" t="s">
        <v>5629</v>
      </c>
      <c r="X468" t="s">
        <v>5624</v>
      </c>
    </row>
    <row r="469" spans="1:24" x14ac:dyDescent="0.55000000000000004">
      <c r="A469" t="s">
        <v>4741</v>
      </c>
      <c r="B469" t="s">
        <v>1604</v>
      </c>
      <c r="C469">
        <v>2017</v>
      </c>
      <c r="D469" t="s">
        <v>68</v>
      </c>
      <c r="E469">
        <v>213</v>
      </c>
      <c r="F469">
        <v>3</v>
      </c>
      <c r="H469">
        <v>1452</v>
      </c>
      <c r="I469">
        <v>1465</v>
      </c>
      <c r="K469" s="2" t="s">
        <v>1605</v>
      </c>
      <c r="L469" s="2" t="s">
        <v>1606</v>
      </c>
      <c r="M469" t="s">
        <v>4742</v>
      </c>
      <c r="N469" t="s">
        <v>4743</v>
      </c>
      <c r="O469" t="s">
        <v>26</v>
      </c>
      <c r="P469" t="s">
        <v>27</v>
      </c>
      <c r="Q469" t="s">
        <v>28</v>
      </c>
      <c r="R469" t="s">
        <v>28</v>
      </c>
      <c r="S469" t="s">
        <v>28</v>
      </c>
      <c r="T469" t="s">
        <v>28</v>
      </c>
      <c r="U469" t="s">
        <v>28</v>
      </c>
      <c r="V469" t="s">
        <v>28</v>
      </c>
      <c r="W469" s="16" t="s">
        <v>5629</v>
      </c>
      <c r="X469" t="s">
        <v>5624</v>
      </c>
    </row>
    <row r="470" spans="1:24" x14ac:dyDescent="0.55000000000000004">
      <c r="A470" t="s">
        <v>4744</v>
      </c>
      <c r="B470" t="s">
        <v>1607</v>
      </c>
      <c r="C470">
        <v>2017</v>
      </c>
      <c r="D470" t="s">
        <v>413</v>
      </c>
      <c r="E470">
        <v>31</v>
      </c>
      <c r="F470">
        <v>2</v>
      </c>
      <c r="H470">
        <v>530</v>
      </c>
      <c r="I470">
        <v>541</v>
      </c>
      <c r="K470" s="2" t="s">
        <v>1608</v>
      </c>
      <c r="L470" s="2" t="s">
        <v>1609</v>
      </c>
      <c r="M470" t="s">
        <v>4745</v>
      </c>
      <c r="N470" t="s">
        <v>1610</v>
      </c>
      <c r="O470" t="s">
        <v>26</v>
      </c>
      <c r="P470" t="s">
        <v>27</v>
      </c>
      <c r="Q470" t="s">
        <v>28</v>
      </c>
      <c r="R470" t="s">
        <v>28</v>
      </c>
      <c r="S470" t="s">
        <v>28</v>
      </c>
      <c r="T470" t="s">
        <v>28</v>
      </c>
      <c r="U470" t="s">
        <v>28</v>
      </c>
      <c r="V470" t="s">
        <v>28</v>
      </c>
      <c r="W470" s="16" t="s">
        <v>5629</v>
      </c>
      <c r="X470" t="s">
        <v>5624</v>
      </c>
    </row>
    <row r="471" spans="1:24" x14ac:dyDescent="0.55000000000000004">
      <c r="A471" t="s">
        <v>1611</v>
      </c>
      <c r="B471" t="s">
        <v>1612</v>
      </c>
      <c r="C471">
        <v>2017</v>
      </c>
      <c r="D471" t="s">
        <v>1613</v>
      </c>
      <c r="E471">
        <v>20</v>
      </c>
      <c r="F471">
        <v>1</v>
      </c>
      <c r="H471">
        <v>113</v>
      </c>
      <c r="I471">
        <v>127</v>
      </c>
      <c r="K471" s="2" t="s">
        <v>1614</v>
      </c>
      <c r="L471" s="2" t="s">
        <v>1615</v>
      </c>
      <c r="M471" t="s">
        <v>4746</v>
      </c>
      <c r="N471" t="s">
        <v>1616</v>
      </c>
      <c r="O471" t="s">
        <v>26</v>
      </c>
      <c r="P471" t="s">
        <v>27</v>
      </c>
      <c r="Q471" t="s">
        <v>28</v>
      </c>
      <c r="R471" t="s">
        <v>28</v>
      </c>
      <c r="S471" t="s">
        <v>28</v>
      </c>
      <c r="T471" t="s">
        <v>28</v>
      </c>
      <c r="U471" t="s">
        <v>28</v>
      </c>
      <c r="V471" t="s">
        <v>28</v>
      </c>
      <c r="W471" s="16" t="s">
        <v>5629</v>
      </c>
      <c r="X471" t="s">
        <v>5624</v>
      </c>
    </row>
    <row r="472" spans="1:24" x14ac:dyDescent="0.55000000000000004">
      <c r="A472" t="s">
        <v>1617</v>
      </c>
      <c r="B472" t="s">
        <v>1618</v>
      </c>
      <c r="C472">
        <v>2017</v>
      </c>
      <c r="D472" t="s">
        <v>1362</v>
      </c>
      <c r="E472">
        <v>236</v>
      </c>
      <c r="H472">
        <v>78</v>
      </c>
      <c r="I472">
        <v>87</v>
      </c>
      <c r="K472" s="2" t="s">
        <v>1619</v>
      </c>
      <c r="L472" s="2" t="s">
        <v>1620</v>
      </c>
      <c r="M472" t="s">
        <v>4747</v>
      </c>
      <c r="N472" t="s">
        <v>1621</v>
      </c>
      <c r="O472" t="s">
        <v>26</v>
      </c>
      <c r="P472" t="s">
        <v>27</v>
      </c>
      <c r="Q472" t="s">
        <v>28</v>
      </c>
      <c r="R472" t="s">
        <v>28</v>
      </c>
      <c r="S472" t="s">
        <v>28</v>
      </c>
      <c r="T472" t="s">
        <v>28</v>
      </c>
      <c r="U472" t="s">
        <v>28</v>
      </c>
      <c r="V472" t="s">
        <v>28</v>
      </c>
      <c r="W472" s="16" t="s">
        <v>5629</v>
      </c>
      <c r="X472" t="s">
        <v>5624</v>
      </c>
    </row>
    <row r="473" spans="1:24" x14ac:dyDescent="0.55000000000000004">
      <c r="A473" t="s">
        <v>1622</v>
      </c>
      <c r="B473" t="s">
        <v>1623</v>
      </c>
      <c r="C473">
        <v>2017</v>
      </c>
      <c r="D473" t="s">
        <v>1624</v>
      </c>
      <c r="E473">
        <v>19</v>
      </c>
      <c r="F473">
        <v>1</v>
      </c>
      <c r="H473">
        <v>39</v>
      </c>
      <c r="I473">
        <v>45</v>
      </c>
      <c r="K473" s="2" t="s">
        <v>1625</v>
      </c>
      <c r="L473" s="2" t="s">
        <v>1626</v>
      </c>
      <c r="M473" t="s">
        <v>4748</v>
      </c>
      <c r="N473" t="s">
        <v>1627</v>
      </c>
      <c r="O473" t="s">
        <v>26</v>
      </c>
      <c r="P473" t="s">
        <v>27</v>
      </c>
      <c r="Q473" t="s">
        <v>28</v>
      </c>
      <c r="R473" t="s">
        <v>28</v>
      </c>
      <c r="S473" t="s">
        <v>28</v>
      </c>
      <c r="T473" t="s">
        <v>28</v>
      </c>
      <c r="U473" t="s">
        <v>28</v>
      </c>
      <c r="V473" t="s">
        <v>28</v>
      </c>
      <c r="W473" s="16" t="s">
        <v>5629</v>
      </c>
      <c r="X473" t="s">
        <v>5624</v>
      </c>
    </row>
    <row r="474" spans="1:24" x14ac:dyDescent="0.55000000000000004">
      <c r="A474" t="s">
        <v>1628</v>
      </c>
      <c r="B474" t="s">
        <v>1629</v>
      </c>
      <c r="C474">
        <v>2017</v>
      </c>
      <c r="D474" t="s">
        <v>750</v>
      </c>
      <c r="E474">
        <v>54</v>
      </c>
      <c r="F474">
        <v>3</v>
      </c>
      <c r="H474">
        <v>722</v>
      </c>
      <c r="I474">
        <v>734</v>
      </c>
      <c r="K474" s="2" t="s">
        <v>1630</v>
      </c>
      <c r="L474" s="2" t="s">
        <v>1631</v>
      </c>
      <c r="M474" t="s">
        <v>4749</v>
      </c>
      <c r="N474" t="s">
        <v>1632</v>
      </c>
      <c r="O474" t="s">
        <v>26</v>
      </c>
      <c r="P474" t="s">
        <v>27</v>
      </c>
      <c r="Q474" t="s">
        <v>28</v>
      </c>
      <c r="R474" t="s">
        <v>28</v>
      </c>
      <c r="S474" t="s">
        <v>28</v>
      </c>
      <c r="T474" t="s">
        <v>28</v>
      </c>
      <c r="U474" t="s">
        <v>28</v>
      </c>
      <c r="V474" t="s">
        <v>28</v>
      </c>
      <c r="W474" s="16" t="s">
        <v>5629</v>
      </c>
      <c r="X474" t="s">
        <v>5624</v>
      </c>
    </row>
    <row r="475" spans="1:24" x14ac:dyDescent="0.55000000000000004">
      <c r="A475" t="s">
        <v>4750</v>
      </c>
      <c r="B475" t="s">
        <v>1633</v>
      </c>
      <c r="C475">
        <v>2017</v>
      </c>
      <c r="D475" t="s">
        <v>1634</v>
      </c>
      <c r="E475">
        <v>17</v>
      </c>
      <c r="F475">
        <v>32</v>
      </c>
      <c r="H475">
        <v>241</v>
      </c>
      <c r="I475">
        <v>246</v>
      </c>
      <c r="K475" s="2" t="s">
        <v>1635</v>
      </c>
      <c r="L475" s="2" t="s">
        <v>1636</v>
      </c>
      <c r="M475" t="s">
        <v>4751</v>
      </c>
      <c r="N475" t="s">
        <v>1637</v>
      </c>
      <c r="O475" t="s">
        <v>1248</v>
      </c>
      <c r="P475" t="s">
        <v>27</v>
      </c>
      <c r="Q475" t="s">
        <v>28</v>
      </c>
      <c r="R475" t="s">
        <v>28</v>
      </c>
      <c r="S475" t="s">
        <v>28</v>
      </c>
      <c r="T475" t="s">
        <v>28</v>
      </c>
      <c r="U475" t="s">
        <v>28</v>
      </c>
      <c r="V475" t="s">
        <v>28</v>
      </c>
      <c r="W475" s="16" t="s">
        <v>5629</v>
      </c>
      <c r="X475" t="s">
        <v>5624</v>
      </c>
    </row>
    <row r="476" spans="1:24" x14ac:dyDescent="0.55000000000000004">
      <c r="A476" t="s">
        <v>1638</v>
      </c>
      <c r="B476" t="s">
        <v>1639</v>
      </c>
      <c r="C476">
        <v>2017</v>
      </c>
      <c r="D476" t="s">
        <v>1640</v>
      </c>
      <c r="H476">
        <v>1</v>
      </c>
      <c r="I476">
        <v>6</v>
      </c>
      <c r="K476" s="2" t="s">
        <v>1641</v>
      </c>
      <c r="L476" s="2" t="s">
        <v>1642</v>
      </c>
      <c r="M476" t="s">
        <v>4752</v>
      </c>
      <c r="N476" t="s">
        <v>1643</v>
      </c>
      <c r="O476" t="s">
        <v>198</v>
      </c>
      <c r="P476" t="s">
        <v>27</v>
      </c>
      <c r="Q476" t="s">
        <v>28</v>
      </c>
      <c r="R476" t="s">
        <v>28</v>
      </c>
      <c r="S476" t="s">
        <v>28</v>
      </c>
      <c r="T476" t="s">
        <v>28</v>
      </c>
      <c r="U476" t="s">
        <v>28</v>
      </c>
      <c r="V476" t="s">
        <v>28</v>
      </c>
      <c r="W476" s="16" t="s">
        <v>5629</v>
      </c>
      <c r="X476" t="s">
        <v>5624</v>
      </c>
    </row>
    <row r="477" spans="1:24" x14ac:dyDescent="0.55000000000000004">
      <c r="A477" t="s">
        <v>1644</v>
      </c>
      <c r="B477" t="s">
        <v>1645</v>
      </c>
      <c r="C477">
        <v>2017</v>
      </c>
      <c r="D477" t="s">
        <v>1640</v>
      </c>
      <c r="H477">
        <v>441</v>
      </c>
      <c r="I477">
        <v>460</v>
      </c>
      <c r="K477" s="2" t="s">
        <v>1646</v>
      </c>
      <c r="L477" s="2" t="s">
        <v>1647</v>
      </c>
      <c r="M477" t="s">
        <v>4753</v>
      </c>
      <c r="N477" t="s">
        <v>1648</v>
      </c>
      <c r="O477" t="s">
        <v>198</v>
      </c>
      <c r="P477" t="s">
        <v>27</v>
      </c>
      <c r="Q477" t="s">
        <v>28</v>
      </c>
      <c r="R477" t="s">
        <v>28</v>
      </c>
      <c r="S477" t="s">
        <v>28</v>
      </c>
      <c r="T477" t="s">
        <v>28</v>
      </c>
      <c r="U477" t="s">
        <v>28</v>
      </c>
      <c r="V477" t="s">
        <v>28</v>
      </c>
      <c r="W477" s="16" t="s">
        <v>5629</v>
      </c>
      <c r="X477" t="s">
        <v>5624</v>
      </c>
    </row>
    <row r="478" spans="1:24" x14ac:dyDescent="0.55000000000000004">
      <c r="A478" t="s">
        <v>1649</v>
      </c>
      <c r="B478" t="s">
        <v>1650</v>
      </c>
      <c r="C478">
        <v>2017</v>
      </c>
      <c r="D478" t="s">
        <v>1640</v>
      </c>
      <c r="H478">
        <v>67</v>
      </c>
      <c r="I478">
        <v>89</v>
      </c>
      <c r="K478" s="2" t="s">
        <v>1651</v>
      </c>
      <c r="L478" s="2" t="s">
        <v>1652</v>
      </c>
      <c r="M478" t="s">
        <v>4754</v>
      </c>
      <c r="N478" t="s">
        <v>1653</v>
      </c>
      <c r="O478" t="s">
        <v>198</v>
      </c>
      <c r="P478" t="s">
        <v>27</v>
      </c>
      <c r="Q478" t="s">
        <v>28</v>
      </c>
      <c r="R478" t="s">
        <v>28</v>
      </c>
      <c r="S478" t="s">
        <v>28</v>
      </c>
      <c r="T478" t="s">
        <v>28</v>
      </c>
      <c r="U478" t="s">
        <v>28</v>
      </c>
      <c r="V478" t="s">
        <v>28</v>
      </c>
      <c r="W478" s="16" t="s">
        <v>5629</v>
      </c>
      <c r="X478" t="s">
        <v>5624</v>
      </c>
    </row>
    <row r="479" spans="1:24" x14ac:dyDescent="0.55000000000000004">
      <c r="A479" t="s">
        <v>1654</v>
      </c>
      <c r="B479" t="s">
        <v>1655</v>
      </c>
      <c r="C479">
        <v>2017</v>
      </c>
      <c r="D479" t="s">
        <v>1640</v>
      </c>
      <c r="H479">
        <v>461</v>
      </c>
      <c r="I479">
        <v>477</v>
      </c>
      <c r="K479" s="2" t="s">
        <v>1656</v>
      </c>
      <c r="L479" s="2" t="s">
        <v>1657</v>
      </c>
      <c r="M479" t="s">
        <v>4755</v>
      </c>
      <c r="N479" t="s">
        <v>1658</v>
      </c>
      <c r="O479" t="s">
        <v>198</v>
      </c>
      <c r="P479" t="s">
        <v>27</v>
      </c>
      <c r="Q479" t="s">
        <v>28</v>
      </c>
      <c r="R479" t="s">
        <v>28</v>
      </c>
      <c r="S479" t="s">
        <v>28</v>
      </c>
      <c r="T479" t="s">
        <v>28</v>
      </c>
      <c r="U479" t="s">
        <v>28</v>
      </c>
      <c r="V479" t="s">
        <v>28</v>
      </c>
      <c r="W479" s="16" t="s">
        <v>5629</v>
      </c>
      <c r="X479" t="s">
        <v>5624</v>
      </c>
    </row>
    <row r="480" spans="1:24" x14ac:dyDescent="0.55000000000000004">
      <c r="A480" t="s">
        <v>1659</v>
      </c>
      <c r="B480" t="s">
        <v>1660</v>
      </c>
      <c r="C480">
        <v>2017</v>
      </c>
      <c r="D480" t="s">
        <v>68</v>
      </c>
      <c r="E480">
        <v>213</v>
      </c>
      <c r="F480">
        <v>2</v>
      </c>
      <c r="H480">
        <v>874</v>
      </c>
      <c r="I480">
        <v>885</v>
      </c>
      <c r="K480" s="2" t="s">
        <v>1661</v>
      </c>
      <c r="L480" s="2" t="s">
        <v>1662</v>
      </c>
      <c r="M480" t="s">
        <v>4756</v>
      </c>
      <c r="N480" t="s">
        <v>1663</v>
      </c>
      <c r="O480" t="s">
        <v>26</v>
      </c>
      <c r="P480" t="s">
        <v>27</v>
      </c>
      <c r="Q480" t="s">
        <v>28</v>
      </c>
      <c r="R480" t="s">
        <v>28</v>
      </c>
      <c r="S480" t="s">
        <v>28</v>
      </c>
      <c r="T480" t="s">
        <v>28</v>
      </c>
      <c r="U480" t="s">
        <v>28</v>
      </c>
      <c r="V480" t="s">
        <v>28</v>
      </c>
      <c r="W480" s="16" t="s">
        <v>5629</v>
      </c>
      <c r="X480" t="s">
        <v>5624</v>
      </c>
    </row>
    <row r="481" spans="1:24" x14ac:dyDescent="0.55000000000000004">
      <c r="A481" t="s">
        <v>1664</v>
      </c>
      <c r="B481" t="s">
        <v>1665</v>
      </c>
      <c r="C481">
        <v>2017</v>
      </c>
      <c r="D481" t="s">
        <v>1036</v>
      </c>
      <c r="E481">
        <v>53</v>
      </c>
      <c r="F481">
        <v>1</v>
      </c>
      <c r="H481">
        <v>37</v>
      </c>
      <c r="I481">
        <v>48</v>
      </c>
      <c r="K481" s="2" t="s">
        <v>1666</v>
      </c>
      <c r="L481" s="2" t="s">
        <v>1667</v>
      </c>
      <c r="M481" t="s">
        <v>4757</v>
      </c>
      <c r="N481" t="s">
        <v>1668</v>
      </c>
      <c r="O481" t="s">
        <v>26</v>
      </c>
      <c r="P481" t="s">
        <v>27</v>
      </c>
      <c r="Q481" t="s">
        <v>28</v>
      </c>
      <c r="R481" t="s">
        <v>28</v>
      </c>
      <c r="S481" t="s">
        <v>28</v>
      </c>
      <c r="T481" t="s">
        <v>28</v>
      </c>
      <c r="U481" t="s">
        <v>28</v>
      </c>
      <c r="V481" t="s">
        <v>28</v>
      </c>
      <c r="W481" s="16" t="s">
        <v>5629</v>
      </c>
      <c r="X481" t="s">
        <v>5624</v>
      </c>
    </row>
    <row r="482" spans="1:24" x14ac:dyDescent="0.55000000000000004">
      <c r="A482" t="s">
        <v>1671</v>
      </c>
      <c r="B482" t="s">
        <v>1672</v>
      </c>
      <c r="C482">
        <v>2017</v>
      </c>
      <c r="D482" t="s">
        <v>1673</v>
      </c>
      <c r="E482">
        <v>32</v>
      </c>
      <c r="F482">
        <v>1</v>
      </c>
      <c r="H482">
        <v>74</v>
      </c>
      <c r="I482">
        <v>80</v>
      </c>
      <c r="K482" s="2" t="s">
        <v>1674</v>
      </c>
      <c r="L482" s="2" t="s">
        <v>1675</v>
      </c>
      <c r="M482" t="s">
        <v>4758</v>
      </c>
      <c r="N482" t="s">
        <v>1676</v>
      </c>
      <c r="O482" t="s">
        <v>170</v>
      </c>
      <c r="P482" t="s">
        <v>27</v>
      </c>
      <c r="Q482" t="s">
        <v>28</v>
      </c>
      <c r="R482" t="s">
        <v>28</v>
      </c>
      <c r="S482" t="s">
        <v>28</v>
      </c>
      <c r="T482" t="s">
        <v>28</v>
      </c>
      <c r="U482" t="s">
        <v>28</v>
      </c>
      <c r="V482" t="s">
        <v>28</v>
      </c>
      <c r="W482" s="16" t="s">
        <v>5629</v>
      </c>
      <c r="X482" t="s">
        <v>5624</v>
      </c>
    </row>
    <row r="483" spans="1:24" x14ac:dyDescent="0.55000000000000004">
      <c r="A483" t="s">
        <v>1677</v>
      </c>
      <c r="B483" t="s">
        <v>1678</v>
      </c>
      <c r="C483">
        <v>2016</v>
      </c>
      <c r="D483" t="s">
        <v>60</v>
      </c>
      <c r="E483">
        <v>97</v>
      </c>
      <c r="F483">
        <v>12</v>
      </c>
      <c r="H483">
        <v>3369</v>
      </c>
      <c r="I483">
        <v>3377</v>
      </c>
      <c r="K483" s="2" t="s">
        <v>1679</v>
      </c>
      <c r="L483" s="2" t="s">
        <v>1680</v>
      </c>
      <c r="M483" t="s">
        <v>4760</v>
      </c>
      <c r="N483" t="s">
        <v>1681</v>
      </c>
      <c r="O483" t="s">
        <v>26</v>
      </c>
      <c r="P483" t="s">
        <v>27</v>
      </c>
      <c r="Q483" t="s">
        <v>28</v>
      </c>
      <c r="R483" t="s">
        <v>28</v>
      </c>
      <c r="S483" t="s">
        <v>28</v>
      </c>
      <c r="T483" t="s">
        <v>28</v>
      </c>
      <c r="U483" t="s">
        <v>28</v>
      </c>
      <c r="V483" t="s">
        <v>28</v>
      </c>
      <c r="W483" s="16" t="s">
        <v>5629</v>
      </c>
      <c r="X483" t="s">
        <v>5624</v>
      </c>
    </row>
    <row r="484" spans="1:24" x14ac:dyDescent="0.55000000000000004">
      <c r="A484" t="s">
        <v>1682</v>
      </c>
      <c r="B484" t="s">
        <v>1683</v>
      </c>
      <c r="C484">
        <v>2016</v>
      </c>
      <c r="D484" t="s">
        <v>1684</v>
      </c>
      <c r="E484">
        <v>41</v>
      </c>
      <c r="F484">
        <v>4</v>
      </c>
      <c r="H484">
        <v>757</v>
      </c>
      <c r="I484">
        <v>770</v>
      </c>
      <c r="L484" s="2" t="s">
        <v>1685</v>
      </c>
      <c r="M484" t="s">
        <v>1686</v>
      </c>
      <c r="N484" t="s">
        <v>1687</v>
      </c>
      <c r="O484" t="s">
        <v>26</v>
      </c>
      <c r="P484" t="s">
        <v>27</v>
      </c>
      <c r="Q484" t="s">
        <v>28</v>
      </c>
      <c r="R484" t="s">
        <v>28</v>
      </c>
      <c r="S484" t="s">
        <v>28</v>
      </c>
      <c r="T484" t="s">
        <v>28</v>
      </c>
      <c r="U484" t="s">
        <v>28</v>
      </c>
      <c r="V484" t="s">
        <v>28</v>
      </c>
      <c r="W484" s="16" t="s">
        <v>5629</v>
      </c>
      <c r="X484" t="s">
        <v>5624</v>
      </c>
    </row>
    <row r="485" spans="1:24" x14ac:dyDescent="0.55000000000000004">
      <c r="A485" t="s">
        <v>1688</v>
      </c>
      <c r="B485" t="s">
        <v>1689</v>
      </c>
      <c r="C485">
        <v>2016</v>
      </c>
      <c r="D485" t="s">
        <v>53</v>
      </c>
      <c r="E485">
        <v>103</v>
      </c>
      <c r="H485">
        <v>192</v>
      </c>
      <c r="I485">
        <v>200</v>
      </c>
      <c r="K485" s="2" t="s">
        <v>1690</v>
      </c>
      <c r="L485" s="2" t="s">
        <v>1691</v>
      </c>
      <c r="M485" t="s">
        <v>4761</v>
      </c>
      <c r="N485" t="s">
        <v>1692</v>
      </c>
      <c r="O485" t="s">
        <v>26</v>
      </c>
      <c r="P485" t="s">
        <v>27</v>
      </c>
      <c r="Q485" t="s">
        <v>28</v>
      </c>
      <c r="R485" t="s">
        <v>28</v>
      </c>
      <c r="S485" t="s">
        <v>28</v>
      </c>
      <c r="T485" t="s">
        <v>28</v>
      </c>
      <c r="U485" t="s">
        <v>28</v>
      </c>
      <c r="V485" t="s">
        <v>28</v>
      </c>
      <c r="W485" s="16" t="s">
        <v>5629</v>
      </c>
      <c r="X485" t="s">
        <v>5624</v>
      </c>
    </row>
    <row r="486" spans="1:24" x14ac:dyDescent="0.55000000000000004">
      <c r="A486" t="s">
        <v>1693</v>
      </c>
      <c r="B486" t="s">
        <v>1640</v>
      </c>
      <c r="C486">
        <v>2016</v>
      </c>
      <c r="D486" t="s">
        <v>1640</v>
      </c>
      <c r="H486">
        <v>1</v>
      </c>
      <c r="I486">
        <v>509</v>
      </c>
      <c r="L486" s="2" t="s">
        <v>1694</v>
      </c>
      <c r="M486" t="s">
        <v>4762</v>
      </c>
      <c r="O486" t="s">
        <v>1695</v>
      </c>
      <c r="P486" t="s">
        <v>27</v>
      </c>
      <c r="Q486" t="s">
        <v>28</v>
      </c>
      <c r="R486" t="s">
        <v>28</v>
      </c>
      <c r="S486" t="s">
        <v>28</v>
      </c>
      <c r="T486" t="s">
        <v>28</v>
      </c>
      <c r="U486" t="s">
        <v>28</v>
      </c>
      <c r="V486" t="s">
        <v>28</v>
      </c>
      <c r="W486" s="16" t="s">
        <v>5629</v>
      </c>
      <c r="X486" t="s">
        <v>5624</v>
      </c>
    </row>
    <row r="487" spans="1:24" x14ac:dyDescent="0.55000000000000004">
      <c r="A487" t="s">
        <v>1696</v>
      </c>
      <c r="B487" t="s">
        <v>1697</v>
      </c>
      <c r="C487">
        <v>2016</v>
      </c>
      <c r="D487" t="s">
        <v>358</v>
      </c>
      <c r="E487">
        <v>129</v>
      </c>
      <c r="F487">
        <v>6</v>
      </c>
      <c r="H487">
        <v>1013</v>
      </c>
      <c r="I487">
        <v>1020</v>
      </c>
      <c r="K487" s="2" t="s">
        <v>1698</v>
      </c>
      <c r="L487" s="2" t="s">
        <v>1699</v>
      </c>
      <c r="M487" t="s">
        <v>4763</v>
      </c>
      <c r="N487" t="s">
        <v>1700</v>
      </c>
      <c r="O487" t="s">
        <v>26</v>
      </c>
      <c r="P487" t="s">
        <v>27</v>
      </c>
      <c r="Q487" t="s">
        <v>28</v>
      </c>
      <c r="R487" t="s">
        <v>28</v>
      </c>
      <c r="S487" t="s">
        <v>28</v>
      </c>
      <c r="T487" t="s">
        <v>28</v>
      </c>
      <c r="U487" t="s">
        <v>28</v>
      </c>
      <c r="V487" t="s">
        <v>28</v>
      </c>
      <c r="W487" s="16" t="s">
        <v>5629</v>
      </c>
      <c r="X487" t="s">
        <v>5624</v>
      </c>
    </row>
    <row r="488" spans="1:24" x14ac:dyDescent="0.55000000000000004">
      <c r="A488" t="s">
        <v>1701</v>
      </c>
      <c r="B488" t="s">
        <v>1702</v>
      </c>
      <c r="C488">
        <v>2016</v>
      </c>
      <c r="D488" t="s">
        <v>53</v>
      </c>
      <c r="E488">
        <v>102</v>
      </c>
      <c r="H488">
        <v>52</v>
      </c>
      <c r="I488">
        <v>54</v>
      </c>
      <c r="K488" s="2" t="s">
        <v>1703</v>
      </c>
      <c r="L488" s="2" t="s">
        <v>1704</v>
      </c>
      <c r="M488" t="s">
        <v>4764</v>
      </c>
      <c r="N488" t="s">
        <v>1705</v>
      </c>
      <c r="O488" t="s">
        <v>26</v>
      </c>
      <c r="P488" t="s">
        <v>27</v>
      </c>
      <c r="Q488" t="s">
        <v>28</v>
      </c>
      <c r="R488" t="s">
        <v>28</v>
      </c>
      <c r="S488" t="s">
        <v>28</v>
      </c>
      <c r="T488" t="s">
        <v>28</v>
      </c>
      <c r="U488" t="s">
        <v>28</v>
      </c>
      <c r="V488" t="s">
        <v>28</v>
      </c>
      <c r="W488" s="16" t="s">
        <v>5629</v>
      </c>
      <c r="X488" t="s">
        <v>5624</v>
      </c>
    </row>
    <row r="489" spans="1:24" x14ac:dyDescent="0.55000000000000004">
      <c r="A489" t="s">
        <v>1706</v>
      </c>
      <c r="B489" t="s">
        <v>1707</v>
      </c>
      <c r="C489">
        <v>2016</v>
      </c>
      <c r="D489" t="s">
        <v>681</v>
      </c>
      <c r="E489">
        <v>218</v>
      </c>
      <c r="H489">
        <v>349</v>
      </c>
      <c r="I489">
        <v>357</v>
      </c>
      <c r="K489" s="2" t="s">
        <v>1708</v>
      </c>
      <c r="L489" s="2" t="s">
        <v>1709</v>
      </c>
      <c r="M489" t="s">
        <v>4765</v>
      </c>
      <c r="N489" t="s">
        <v>1710</v>
      </c>
      <c r="O489" t="s">
        <v>26</v>
      </c>
      <c r="P489" t="s">
        <v>27</v>
      </c>
      <c r="Q489" t="s">
        <v>28</v>
      </c>
      <c r="R489" t="s">
        <v>28</v>
      </c>
      <c r="S489" t="s">
        <v>28</v>
      </c>
      <c r="T489" t="s">
        <v>28</v>
      </c>
      <c r="U489" t="s">
        <v>28</v>
      </c>
      <c r="V489" t="s">
        <v>28</v>
      </c>
      <c r="W489" s="16" t="s">
        <v>5629</v>
      </c>
      <c r="X489" t="s">
        <v>5624</v>
      </c>
    </row>
    <row r="490" spans="1:24" x14ac:dyDescent="0.55000000000000004">
      <c r="A490" t="s">
        <v>1711</v>
      </c>
      <c r="B490" t="s">
        <v>1712</v>
      </c>
      <c r="C490">
        <v>2016</v>
      </c>
      <c r="D490" t="s">
        <v>1713</v>
      </c>
      <c r="H490">
        <v>159</v>
      </c>
      <c r="I490">
        <v>177</v>
      </c>
      <c r="K490" s="2" t="s">
        <v>1714</v>
      </c>
      <c r="L490" s="2" t="s">
        <v>1715</v>
      </c>
      <c r="M490" t="s">
        <v>4766</v>
      </c>
      <c r="N490" t="s">
        <v>1716</v>
      </c>
      <c r="O490" t="s">
        <v>198</v>
      </c>
      <c r="P490" t="s">
        <v>27</v>
      </c>
      <c r="Q490" t="s">
        <v>28</v>
      </c>
      <c r="R490" t="s">
        <v>28</v>
      </c>
      <c r="S490" t="s">
        <v>28</v>
      </c>
      <c r="T490" t="s">
        <v>28</v>
      </c>
      <c r="U490" t="s">
        <v>28</v>
      </c>
      <c r="V490" t="s">
        <v>28</v>
      </c>
      <c r="W490" s="16" t="s">
        <v>5629</v>
      </c>
      <c r="X490" t="s">
        <v>5624</v>
      </c>
    </row>
    <row r="491" spans="1:24" x14ac:dyDescent="0.55000000000000004">
      <c r="A491" t="s">
        <v>1717</v>
      </c>
      <c r="B491" t="s">
        <v>1718</v>
      </c>
      <c r="C491">
        <v>2016</v>
      </c>
      <c r="D491" t="s">
        <v>282</v>
      </c>
      <c r="E491">
        <v>6</v>
      </c>
      <c r="G491">
        <v>34336</v>
      </c>
      <c r="K491" s="2" t="s">
        <v>1719</v>
      </c>
      <c r="L491" s="2" t="s">
        <v>1720</v>
      </c>
      <c r="M491" t="s">
        <v>4767</v>
      </c>
      <c r="O491" t="s">
        <v>26</v>
      </c>
      <c r="P491" t="s">
        <v>27</v>
      </c>
      <c r="Q491" t="s">
        <v>28</v>
      </c>
      <c r="R491" t="s">
        <v>28</v>
      </c>
      <c r="S491" t="s">
        <v>28</v>
      </c>
      <c r="T491" t="s">
        <v>28</v>
      </c>
      <c r="U491" t="s">
        <v>28</v>
      </c>
      <c r="V491" t="s">
        <v>28</v>
      </c>
      <c r="W491" s="16" t="s">
        <v>5629</v>
      </c>
      <c r="X491" t="s">
        <v>5624</v>
      </c>
    </row>
    <row r="492" spans="1:24" x14ac:dyDescent="0.55000000000000004">
      <c r="A492" t="s">
        <v>1721</v>
      </c>
      <c r="B492" t="s">
        <v>1722</v>
      </c>
      <c r="C492">
        <v>2016</v>
      </c>
      <c r="D492" t="s">
        <v>1723</v>
      </c>
      <c r="E492">
        <v>78</v>
      </c>
      <c r="F492">
        <v>4</v>
      </c>
      <c r="H492">
        <v>315</v>
      </c>
      <c r="I492">
        <v>319</v>
      </c>
      <c r="K492" s="2" t="s">
        <v>1724</v>
      </c>
      <c r="L492" s="2" t="s">
        <v>1725</v>
      </c>
      <c r="M492" t="s">
        <v>4768</v>
      </c>
      <c r="N492" t="s">
        <v>1726</v>
      </c>
      <c r="O492" t="s">
        <v>26</v>
      </c>
      <c r="P492" t="s">
        <v>27</v>
      </c>
      <c r="Q492" t="s">
        <v>28</v>
      </c>
      <c r="R492" t="s">
        <v>28</v>
      </c>
      <c r="S492" t="s">
        <v>28</v>
      </c>
      <c r="T492" t="s">
        <v>28</v>
      </c>
      <c r="U492" t="s">
        <v>28</v>
      </c>
      <c r="V492" t="s">
        <v>28</v>
      </c>
      <c r="W492" s="16" t="s">
        <v>5629</v>
      </c>
      <c r="X492" t="s">
        <v>5624</v>
      </c>
    </row>
    <row r="493" spans="1:24" x14ac:dyDescent="0.55000000000000004">
      <c r="A493" t="s">
        <v>1727</v>
      </c>
      <c r="B493" t="s">
        <v>4769</v>
      </c>
      <c r="C493">
        <v>2016</v>
      </c>
      <c r="D493" t="s">
        <v>1222</v>
      </c>
      <c r="E493">
        <v>72</v>
      </c>
      <c r="F493">
        <v>3</v>
      </c>
      <c r="H493">
        <v>682</v>
      </c>
      <c r="I493">
        <v>691</v>
      </c>
      <c r="K493" s="2" t="s">
        <v>1728</v>
      </c>
      <c r="L493" s="2" t="s">
        <v>1729</v>
      </c>
      <c r="M493" t="s">
        <v>4770</v>
      </c>
      <c r="N493" t="s">
        <v>1730</v>
      </c>
      <c r="O493" t="s">
        <v>26</v>
      </c>
      <c r="P493" t="s">
        <v>27</v>
      </c>
      <c r="Q493" t="s">
        <v>28</v>
      </c>
      <c r="R493" t="s">
        <v>28</v>
      </c>
      <c r="S493" t="s">
        <v>28</v>
      </c>
      <c r="T493" t="s">
        <v>28</v>
      </c>
      <c r="U493" t="s">
        <v>28</v>
      </c>
      <c r="V493" t="s">
        <v>28</v>
      </c>
      <c r="W493" s="16" t="s">
        <v>5629</v>
      </c>
      <c r="X493" t="s">
        <v>5624</v>
      </c>
    </row>
    <row r="494" spans="1:24" x14ac:dyDescent="0.55000000000000004">
      <c r="A494" t="s">
        <v>4771</v>
      </c>
      <c r="B494" t="s">
        <v>1731</v>
      </c>
      <c r="C494">
        <v>2016</v>
      </c>
      <c r="D494" t="s">
        <v>125</v>
      </c>
      <c r="E494">
        <v>13</v>
      </c>
      <c r="F494">
        <v>18</v>
      </c>
      <c r="H494">
        <v>5171</v>
      </c>
      <c r="I494">
        <v>5182</v>
      </c>
      <c r="K494" s="2" t="s">
        <v>1732</v>
      </c>
      <c r="L494" s="2" t="s">
        <v>1733</v>
      </c>
      <c r="M494" t="s">
        <v>4772</v>
      </c>
      <c r="O494" t="s">
        <v>26</v>
      </c>
      <c r="P494" t="s">
        <v>27</v>
      </c>
      <c r="Q494" t="s">
        <v>28</v>
      </c>
      <c r="R494" t="s">
        <v>28</v>
      </c>
      <c r="S494" t="s">
        <v>28</v>
      </c>
      <c r="T494" t="s">
        <v>28</v>
      </c>
      <c r="U494" t="s">
        <v>28</v>
      </c>
      <c r="V494" t="s">
        <v>28</v>
      </c>
      <c r="W494" s="16" t="s">
        <v>5629</v>
      </c>
      <c r="X494" t="s">
        <v>5624</v>
      </c>
    </row>
    <row r="495" spans="1:24" x14ac:dyDescent="0.55000000000000004">
      <c r="A495" t="s">
        <v>1734</v>
      </c>
      <c r="B495" t="s">
        <v>1735</v>
      </c>
      <c r="C495">
        <v>2016</v>
      </c>
      <c r="D495" t="s">
        <v>159</v>
      </c>
      <c r="E495">
        <v>277</v>
      </c>
      <c r="H495">
        <v>41</v>
      </c>
      <c r="I495">
        <v>50</v>
      </c>
      <c r="K495" s="2" t="s">
        <v>1736</v>
      </c>
      <c r="L495" s="2" t="s">
        <v>1737</v>
      </c>
      <c r="M495" t="s">
        <v>4773</v>
      </c>
      <c r="N495" t="s">
        <v>1738</v>
      </c>
      <c r="O495" t="s">
        <v>26</v>
      </c>
      <c r="P495" t="s">
        <v>27</v>
      </c>
      <c r="Q495" t="s">
        <v>28</v>
      </c>
      <c r="R495" t="s">
        <v>28</v>
      </c>
      <c r="S495" t="s">
        <v>28</v>
      </c>
      <c r="T495" t="s">
        <v>28</v>
      </c>
      <c r="U495" t="s">
        <v>28</v>
      </c>
      <c r="V495" t="s">
        <v>28</v>
      </c>
      <c r="W495" s="16" t="s">
        <v>5629</v>
      </c>
      <c r="X495" t="s">
        <v>5624</v>
      </c>
    </row>
    <row r="496" spans="1:24" x14ac:dyDescent="0.55000000000000004">
      <c r="A496" t="s">
        <v>1739</v>
      </c>
      <c r="B496" t="s">
        <v>1740</v>
      </c>
      <c r="C496">
        <v>2016</v>
      </c>
      <c r="D496" t="s">
        <v>1155</v>
      </c>
      <c r="E496">
        <v>62</v>
      </c>
      <c r="F496">
        <v>9</v>
      </c>
      <c r="H496">
        <v>1293</v>
      </c>
      <c r="I496">
        <v>1310</v>
      </c>
      <c r="K496" s="2" t="s">
        <v>1741</v>
      </c>
      <c r="L496" s="2" t="s">
        <v>1742</v>
      </c>
      <c r="M496" t="s">
        <v>4774</v>
      </c>
      <c r="N496" t="s">
        <v>1743</v>
      </c>
      <c r="O496" t="s">
        <v>26</v>
      </c>
      <c r="P496" t="s">
        <v>27</v>
      </c>
      <c r="Q496" t="s">
        <v>28</v>
      </c>
      <c r="R496" t="s">
        <v>28</v>
      </c>
      <c r="S496" t="s">
        <v>28</v>
      </c>
      <c r="T496" t="s">
        <v>28</v>
      </c>
      <c r="U496" t="s">
        <v>28</v>
      </c>
      <c r="V496" t="s">
        <v>28</v>
      </c>
      <c r="W496" s="16" t="s">
        <v>5629</v>
      </c>
      <c r="X496" t="s">
        <v>5624</v>
      </c>
    </row>
    <row r="497" spans="1:24" x14ac:dyDescent="0.55000000000000004">
      <c r="A497" t="s">
        <v>4775</v>
      </c>
      <c r="B497" t="s">
        <v>1744</v>
      </c>
      <c r="C497">
        <v>2016</v>
      </c>
      <c r="D497" t="s">
        <v>1745</v>
      </c>
      <c r="E497">
        <v>32</v>
      </c>
      <c r="F497">
        <v>5</v>
      </c>
      <c r="H497">
        <v>368</v>
      </c>
      <c r="I497">
        <v>383</v>
      </c>
      <c r="K497" s="2" t="s">
        <v>1746</v>
      </c>
      <c r="L497" s="2" t="s">
        <v>1747</v>
      </c>
      <c r="M497" t="s">
        <v>4776</v>
      </c>
      <c r="N497" t="s">
        <v>1748</v>
      </c>
      <c r="O497" t="s">
        <v>26</v>
      </c>
      <c r="P497" t="s">
        <v>27</v>
      </c>
      <c r="Q497" t="s">
        <v>28</v>
      </c>
      <c r="R497" t="s">
        <v>28</v>
      </c>
      <c r="S497" t="s">
        <v>28</v>
      </c>
      <c r="T497" t="s">
        <v>28</v>
      </c>
      <c r="U497" t="s">
        <v>28</v>
      </c>
      <c r="V497" t="s">
        <v>28</v>
      </c>
      <c r="W497" s="16" t="s">
        <v>5629</v>
      </c>
      <c r="X497" t="s">
        <v>5624</v>
      </c>
    </row>
    <row r="498" spans="1:24" x14ac:dyDescent="0.55000000000000004">
      <c r="A498" t="s">
        <v>1749</v>
      </c>
      <c r="B498" t="s">
        <v>1750</v>
      </c>
      <c r="C498">
        <v>2016</v>
      </c>
      <c r="D498" t="s">
        <v>125</v>
      </c>
      <c r="E498">
        <v>13</v>
      </c>
      <c r="F498">
        <v>15</v>
      </c>
      <c r="H498">
        <v>4439</v>
      </c>
      <c r="I498">
        <v>4459</v>
      </c>
      <c r="K498" s="2" t="s">
        <v>1751</v>
      </c>
      <c r="L498" s="2" t="s">
        <v>1752</v>
      </c>
      <c r="M498" t="s">
        <v>4777</v>
      </c>
      <c r="O498" t="s">
        <v>26</v>
      </c>
      <c r="P498" t="s">
        <v>27</v>
      </c>
      <c r="Q498" t="s">
        <v>28</v>
      </c>
      <c r="R498" t="s">
        <v>28</v>
      </c>
      <c r="S498" t="s">
        <v>28</v>
      </c>
      <c r="T498" t="s">
        <v>28</v>
      </c>
      <c r="U498" t="s">
        <v>28</v>
      </c>
      <c r="V498" t="s">
        <v>28</v>
      </c>
      <c r="W498" s="16" t="s">
        <v>5629</v>
      </c>
      <c r="X498" t="s">
        <v>5624</v>
      </c>
    </row>
    <row r="499" spans="1:24" x14ac:dyDescent="0.55000000000000004">
      <c r="A499" t="s">
        <v>1753</v>
      </c>
      <c r="B499" t="s">
        <v>1754</v>
      </c>
      <c r="C499">
        <v>2016</v>
      </c>
      <c r="D499" t="s">
        <v>1755</v>
      </c>
      <c r="E499">
        <v>19</v>
      </c>
      <c r="F499">
        <v>8</v>
      </c>
      <c r="H499">
        <v>937</v>
      </c>
      <c r="I499">
        <v>947</v>
      </c>
      <c r="K499" s="2" t="s">
        <v>1756</v>
      </c>
      <c r="L499" s="2" t="s">
        <v>1757</v>
      </c>
      <c r="M499" t="s">
        <v>4778</v>
      </c>
      <c r="N499" t="s">
        <v>1758</v>
      </c>
      <c r="O499" t="s">
        <v>496</v>
      </c>
      <c r="P499" t="s">
        <v>27</v>
      </c>
      <c r="Q499" t="s">
        <v>28</v>
      </c>
      <c r="R499" t="s">
        <v>28</v>
      </c>
      <c r="S499" t="s">
        <v>28</v>
      </c>
      <c r="T499" t="s">
        <v>28</v>
      </c>
      <c r="U499" t="s">
        <v>28</v>
      </c>
      <c r="V499" t="s">
        <v>28</v>
      </c>
      <c r="W499" s="16" t="s">
        <v>5629</v>
      </c>
      <c r="X499" t="s">
        <v>5624</v>
      </c>
    </row>
    <row r="500" spans="1:24" x14ac:dyDescent="0.55000000000000004">
      <c r="A500" t="s">
        <v>1759</v>
      </c>
      <c r="B500" t="s">
        <v>1760</v>
      </c>
      <c r="C500">
        <v>2016</v>
      </c>
      <c r="D500" t="s">
        <v>513</v>
      </c>
      <c r="E500">
        <v>26</v>
      </c>
      <c r="F500">
        <v>6</v>
      </c>
      <c r="H500">
        <v>595</v>
      </c>
      <c r="I500">
        <v>608</v>
      </c>
      <c r="K500" s="2" t="s">
        <v>1761</v>
      </c>
      <c r="L500" s="2" t="s">
        <v>1762</v>
      </c>
      <c r="M500" t="s">
        <v>4779</v>
      </c>
      <c r="N500" t="s">
        <v>1763</v>
      </c>
      <c r="O500" t="s">
        <v>26</v>
      </c>
      <c r="P500" t="s">
        <v>27</v>
      </c>
      <c r="Q500" t="s">
        <v>28</v>
      </c>
      <c r="R500" t="s">
        <v>28</v>
      </c>
      <c r="S500" t="s">
        <v>28</v>
      </c>
      <c r="T500" t="s">
        <v>28</v>
      </c>
      <c r="U500" t="s">
        <v>28</v>
      </c>
      <c r="V500" t="s">
        <v>28</v>
      </c>
      <c r="W500" s="16" t="s">
        <v>5629</v>
      </c>
      <c r="X500" t="s">
        <v>5624</v>
      </c>
    </row>
    <row r="501" spans="1:24" x14ac:dyDescent="0.55000000000000004">
      <c r="A501" t="s">
        <v>1764</v>
      </c>
      <c r="B501" t="s">
        <v>1765</v>
      </c>
      <c r="C501">
        <v>2016</v>
      </c>
      <c r="D501" t="s">
        <v>1085</v>
      </c>
      <c r="E501">
        <v>59</v>
      </c>
      <c r="F501">
        <v>4</v>
      </c>
      <c r="H501">
        <v>189</v>
      </c>
      <c r="I501">
        <v>193</v>
      </c>
      <c r="K501" s="2" t="s">
        <v>1766</v>
      </c>
      <c r="L501" s="2" t="s">
        <v>1767</v>
      </c>
      <c r="M501" t="s">
        <v>4780</v>
      </c>
      <c r="N501" t="s">
        <v>1768</v>
      </c>
      <c r="O501" t="s">
        <v>26</v>
      </c>
      <c r="P501" t="s">
        <v>27</v>
      </c>
      <c r="Q501" t="s">
        <v>28</v>
      </c>
      <c r="R501" t="s">
        <v>28</v>
      </c>
      <c r="S501" t="s">
        <v>28</v>
      </c>
      <c r="T501" t="s">
        <v>28</v>
      </c>
      <c r="U501" t="s">
        <v>28</v>
      </c>
      <c r="V501" t="s">
        <v>28</v>
      </c>
      <c r="W501" s="16" t="s">
        <v>5629</v>
      </c>
      <c r="X501" t="s">
        <v>5624</v>
      </c>
    </row>
    <row r="502" spans="1:24" x14ac:dyDescent="0.55000000000000004">
      <c r="A502" t="s">
        <v>1769</v>
      </c>
      <c r="B502" t="s">
        <v>1770</v>
      </c>
      <c r="C502">
        <v>2016</v>
      </c>
      <c r="D502" t="s">
        <v>1771</v>
      </c>
      <c r="E502">
        <v>353</v>
      </c>
      <c r="F502">
        <v>6294</v>
      </c>
      <c r="H502">
        <v>72</v>
      </c>
      <c r="I502">
        <v>74</v>
      </c>
      <c r="K502" s="2" t="s">
        <v>1772</v>
      </c>
      <c r="L502" s="2" t="s">
        <v>1773</v>
      </c>
      <c r="M502" t="s">
        <v>4781</v>
      </c>
      <c r="O502" t="s">
        <v>26</v>
      </c>
      <c r="P502" t="s">
        <v>27</v>
      </c>
      <c r="Q502" t="s">
        <v>28</v>
      </c>
      <c r="R502" t="s">
        <v>28</v>
      </c>
      <c r="S502" t="s">
        <v>28</v>
      </c>
      <c r="T502" t="s">
        <v>28</v>
      </c>
      <c r="U502" t="s">
        <v>28</v>
      </c>
      <c r="V502" t="s">
        <v>28</v>
      </c>
      <c r="W502" s="16" t="s">
        <v>5629</v>
      </c>
      <c r="X502" t="s">
        <v>5624</v>
      </c>
    </row>
    <row r="503" spans="1:24" x14ac:dyDescent="0.55000000000000004">
      <c r="A503" t="s">
        <v>1774</v>
      </c>
      <c r="B503" t="s">
        <v>1775</v>
      </c>
      <c r="C503">
        <v>2016</v>
      </c>
      <c r="D503" t="s">
        <v>1581</v>
      </c>
      <c r="E503">
        <v>39</v>
      </c>
      <c r="F503">
        <v>7</v>
      </c>
      <c r="H503">
        <v>1513</v>
      </c>
      <c r="I503">
        <v>1523</v>
      </c>
      <c r="K503" s="2" t="s">
        <v>1776</v>
      </c>
      <c r="L503" s="2" t="s">
        <v>1777</v>
      </c>
      <c r="M503" t="s">
        <v>4782</v>
      </c>
      <c r="N503" t="s">
        <v>1778</v>
      </c>
      <c r="O503" t="s">
        <v>26</v>
      </c>
      <c r="P503" t="s">
        <v>27</v>
      </c>
      <c r="Q503" t="s">
        <v>28</v>
      </c>
      <c r="R503" t="s">
        <v>28</v>
      </c>
      <c r="S503" t="s">
        <v>28</v>
      </c>
      <c r="T503" t="s">
        <v>28</v>
      </c>
      <c r="U503" t="s">
        <v>28</v>
      </c>
      <c r="V503" t="s">
        <v>28</v>
      </c>
      <c r="W503" s="16" t="s">
        <v>5629</v>
      </c>
      <c r="X503" t="s">
        <v>5624</v>
      </c>
    </row>
    <row r="504" spans="1:24" x14ac:dyDescent="0.55000000000000004">
      <c r="A504" t="s">
        <v>1779</v>
      </c>
      <c r="B504" t="s">
        <v>4783</v>
      </c>
      <c r="C504">
        <v>2016</v>
      </c>
      <c r="D504" t="s">
        <v>1222</v>
      </c>
      <c r="E504">
        <v>72</v>
      </c>
      <c r="F504">
        <v>1</v>
      </c>
      <c r="H504">
        <v>197</v>
      </c>
      <c r="I504">
        <v>206</v>
      </c>
      <c r="K504" s="2" t="s">
        <v>1780</v>
      </c>
      <c r="L504" s="2" t="s">
        <v>1781</v>
      </c>
      <c r="M504" t="s">
        <v>4784</v>
      </c>
      <c r="N504" t="s">
        <v>4785</v>
      </c>
      <c r="O504" t="s">
        <v>26</v>
      </c>
      <c r="P504" t="s">
        <v>27</v>
      </c>
      <c r="Q504" t="s">
        <v>28</v>
      </c>
      <c r="R504" t="s">
        <v>28</v>
      </c>
      <c r="S504" t="s">
        <v>28</v>
      </c>
      <c r="T504" t="s">
        <v>28</v>
      </c>
      <c r="U504" t="s">
        <v>28</v>
      </c>
      <c r="V504" t="s">
        <v>28</v>
      </c>
      <c r="W504" s="16" t="s">
        <v>5629</v>
      </c>
      <c r="X504" t="s">
        <v>5624</v>
      </c>
    </row>
    <row r="505" spans="1:24" x14ac:dyDescent="0.55000000000000004">
      <c r="A505" t="s">
        <v>1782</v>
      </c>
      <c r="B505" t="s">
        <v>1783</v>
      </c>
      <c r="C505">
        <v>2016</v>
      </c>
      <c r="D505" t="s">
        <v>513</v>
      </c>
      <c r="E505">
        <v>26</v>
      </c>
      <c r="F505">
        <v>5</v>
      </c>
      <c r="H505">
        <v>453</v>
      </c>
      <c r="I505">
        <v>464</v>
      </c>
      <c r="K505" s="2" t="s">
        <v>1784</v>
      </c>
      <c r="L505" s="2" t="s">
        <v>1785</v>
      </c>
      <c r="M505" t="s">
        <v>5654</v>
      </c>
      <c r="N505" t="s">
        <v>1786</v>
      </c>
      <c r="O505" t="s">
        <v>26</v>
      </c>
      <c r="P505" t="s">
        <v>27</v>
      </c>
      <c r="Q505" t="s">
        <v>43</v>
      </c>
      <c r="R505" t="s">
        <v>28</v>
      </c>
      <c r="S505" t="s">
        <v>43</v>
      </c>
      <c r="T505" t="s">
        <v>28</v>
      </c>
      <c r="U505" t="s">
        <v>28</v>
      </c>
      <c r="V505" t="s">
        <v>28</v>
      </c>
      <c r="W505" s="16" t="s">
        <v>5629</v>
      </c>
      <c r="X505" t="s">
        <v>5624</v>
      </c>
    </row>
    <row r="506" spans="1:24" x14ac:dyDescent="0.55000000000000004">
      <c r="A506" t="s">
        <v>4786</v>
      </c>
      <c r="B506" t="s">
        <v>1787</v>
      </c>
      <c r="C506">
        <v>2016</v>
      </c>
      <c r="D506" t="s">
        <v>1788</v>
      </c>
      <c r="E506">
        <v>28</v>
      </c>
      <c r="F506">
        <v>2</v>
      </c>
      <c r="H506">
        <v>171</v>
      </c>
      <c r="I506">
        <v>191</v>
      </c>
      <c r="K506" s="2" t="s">
        <v>1789</v>
      </c>
      <c r="L506" s="2" t="s">
        <v>1790</v>
      </c>
      <c r="M506" t="s">
        <v>4787</v>
      </c>
      <c r="N506" t="s">
        <v>1791</v>
      </c>
      <c r="O506" t="s">
        <v>26</v>
      </c>
      <c r="P506" t="s">
        <v>27</v>
      </c>
      <c r="Q506" t="s">
        <v>28</v>
      </c>
      <c r="R506" t="s">
        <v>28</v>
      </c>
      <c r="S506" t="s">
        <v>28</v>
      </c>
      <c r="T506" t="s">
        <v>28</v>
      </c>
      <c r="U506" t="s">
        <v>28</v>
      </c>
      <c r="V506" t="s">
        <v>28</v>
      </c>
      <c r="W506" s="16" t="s">
        <v>5629</v>
      </c>
      <c r="X506" t="s">
        <v>5624</v>
      </c>
    </row>
    <row r="507" spans="1:24" x14ac:dyDescent="0.55000000000000004">
      <c r="A507" t="s">
        <v>1796</v>
      </c>
      <c r="B507" t="s">
        <v>1797</v>
      </c>
      <c r="C507">
        <v>2016</v>
      </c>
      <c r="D507" t="s">
        <v>282</v>
      </c>
      <c r="E507">
        <v>6</v>
      </c>
      <c r="G507">
        <v>27066</v>
      </c>
      <c r="K507" s="2" t="s">
        <v>1798</v>
      </c>
      <c r="L507" s="2" t="s">
        <v>1799</v>
      </c>
      <c r="M507" t="s">
        <v>1800</v>
      </c>
      <c r="O507" t="s">
        <v>26</v>
      </c>
      <c r="P507" t="s">
        <v>27</v>
      </c>
      <c r="Q507" t="s">
        <v>28</v>
      </c>
      <c r="R507" t="s">
        <v>28</v>
      </c>
      <c r="S507" t="s">
        <v>28</v>
      </c>
      <c r="T507" t="s">
        <v>28</v>
      </c>
      <c r="U507" t="s">
        <v>28</v>
      </c>
      <c r="V507" t="s">
        <v>28</v>
      </c>
      <c r="W507" s="16" t="s">
        <v>5629</v>
      </c>
      <c r="X507" t="s">
        <v>5624</v>
      </c>
    </row>
    <row r="508" spans="1:24" x14ac:dyDescent="0.55000000000000004">
      <c r="A508" t="s">
        <v>1807</v>
      </c>
      <c r="B508" t="s">
        <v>1808</v>
      </c>
      <c r="C508">
        <v>2016</v>
      </c>
      <c r="D508" t="s">
        <v>1809</v>
      </c>
      <c r="E508">
        <v>38</v>
      </c>
      <c r="F508">
        <v>4</v>
      </c>
      <c r="H508">
        <v>123</v>
      </c>
      <c r="I508">
        <v>128</v>
      </c>
      <c r="K508" s="2" t="s">
        <v>1810</v>
      </c>
      <c r="L508" s="2" t="s">
        <v>1811</v>
      </c>
      <c r="M508" t="s">
        <v>4790</v>
      </c>
      <c r="N508" t="s">
        <v>1812</v>
      </c>
      <c r="O508" t="s">
        <v>143</v>
      </c>
      <c r="P508" t="s">
        <v>27</v>
      </c>
      <c r="Q508" t="s">
        <v>28</v>
      </c>
      <c r="R508" t="s">
        <v>28</v>
      </c>
      <c r="S508" t="s">
        <v>28</v>
      </c>
      <c r="T508" t="s">
        <v>28</v>
      </c>
      <c r="U508" t="s">
        <v>28</v>
      </c>
      <c r="V508" t="s">
        <v>28</v>
      </c>
      <c r="W508" s="16" t="s">
        <v>5629</v>
      </c>
      <c r="X508" t="s">
        <v>5624</v>
      </c>
    </row>
    <row r="509" spans="1:24" x14ac:dyDescent="0.55000000000000004">
      <c r="A509" t="s">
        <v>4791</v>
      </c>
      <c r="B509" t="s">
        <v>1813</v>
      </c>
      <c r="C509">
        <v>2016</v>
      </c>
      <c r="D509" t="s">
        <v>1362</v>
      </c>
      <c r="E509">
        <v>220</v>
      </c>
      <c r="H509">
        <v>104</v>
      </c>
      <c r="I509">
        <v>114</v>
      </c>
      <c r="K509" s="2" t="s">
        <v>1814</v>
      </c>
      <c r="L509" s="2" t="s">
        <v>1815</v>
      </c>
      <c r="M509" t="s">
        <v>4792</v>
      </c>
      <c r="N509" t="s">
        <v>1816</v>
      </c>
      <c r="O509" t="s">
        <v>26</v>
      </c>
      <c r="P509" t="s">
        <v>27</v>
      </c>
      <c r="Q509" t="s">
        <v>28</v>
      </c>
      <c r="R509" t="s">
        <v>28</v>
      </c>
      <c r="S509" t="s">
        <v>28</v>
      </c>
      <c r="T509" t="s">
        <v>28</v>
      </c>
      <c r="U509" t="s">
        <v>28</v>
      </c>
      <c r="V509" t="s">
        <v>28</v>
      </c>
      <c r="W509" s="16" t="s">
        <v>5629</v>
      </c>
      <c r="X509" t="s">
        <v>5624</v>
      </c>
    </row>
    <row r="510" spans="1:24" x14ac:dyDescent="0.55000000000000004">
      <c r="A510" t="s">
        <v>1817</v>
      </c>
      <c r="B510" t="s">
        <v>1818</v>
      </c>
      <c r="C510">
        <v>2016</v>
      </c>
      <c r="D510" t="s">
        <v>1819</v>
      </c>
      <c r="E510">
        <v>67</v>
      </c>
      <c r="F510">
        <v>6</v>
      </c>
      <c r="H510">
        <v>1689</v>
      </c>
      <c r="I510">
        <v>1701</v>
      </c>
      <c r="K510" s="2" t="s">
        <v>1820</v>
      </c>
      <c r="L510" s="2" t="s">
        <v>1821</v>
      </c>
      <c r="M510" t="s">
        <v>4793</v>
      </c>
      <c r="N510" t="s">
        <v>1822</v>
      </c>
      <c r="O510" t="s">
        <v>26</v>
      </c>
      <c r="P510" t="s">
        <v>27</v>
      </c>
      <c r="Q510" t="s">
        <v>28</v>
      </c>
      <c r="R510" t="s">
        <v>28</v>
      </c>
      <c r="S510" t="s">
        <v>28</v>
      </c>
      <c r="T510" t="s">
        <v>28</v>
      </c>
      <c r="U510" t="s">
        <v>28</v>
      </c>
      <c r="V510" t="s">
        <v>28</v>
      </c>
      <c r="W510" s="16" t="s">
        <v>5629</v>
      </c>
      <c r="X510" t="s">
        <v>5624</v>
      </c>
    </row>
    <row r="511" spans="1:24" x14ac:dyDescent="0.55000000000000004">
      <c r="A511" t="s">
        <v>1823</v>
      </c>
      <c r="B511" t="s">
        <v>1824</v>
      </c>
      <c r="C511">
        <v>2016</v>
      </c>
      <c r="D511" t="s">
        <v>807</v>
      </c>
      <c r="E511">
        <v>22</v>
      </c>
      <c r="F511">
        <v>3</v>
      </c>
      <c r="H511">
        <v>1299</v>
      </c>
      <c r="I511">
        <v>1314</v>
      </c>
      <c r="K511" s="2" t="s">
        <v>1825</v>
      </c>
      <c r="L511" s="2" t="s">
        <v>1826</v>
      </c>
      <c r="M511" t="s">
        <v>4794</v>
      </c>
      <c r="N511" t="s">
        <v>1827</v>
      </c>
      <c r="O511" t="s">
        <v>26</v>
      </c>
      <c r="P511" t="s">
        <v>27</v>
      </c>
      <c r="Q511" t="s">
        <v>28</v>
      </c>
      <c r="R511" t="s">
        <v>28</v>
      </c>
      <c r="S511" t="s">
        <v>28</v>
      </c>
      <c r="T511" t="s">
        <v>28</v>
      </c>
      <c r="U511" t="s">
        <v>28</v>
      </c>
      <c r="V511" t="s">
        <v>28</v>
      </c>
      <c r="W511" s="16" t="s">
        <v>5629</v>
      </c>
      <c r="X511" t="s">
        <v>5624</v>
      </c>
    </row>
    <row r="512" spans="1:24" x14ac:dyDescent="0.55000000000000004">
      <c r="A512" t="s">
        <v>1828</v>
      </c>
      <c r="B512" t="s">
        <v>4795</v>
      </c>
      <c r="C512">
        <v>2016</v>
      </c>
      <c r="D512" t="s">
        <v>186</v>
      </c>
      <c r="E512">
        <v>400</v>
      </c>
      <c r="F512" s="4">
        <v>44563</v>
      </c>
      <c r="H512">
        <v>285</v>
      </c>
      <c r="I512">
        <v>296</v>
      </c>
      <c r="K512" s="2" t="s">
        <v>1829</v>
      </c>
      <c r="L512" s="2" t="s">
        <v>1830</v>
      </c>
      <c r="M512" t="s">
        <v>4796</v>
      </c>
      <c r="N512" t="s">
        <v>4797</v>
      </c>
      <c r="O512" t="s">
        <v>26</v>
      </c>
      <c r="P512" t="s">
        <v>27</v>
      </c>
      <c r="Q512" t="s">
        <v>28</v>
      </c>
      <c r="R512" t="s">
        <v>28</v>
      </c>
      <c r="S512" t="s">
        <v>28</v>
      </c>
      <c r="T512" t="s">
        <v>28</v>
      </c>
      <c r="U512" t="s">
        <v>28</v>
      </c>
      <c r="V512" t="s">
        <v>28</v>
      </c>
      <c r="W512" s="16" t="s">
        <v>5629</v>
      </c>
      <c r="X512" t="s">
        <v>5624</v>
      </c>
    </row>
    <row r="513" spans="1:24" x14ac:dyDescent="0.55000000000000004">
      <c r="A513" t="s">
        <v>4798</v>
      </c>
      <c r="B513" t="s">
        <v>1831</v>
      </c>
      <c r="C513">
        <v>2016</v>
      </c>
      <c r="D513" t="s">
        <v>125</v>
      </c>
      <c r="E513">
        <v>13</v>
      </c>
      <c r="F513">
        <v>4</v>
      </c>
      <c r="H513">
        <v>1119</v>
      </c>
      <c r="I513">
        <v>1127</v>
      </c>
      <c r="K513" s="2" t="s">
        <v>1832</v>
      </c>
      <c r="L513" s="2" t="s">
        <v>1833</v>
      </c>
      <c r="M513" t="s">
        <v>4799</v>
      </c>
      <c r="O513" t="s">
        <v>26</v>
      </c>
      <c r="P513" t="s">
        <v>27</v>
      </c>
      <c r="Q513" t="s">
        <v>28</v>
      </c>
      <c r="R513" t="s">
        <v>28</v>
      </c>
      <c r="S513" t="s">
        <v>28</v>
      </c>
      <c r="T513" t="s">
        <v>28</v>
      </c>
      <c r="U513" t="s">
        <v>28</v>
      </c>
      <c r="V513" t="s">
        <v>28</v>
      </c>
      <c r="W513" s="16" t="s">
        <v>5629</v>
      </c>
      <c r="X513" t="s">
        <v>5624</v>
      </c>
    </row>
    <row r="514" spans="1:24" x14ac:dyDescent="0.55000000000000004">
      <c r="A514" t="s">
        <v>1834</v>
      </c>
      <c r="B514" t="s">
        <v>1835</v>
      </c>
      <c r="C514">
        <v>2016</v>
      </c>
      <c r="D514" t="s">
        <v>506</v>
      </c>
      <c r="E514">
        <v>166</v>
      </c>
      <c r="H514">
        <v>131</v>
      </c>
      <c r="I514">
        <v>139</v>
      </c>
      <c r="K514" s="2" t="s">
        <v>1836</v>
      </c>
      <c r="L514" s="2" t="s">
        <v>1837</v>
      </c>
      <c r="M514" t="s">
        <v>4800</v>
      </c>
      <c r="N514" t="s">
        <v>1838</v>
      </c>
      <c r="O514" t="s">
        <v>26</v>
      </c>
      <c r="P514" t="s">
        <v>27</v>
      </c>
      <c r="Q514" t="s">
        <v>28</v>
      </c>
      <c r="R514" t="s">
        <v>28</v>
      </c>
      <c r="S514" t="s">
        <v>28</v>
      </c>
      <c r="T514" t="s">
        <v>28</v>
      </c>
      <c r="U514" t="s">
        <v>28</v>
      </c>
      <c r="V514" t="s">
        <v>28</v>
      </c>
      <c r="W514" s="16" t="s">
        <v>5629</v>
      </c>
      <c r="X514" t="s">
        <v>5624</v>
      </c>
    </row>
    <row r="515" spans="1:24" x14ac:dyDescent="0.55000000000000004">
      <c r="A515" t="s">
        <v>1839</v>
      </c>
      <c r="B515" t="s">
        <v>1840</v>
      </c>
      <c r="C515">
        <v>2016</v>
      </c>
      <c r="D515" t="s">
        <v>1841</v>
      </c>
      <c r="H515">
        <v>187</v>
      </c>
      <c r="I515">
        <v>198</v>
      </c>
      <c r="L515" s="2" t="s">
        <v>1842</v>
      </c>
      <c r="M515" t="s">
        <v>4801</v>
      </c>
      <c r="N515" t="s">
        <v>1843</v>
      </c>
      <c r="O515" t="s">
        <v>198</v>
      </c>
      <c r="P515" t="s">
        <v>27</v>
      </c>
      <c r="Q515" t="s">
        <v>28</v>
      </c>
      <c r="R515" t="s">
        <v>28</v>
      </c>
      <c r="S515" t="s">
        <v>28</v>
      </c>
      <c r="T515" t="s">
        <v>28</v>
      </c>
      <c r="U515" t="s">
        <v>28</v>
      </c>
      <c r="V515" t="s">
        <v>28</v>
      </c>
      <c r="W515" s="16" t="s">
        <v>5629</v>
      </c>
      <c r="X515" t="s">
        <v>5624</v>
      </c>
    </row>
    <row r="516" spans="1:24" x14ac:dyDescent="0.55000000000000004">
      <c r="A516" t="s">
        <v>1844</v>
      </c>
      <c r="B516" t="s">
        <v>1845</v>
      </c>
      <c r="C516">
        <v>2016</v>
      </c>
      <c r="D516" t="s">
        <v>1846</v>
      </c>
      <c r="E516">
        <v>3</v>
      </c>
      <c r="H516">
        <v>2013</v>
      </c>
      <c r="I516">
        <v>2116</v>
      </c>
      <c r="K516" s="2" t="s">
        <v>1847</v>
      </c>
      <c r="L516" s="2" t="s">
        <v>1848</v>
      </c>
      <c r="M516" t="s">
        <v>4802</v>
      </c>
      <c r="N516" t="s">
        <v>1849</v>
      </c>
      <c r="O516" t="s">
        <v>198</v>
      </c>
      <c r="P516" t="s">
        <v>27</v>
      </c>
      <c r="Q516" t="s">
        <v>28</v>
      </c>
      <c r="R516" t="s">
        <v>28</v>
      </c>
      <c r="S516" t="s">
        <v>28</v>
      </c>
      <c r="T516" t="s">
        <v>28</v>
      </c>
      <c r="U516" t="s">
        <v>28</v>
      </c>
      <c r="V516" t="s">
        <v>28</v>
      </c>
      <c r="W516" s="16" t="s">
        <v>5629</v>
      </c>
      <c r="X516" t="s">
        <v>5624</v>
      </c>
    </row>
    <row r="517" spans="1:24" x14ac:dyDescent="0.55000000000000004">
      <c r="A517" t="s">
        <v>1850</v>
      </c>
      <c r="B517" t="s">
        <v>1851</v>
      </c>
      <c r="C517">
        <v>2016</v>
      </c>
      <c r="D517" t="s">
        <v>1852</v>
      </c>
      <c r="E517">
        <v>62</v>
      </c>
      <c r="F517">
        <v>11</v>
      </c>
      <c r="H517">
        <v>508</v>
      </c>
      <c r="I517">
        <v>514</v>
      </c>
      <c r="K517" s="2" t="s">
        <v>1853</v>
      </c>
      <c r="L517" s="2" t="s">
        <v>1854</v>
      </c>
      <c r="M517" t="s">
        <v>4803</v>
      </c>
      <c r="N517" t="s">
        <v>1855</v>
      </c>
      <c r="O517" t="s">
        <v>26</v>
      </c>
      <c r="P517" t="s">
        <v>27</v>
      </c>
      <c r="Q517" t="s">
        <v>28</v>
      </c>
      <c r="R517" t="s">
        <v>28</v>
      </c>
      <c r="S517" t="s">
        <v>28</v>
      </c>
      <c r="T517" t="s">
        <v>28</v>
      </c>
      <c r="U517" t="s">
        <v>28</v>
      </c>
      <c r="V517" t="s">
        <v>28</v>
      </c>
      <c r="W517" s="16" t="s">
        <v>5629</v>
      </c>
      <c r="X517" t="s">
        <v>5624</v>
      </c>
    </row>
    <row r="518" spans="1:24" x14ac:dyDescent="0.55000000000000004">
      <c r="A518" t="s">
        <v>4804</v>
      </c>
      <c r="B518" t="s">
        <v>1856</v>
      </c>
      <c r="C518">
        <v>2016</v>
      </c>
      <c r="D518" t="s">
        <v>1857</v>
      </c>
      <c r="E518">
        <v>76</v>
      </c>
      <c r="H518">
        <v>91</v>
      </c>
      <c r="I518">
        <v>104</v>
      </c>
      <c r="K518" s="2" t="s">
        <v>1858</v>
      </c>
      <c r="L518" s="2" t="s">
        <v>1859</v>
      </c>
      <c r="M518" t="s">
        <v>4805</v>
      </c>
      <c r="N518" t="s">
        <v>1860</v>
      </c>
      <c r="O518" t="s">
        <v>143</v>
      </c>
      <c r="P518" t="s">
        <v>27</v>
      </c>
      <c r="Q518" t="s">
        <v>28</v>
      </c>
      <c r="R518" t="s">
        <v>28</v>
      </c>
      <c r="S518" t="s">
        <v>28</v>
      </c>
      <c r="T518" t="s">
        <v>28</v>
      </c>
      <c r="U518" t="s">
        <v>28</v>
      </c>
      <c r="V518" t="s">
        <v>28</v>
      </c>
      <c r="W518" s="16" t="s">
        <v>5629</v>
      </c>
      <c r="X518" t="s">
        <v>5624</v>
      </c>
    </row>
    <row r="519" spans="1:24" x14ac:dyDescent="0.55000000000000004">
      <c r="A519" t="s">
        <v>1861</v>
      </c>
      <c r="B519" t="s">
        <v>1862</v>
      </c>
      <c r="C519">
        <v>2016</v>
      </c>
      <c r="D519" t="s">
        <v>987</v>
      </c>
      <c r="E519">
        <v>2016</v>
      </c>
      <c r="F519">
        <v>7</v>
      </c>
      <c r="G519" t="s">
        <v>1863</v>
      </c>
      <c r="K519" s="2" t="s">
        <v>1864</v>
      </c>
      <c r="L519" s="2" t="s">
        <v>1865</v>
      </c>
      <c r="M519" t="s">
        <v>4806</v>
      </c>
      <c r="N519" t="s">
        <v>1866</v>
      </c>
      <c r="O519" t="s">
        <v>26</v>
      </c>
      <c r="P519" t="s">
        <v>27</v>
      </c>
      <c r="Q519" t="s">
        <v>28</v>
      </c>
      <c r="R519" t="s">
        <v>28</v>
      </c>
      <c r="S519" t="s">
        <v>28</v>
      </c>
      <c r="T519" t="s">
        <v>28</v>
      </c>
      <c r="U519" t="s">
        <v>28</v>
      </c>
      <c r="V519" t="s">
        <v>28</v>
      </c>
      <c r="W519" s="16" t="s">
        <v>5629</v>
      </c>
      <c r="X519" t="s">
        <v>5624</v>
      </c>
    </row>
    <row r="520" spans="1:24" x14ac:dyDescent="0.55000000000000004">
      <c r="A520" t="s">
        <v>4807</v>
      </c>
      <c r="B520" t="s">
        <v>1867</v>
      </c>
      <c r="C520">
        <v>2016</v>
      </c>
      <c r="D520" t="s">
        <v>781</v>
      </c>
      <c r="E520">
        <v>101</v>
      </c>
      <c r="H520">
        <v>165</v>
      </c>
      <c r="I520">
        <v>173</v>
      </c>
      <c r="K520" s="2" t="s">
        <v>1868</v>
      </c>
      <c r="L520" s="2" t="s">
        <v>1869</v>
      </c>
      <c r="M520" t="s">
        <v>4808</v>
      </c>
      <c r="N520" t="s">
        <v>1870</v>
      </c>
      <c r="O520" t="s">
        <v>26</v>
      </c>
      <c r="P520" t="s">
        <v>27</v>
      </c>
      <c r="Q520" t="s">
        <v>28</v>
      </c>
      <c r="R520" t="s">
        <v>28</v>
      </c>
      <c r="S520" t="s">
        <v>28</v>
      </c>
      <c r="T520" t="s">
        <v>28</v>
      </c>
      <c r="U520" t="s">
        <v>28</v>
      </c>
      <c r="V520" t="s">
        <v>28</v>
      </c>
      <c r="W520" s="16" t="s">
        <v>5629</v>
      </c>
      <c r="X520" t="s">
        <v>5624</v>
      </c>
    </row>
    <row r="521" spans="1:24" x14ac:dyDescent="0.55000000000000004">
      <c r="A521" t="s">
        <v>1871</v>
      </c>
      <c r="B521" t="s">
        <v>1872</v>
      </c>
      <c r="C521">
        <v>2016</v>
      </c>
      <c r="D521" t="s">
        <v>1873</v>
      </c>
      <c r="E521">
        <v>6</v>
      </c>
      <c r="F521">
        <v>1</v>
      </c>
      <c r="H521">
        <v>1</v>
      </c>
      <c r="I521">
        <v>5</v>
      </c>
      <c r="K521" s="2" t="s">
        <v>1874</v>
      </c>
      <c r="L521" s="2" t="s">
        <v>1875</v>
      </c>
      <c r="M521" t="s">
        <v>1876</v>
      </c>
      <c r="N521" t="s">
        <v>1877</v>
      </c>
      <c r="O521" t="s">
        <v>26</v>
      </c>
      <c r="P521" t="s">
        <v>27</v>
      </c>
      <c r="Q521" t="s">
        <v>28</v>
      </c>
      <c r="R521" t="s">
        <v>28</v>
      </c>
      <c r="S521" t="s">
        <v>28</v>
      </c>
      <c r="T521" t="s">
        <v>28</v>
      </c>
      <c r="U521" t="s">
        <v>28</v>
      </c>
      <c r="V521" t="s">
        <v>28</v>
      </c>
      <c r="W521" s="16" t="s">
        <v>5629</v>
      </c>
      <c r="X521" t="s">
        <v>5624</v>
      </c>
    </row>
    <row r="522" spans="1:24" x14ac:dyDescent="0.55000000000000004">
      <c r="A522" t="s">
        <v>1878</v>
      </c>
      <c r="B522" t="s">
        <v>1879</v>
      </c>
      <c r="C522">
        <v>2016</v>
      </c>
      <c r="D522" t="s">
        <v>420</v>
      </c>
      <c r="E522">
        <v>127</v>
      </c>
      <c r="F522">
        <v>1</v>
      </c>
      <c r="H522">
        <v>45</v>
      </c>
      <c r="I522">
        <v>55</v>
      </c>
      <c r="K522" s="2" t="s">
        <v>1880</v>
      </c>
      <c r="L522" s="2" t="s">
        <v>1881</v>
      </c>
      <c r="M522" t="s">
        <v>4809</v>
      </c>
      <c r="N522" t="s">
        <v>1882</v>
      </c>
      <c r="O522" t="s">
        <v>26</v>
      </c>
      <c r="P522" t="s">
        <v>27</v>
      </c>
      <c r="Q522" t="s">
        <v>28</v>
      </c>
      <c r="R522" t="s">
        <v>28</v>
      </c>
      <c r="S522" t="s">
        <v>28</v>
      </c>
      <c r="T522" t="s">
        <v>28</v>
      </c>
      <c r="U522" t="s">
        <v>28</v>
      </c>
      <c r="V522" t="s">
        <v>28</v>
      </c>
      <c r="W522" s="16" t="s">
        <v>5629</v>
      </c>
      <c r="X522" t="s">
        <v>5624</v>
      </c>
    </row>
    <row r="523" spans="1:24" x14ac:dyDescent="0.55000000000000004">
      <c r="A523" t="s">
        <v>1883</v>
      </c>
      <c r="B523" t="s">
        <v>1884</v>
      </c>
      <c r="C523">
        <v>2016</v>
      </c>
      <c r="D523" t="s">
        <v>288</v>
      </c>
      <c r="E523">
        <v>104</v>
      </c>
      <c r="F523">
        <v>1</v>
      </c>
      <c r="H523">
        <v>261</v>
      </c>
      <c r="I523">
        <v>269</v>
      </c>
      <c r="K523" s="2" t="s">
        <v>1885</v>
      </c>
      <c r="L523" s="2" t="s">
        <v>1886</v>
      </c>
      <c r="M523" t="s">
        <v>4810</v>
      </c>
      <c r="N523" t="s">
        <v>1887</v>
      </c>
      <c r="O523" t="s">
        <v>26</v>
      </c>
      <c r="P523" t="s">
        <v>27</v>
      </c>
      <c r="Q523" t="s">
        <v>28</v>
      </c>
      <c r="R523" t="s">
        <v>28</v>
      </c>
      <c r="S523" t="s">
        <v>28</v>
      </c>
      <c r="T523" t="s">
        <v>28</v>
      </c>
      <c r="U523" t="s">
        <v>28</v>
      </c>
      <c r="V523" t="s">
        <v>28</v>
      </c>
      <c r="W523" s="16" t="s">
        <v>5629</v>
      </c>
      <c r="X523" t="s">
        <v>5624</v>
      </c>
    </row>
    <row r="524" spans="1:24" x14ac:dyDescent="0.55000000000000004">
      <c r="A524" t="s">
        <v>1888</v>
      </c>
      <c r="B524" t="s">
        <v>1889</v>
      </c>
      <c r="C524">
        <v>2016</v>
      </c>
      <c r="D524" t="s">
        <v>1036</v>
      </c>
      <c r="E524">
        <v>52</v>
      </c>
      <c r="F524">
        <v>1</v>
      </c>
      <c r="H524">
        <v>15</v>
      </c>
      <c r="I524">
        <v>29</v>
      </c>
      <c r="K524" s="2" t="s">
        <v>1890</v>
      </c>
      <c r="L524" s="2" t="s">
        <v>1891</v>
      </c>
      <c r="M524" t="s">
        <v>4811</v>
      </c>
      <c r="N524" t="s">
        <v>1892</v>
      </c>
      <c r="O524" t="s">
        <v>26</v>
      </c>
      <c r="P524" t="s">
        <v>27</v>
      </c>
      <c r="Q524" t="s">
        <v>28</v>
      </c>
      <c r="R524" t="s">
        <v>28</v>
      </c>
      <c r="S524" t="s">
        <v>28</v>
      </c>
      <c r="T524" t="s">
        <v>28</v>
      </c>
      <c r="U524" t="s">
        <v>28</v>
      </c>
      <c r="V524" t="s">
        <v>28</v>
      </c>
      <c r="W524" s="16" t="s">
        <v>5629</v>
      </c>
      <c r="X524" t="s">
        <v>5624</v>
      </c>
    </row>
    <row r="525" spans="1:24" x14ac:dyDescent="0.55000000000000004">
      <c r="A525" t="s">
        <v>1893</v>
      </c>
      <c r="B525" t="s">
        <v>1894</v>
      </c>
      <c r="C525">
        <v>2016</v>
      </c>
      <c r="D525" t="s">
        <v>923</v>
      </c>
      <c r="E525">
        <v>180</v>
      </c>
      <c r="F525">
        <v>1</v>
      </c>
      <c r="H525">
        <v>257</v>
      </c>
      <c r="I525">
        <v>264</v>
      </c>
      <c r="K525" s="2" t="s">
        <v>1895</v>
      </c>
      <c r="L525" s="2" t="s">
        <v>1896</v>
      </c>
      <c r="M525" t="s">
        <v>4812</v>
      </c>
      <c r="N525" t="s">
        <v>1897</v>
      </c>
      <c r="O525" t="s">
        <v>26</v>
      </c>
      <c r="P525" t="s">
        <v>27</v>
      </c>
      <c r="Q525" t="s">
        <v>28</v>
      </c>
      <c r="R525" t="s">
        <v>28</v>
      </c>
      <c r="S525" t="s">
        <v>28</v>
      </c>
      <c r="T525" t="s">
        <v>28</v>
      </c>
      <c r="U525" t="s">
        <v>28</v>
      </c>
      <c r="V525" t="s">
        <v>28</v>
      </c>
      <c r="W525" s="16" t="s">
        <v>5629</v>
      </c>
      <c r="X525" t="s">
        <v>5624</v>
      </c>
    </row>
    <row r="526" spans="1:24" x14ac:dyDescent="0.55000000000000004">
      <c r="A526" t="s">
        <v>1898</v>
      </c>
      <c r="B526" t="s">
        <v>1899</v>
      </c>
      <c r="C526">
        <v>2016</v>
      </c>
      <c r="D526" t="s">
        <v>1900</v>
      </c>
      <c r="E526">
        <v>227</v>
      </c>
      <c r="F526">
        <v>1</v>
      </c>
      <c r="G526">
        <v>33</v>
      </c>
      <c r="K526" s="2" t="s">
        <v>1901</v>
      </c>
      <c r="L526" s="2" t="s">
        <v>1902</v>
      </c>
      <c r="M526" t="s">
        <v>4813</v>
      </c>
      <c r="N526" t="s">
        <v>1903</v>
      </c>
      <c r="O526" t="s">
        <v>26</v>
      </c>
      <c r="P526" t="s">
        <v>27</v>
      </c>
      <c r="Q526" t="s">
        <v>28</v>
      </c>
      <c r="R526" t="s">
        <v>28</v>
      </c>
      <c r="S526" t="s">
        <v>28</v>
      </c>
      <c r="T526" t="s">
        <v>28</v>
      </c>
      <c r="U526" t="s">
        <v>28</v>
      </c>
      <c r="V526" t="s">
        <v>28</v>
      </c>
      <c r="W526" s="16" t="s">
        <v>5629</v>
      </c>
      <c r="X526" t="s">
        <v>5624</v>
      </c>
    </row>
    <row r="527" spans="1:24" x14ac:dyDescent="0.55000000000000004">
      <c r="A527" t="s">
        <v>1904</v>
      </c>
      <c r="B527" t="s">
        <v>1905</v>
      </c>
      <c r="C527">
        <v>2015</v>
      </c>
      <c r="D527" t="s">
        <v>186</v>
      </c>
      <c r="E527">
        <v>397</v>
      </c>
      <c r="F527" s="4">
        <v>44563</v>
      </c>
      <c r="H527">
        <v>303</v>
      </c>
      <c r="I527">
        <v>315</v>
      </c>
      <c r="K527" s="2" t="s">
        <v>1906</v>
      </c>
      <c r="L527" s="2" t="s">
        <v>1907</v>
      </c>
      <c r="M527" t="s">
        <v>4814</v>
      </c>
      <c r="N527" t="s">
        <v>1908</v>
      </c>
      <c r="O527" t="s">
        <v>26</v>
      </c>
      <c r="P527" t="s">
        <v>27</v>
      </c>
      <c r="Q527" t="s">
        <v>28</v>
      </c>
      <c r="R527" t="s">
        <v>28</v>
      </c>
      <c r="S527" t="s">
        <v>28</v>
      </c>
      <c r="T527" t="s">
        <v>28</v>
      </c>
      <c r="U527" t="s">
        <v>28</v>
      </c>
      <c r="V527" t="s">
        <v>28</v>
      </c>
      <c r="W527" s="16" t="s">
        <v>5629</v>
      </c>
      <c r="X527" t="s">
        <v>5624</v>
      </c>
    </row>
    <row r="528" spans="1:24" x14ac:dyDescent="0.55000000000000004">
      <c r="A528" t="s">
        <v>1909</v>
      </c>
      <c r="B528" t="s">
        <v>1910</v>
      </c>
      <c r="C528">
        <v>2015</v>
      </c>
      <c r="D528" t="s">
        <v>186</v>
      </c>
      <c r="E528">
        <v>396</v>
      </c>
      <c r="F528" s="4">
        <v>44563</v>
      </c>
      <c r="H528">
        <v>369</v>
      </c>
      <c r="I528">
        <v>380</v>
      </c>
      <c r="K528" s="2" t="s">
        <v>1911</v>
      </c>
      <c r="L528" s="2" t="s">
        <v>1912</v>
      </c>
      <c r="M528" t="s">
        <v>4815</v>
      </c>
      <c r="N528" t="s">
        <v>1913</v>
      </c>
      <c r="O528" t="s">
        <v>26</v>
      </c>
      <c r="P528" t="s">
        <v>27</v>
      </c>
      <c r="Q528" t="s">
        <v>28</v>
      </c>
      <c r="R528" t="s">
        <v>28</v>
      </c>
      <c r="S528" t="s">
        <v>28</v>
      </c>
      <c r="T528" t="s">
        <v>28</v>
      </c>
      <c r="U528" t="s">
        <v>28</v>
      </c>
      <c r="V528" t="s">
        <v>28</v>
      </c>
      <c r="W528" s="16" t="s">
        <v>5629</v>
      </c>
      <c r="X528" t="s">
        <v>5624</v>
      </c>
    </row>
    <row r="529" spans="1:24" x14ac:dyDescent="0.55000000000000004">
      <c r="A529" t="s">
        <v>1914</v>
      </c>
      <c r="B529" t="s">
        <v>1915</v>
      </c>
      <c r="C529">
        <v>2015</v>
      </c>
      <c r="D529" t="s">
        <v>420</v>
      </c>
      <c r="E529">
        <v>126</v>
      </c>
      <c r="F529" s="4">
        <v>44563</v>
      </c>
      <c r="H529">
        <v>11</v>
      </c>
      <c r="I529">
        <v>23</v>
      </c>
      <c r="K529" s="2" t="s">
        <v>1916</v>
      </c>
      <c r="L529" s="2" t="s">
        <v>1917</v>
      </c>
      <c r="M529" t="s">
        <v>4816</v>
      </c>
      <c r="N529" t="s">
        <v>1918</v>
      </c>
      <c r="O529" t="s">
        <v>496</v>
      </c>
      <c r="P529" t="s">
        <v>27</v>
      </c>
      <c r="Q529" t="s">
        <v>28</v>
      </c>
      <c r="R529" t="s">
        <v>28</v>
      </c>
      <c r="S529" t="s">
        <v>28</v>
      </c>
      <c r="T529" t="s">
        <v>28</v>
      </c>
      <c r="U529" t="s">
        <v>28</v>
      </c>
      <c r="V529" t="s">
        <v>28</v>
      </c>
      <c r="W529" s="16" t="s">
        <v>5629</v>
      </c>
      <c r="X529" t="s">
        <v>5624</v>
      </c>
    </row>
    <row r="530" spans="1:24" x14ac:dyDescent="0.55000000000000004">
      <c r="A530" t="s">
        <v>1919</v>
      </c>
      <c r="B530" t="s">
        <v>1920</v>
      </c>
      <c r="C530">
        <v>2015</v>
      </c>
      <c r="D530" t="s">
        <v>288</v>
      </c>
      <c r="E530">
        <v>103</v>
      </c>
      <c r="F530">
        <v>6</v>
      </c>
      <c r="H530">
        <v>1442</v>
      </c>
      <c r="I530">
        <v>1453</v>
      </c>
      <c r="K530" s="2" t="s">
        <v>1921</v>
      </c>
      <c r="L530" s="2" t="s">
        <v>1922</v>
      </c>
      <c r="M530" t="s">
        <v>4817</v>
      </c>
      <c r="N530" t="s">
        <v>1923</v>
      </c>
      <c r="O530" t="s">
        <v>26</v>
      </c>
      <c r="P530" t="s">
        <v>27</v>
      </c>
      <c r="Q530" t="s">
        <v>28</v>
      </c>
      <c r="R530" t="s">
        <v>28</v>
      </c>
      <c r="S530" t="s">
        <v>28</v>
      </c>
      <c r="T530" t="s">
        <v>28</v>
      </c>
      <c r="U530" t="s">
        <v>28</v>
      </c>
      <c r="V530" t="s">
        <v>28</v>
      </c>
      <c r="W530" s="16" t="s">
        <v>5629</v>
      </c>
      <c r="X530" t="s">
        <v>5624</v>
      </c>
    </row>
    <row r="531" spans="1:24" x14ac:dyDescent="0.55000000000000004">
      <c r="A531" t="s">
        <v>1924</v>
      </c>
      <c r="B531" t="s">
        <v>1925</v>
      </c>
      <c r="C531">
        <v>2015</v>
      </c>
      <c r="D531" t="s">
        <v>53</v>
      </c>
      <c r="E531">
        <v>90</v>
      </c>
      <c r="H531">
        <v>152</v>
      </c>
      <c r="I531">
        <v>160</v>
      </c>
      <c r="K531" s="2" t="s">
        <v>1926</v>
      </c>
      <c r="L531" s="2" t="s">
        <v>1927</v>
      </c>
      <c r="M531" t="s">
        <v>4818</v>
      </c>
      <c r="N531" t="s">
        <v>1928</v>
      </c>
      <c r="O531" t="s">
        <v>26</v>
      </c>
      <c r="P531" t="s">
        <v>27</v>
      </c>
      <c r="Q531" t="s">
        <v>28</v>
      </c>
      <c r="R531" t="s">
        <v>28</v>
      </c>
      <c r="S531" t="s">
        <v>28</v>
      </c>
      <c r="T531" t="s">
        <v>28</v>
      </c>
      <c r="U531" t="s">
        <v>28</v>
      </c>
      <c r="V531" t="s">
        <v>28</v>
      </c>
      <c r="W531" s="16" t="s">
        <v>5629</v>
      </c>
      <c r="X531" t="s">
        <v>5624</v>
      </c>
    </row>
    <row r="532" spans="1:24" x14ac:dyDescent="0.55000000000000004">
      <c r="A532" t="s">
        <v>4819</v>
      </c>
      <c r="B532" t="s">
        <v>1929</v>
      </c>
      <c r="C532">
        <v>2015</v>
      </c>
      <c r="D532" t="s">
        <v>186</v>
      </c>
      <c r="E532">
        <v>395</v>
      </c>
      <c r="F532" s="4">
        <v>44563</v>
      </c>
      <c r="H532">
        <v>351</v>
      </c>
      <c r="I532">
        <v>373</v>
      </c>
      <c r="K532" s="2" t="s">
        <v>1930</v>
      </c>
      <c r="L532" s="2" t="s">
        <v>1931</v>
      </c>
      <c r="M532" t="s">
        <v>4820</v>
      </c>
      <c r="N532" t="s">
        <v>1932</v>
      </c>
      <c r="O532" t="s">
        <v>26</v>
      </c>
      <c r="P532" t="s">
        <v>27</v>
      </c>
      <c r="Q532" t="s">
        <v>28</v>
      </c>
      <c r="R532" t="s">
        <v>28</v>
      </c>
      <c r="S532" t="s">
        <v>28</v>
      </c>
      <c r="T532" t="s">
        <v>28</v>
      </c>
      <c r="U532" t="s">
        <v>28</v>
      </c>
      <c r="V532" t="s">
        <v>28</v>
      </c>
      <c r="W532" s="16" t="s">
        <v>5629</v>
      </c>
      <c r="X532" t="s">
        <v>5624</v>
      </c>
    </row>
    <row r="533" spans="1:24" x14ac:dyDescent="0.55000000000000004">
      <c r="A533" t="s">
        <v>4821</v>
      </c>
      <c r="B533" t="s">
        <v>1933</v>
      </c>
      <c r="C533">
        <v>2015</v>
      </c>
      <c r="D533" t="s">
        <v>152</v>
      </c>
      <c r="E533">
        <v>35</v>
      </c>
      <c r="F533">
        <v>10</v>
      </c>
      <c r="H533">
        <v>1075</v>
      </c>
      <c r="I533">
        <v>1085</v>
      </c>
      <c r="K533" s="2" t="s">
        <v>1934</v>
      </c>
      <c r="L533" s="2" t="s">
        <v>1935</v>
      </c>
      <c r="M533" t="s">
        <v>4822</v>
      </c>
      <c r="N533" t="s">
        <v>1936</v>
      </c>
      <c r="O533" t="s">
        <v>26</v>
      </c>
      <c r="P533" t="s">
        <v>27</v>
      </c>
      <c r="Q533" t="s">
        <v>28</v>
      </c>
      <c r="R533" t="s">
        <v>28</v>
      </c>
      <c r="S533" t="s">
        <v>28</v>
      </c>
      <c r="T533" t="s">
        <v>28</v>
      </c>
      <c r="U533" t="s">
        <v>28</v>
      </c>
      <c r="V533" t="s">
        <v>28</v>
      </c>
      <c r="W533" s="16" t="s">
        <v>5629</v>
      </c>
      <c r="X533" t="s">
        <v>5624</v>
      </c>
    </row>
    <row r="534" spans="1:24" x14ac:dyDescent="0.55000000000000004">
      <c r="A534" t="s">
        <v>4823</v>
      </c>
      <c r="B534" t="s">
        <v>1937</v>
      </c>
      <c r="C534">
        <v>2015</v>
      </c>
      <c r="D534" t="s">
        <v>68</v>
      </c>
      <c r="E534">
        <v>208</v>
      </c>
      <c r="F534">
        <v>1</v>
      </c>
      <c r="H534">
        <v>79</v>
      </c>
      <c r="I534">
        <v>87</v>
      </c>
      <c r="K534" s="2" t="s">
        <v>1938</v>
      </c>
      <c r="L534" s="2" t="s">
        <v>1939</v>
      </c>
      <c r="M534" t="s">
        <v>4824</v>
      </c>
      <c r="N534" t="s">
        <v>1940</v>
      </c>
      <c r="O534" t="s">
        <v>143</v>
      </c>
      <c r="P534" t="s">
        <v>27</v>
      </c>
      <c r="Q534" t="s">
        <v>28</v>
      </c>
      <c r="R534" t="s">
        <v>28</v>
      </c>
      <c r="S534" t="s">
        <v>28</v>
      </c>
      <c r="T534" t="s">
        <v>28</v>
      </c>
      <c r="U534" t="s">
        <v>28</v>
      </c>
      <c r="V534" t="s">
        <v>28</v>
      </c>
      <c r="W534" s="16" t="s">
        <v>5629</v>
      </c>
      <c r="X534" t="s">
        <v>5624</v>
      </c>
    </row>
    <row r="535" spans="1:24" x14ac:dyDescent="0.55000000000000004">
      <c r="A535" t="s">
        <v>1941</v>
      </c>
      <c r="B535" t="s">
        <v>1942</v>
      </c>
      <c r="C535">
        <v>2015</v>
      </c>
      <c r="D535" t="s">
        <v>68</v>
      </c>
      <c r="E535">
        <v>208</v>
      </c>
      <c r="F535">
        <v>1</v>
      </c>
      <c r="H535">
        <v>280</v>
      </c>
      <c r="I535">
        <v>293</v>
      </c>
      <c r="K535" s="2" t="s">
        <v>1943</v>
      </c>
      <c r="L535" s="2" t="s">
        <v>1944</v>
      </c>
      <c r="M535" t="s">
        <v>4825</v>
      </c>
      <c r="N535" t="s">
        <v>1946</v>
      </c>
      <c r="O535" t="s">
        <v>26</v>
      </c>
      <c r="P535" t="s">
        <v>27</v>
      </c>
      <c r="Q535" t="s">
        <v>28</v>
      </c>
      <c r="R535" t="s">
        <v>28</v>
      </c>
      <c r="S535" t="s">
        <v>28</v>
      </c>
      <c r="T535" t="s">
        <v>28</v>
      </c>
      <c r="U535" t="s">
        <v>28</v>
      </c>
      <c r="V535" t="s">
        <v>28</v>
      </c>
      <c r="W535" s="16" t="s">
        <v>5629</v>
      </c>
      <c r="X535" t="s">
        <v>5624</v>
      </c>
    </row>
    <row r="536" spans="1:24" x14ac:dyDescent="0.55000000000000004">
      <c r="A536" t="s">
        <v>1947</v>
      </c>
      <c r="B536" t="s">
        <v>1948</v>
      </c>
      <c r="C536">
        <v>2015</v>
      </c>
      <c r="D536" t="s">
        <v>1949</v>
      </c>
      <c r="E536">
        <v>25</v>
      </c>
      <c r="F536">
        <v>5</v>
      </c>
      <c r="H536">
        <v>686</v>
      </c>
      <c r="I536">
        <v>695</v>
      </c>
      <c r="K536" s="2" t="s">
        <v>1950</v>
      </c>
      <c r="L536" s="2" t="s">
        <v>1951</v>
      </c>
      <c r="M536" t="s">
        <v>4826</v>
      </c>
      <c r="N536" t="s">
        <v>1952</v>
      </c>
      <c r="O536" t="s">
        <v>26</v>
      </c>
      <c r="P536" t="s">
        <v>27</v>
      </c>
      <c r="Q536" t="s">
        <v>28</v>
      </c>
      <c r="R536" t="s">
        <v>28</v>
      </c>
      <c r="S536" t="s">
        <v>28</v>
      </c>
      <c r="T536" t="s">
        <v>28</v>
      </c>
      <c r="U536" t="s">
        <v>28</v>
      </c>
      <c r="V536" t="s">
        <v>28</v>
      </c>
      <c r="W536" s="16" t="s">
        <v>5629</v>
      </c>
      <c r="X536" t="s">
        <v>5624</v>
      </c>
    </row>
    <row r="537" spans="1:24" x14ac:dyDescent="0.55000000000000004">
      <c r="A537" t="s">
        <v>1953</v>
      </c>
      <c r="B537" t="s">
        <v>1954</v>
      </c>
      <c r="C537">
        <v>2015</v>
      </c>
      <c r="D537" t="s">
        <v>1581</v>
      </c>
      <c r="E537">
        <v>38</v>
      </c>
      <c r="F537">
        <v>9</v>
      </c>
      <c r="H537">
        <v>1947</v>
      </c>
      <c r="I537">
        <v>1961</v>
      </c>
      <c r="K537" s="2" t="s">
        <v>1955</v>
      </c>
      <c r="L537" s="2" t="s">
        <v>1956</v>
      </c>
      <c r="M537" t="s">
        <v>4827</v>
      </c>
      <c r="N537" t="s">
        <v>1957</v>
      </c>
      <c r="O537" t="s">
        <v>143</v>
      </c>
      <c r="P537" t="s">
        <v>27</v>
      </c>
      <c r="Q537" t="s">
        <v>28</v>
      </c>
      <c r="R537" t="s">
        <v>28</v>
      </c>
      <c r="S537" t="s">
        <v>28</v>
      </c>
      <c r="T537" t="s">
        <v>28</v>
      </c>
      <c r="U537" t="s">
        <v>28</v>
      </c>
      <c r="V537" t="s">
        <v>28</v>
      </c>
      <c r="W537" s="16" t="s">
        <v>5629</v>
      </c>
      <c r="X537" t="s">
        <v>5624</v>
      </c>
    </row>
    <row r="538" spans="1:24" x14ac:dyDescent="0.55000000000000004">
      <c r="A538" t="s">
        <v>1958</v>
      </c>
      <c r="B538" t="s">
        <v>4828</v>
      </c>
      <c r="C538">
        <v>2015</v>
      </c>
      <c r="D538" t="s">
        <v>1959</v>
      </c>
      <c r="E538">
        <v>29</v>
      </c>
      <c r="F538">
        <v>16</v>
      </c>
      <c r="H538">
        <v>1465</v>
      </c>
      <c r="I538">
        <v>1472</v>
      </c>
      <c r="K538" s="2" t="s">
        <v>1960</v>
      </c>
      <c r="L538" s="2" t="s">
        <v>1961</v>
      </c>
      <c r="M538" t="s">
        <v>4829</v>
      </c>
      <c r="O538" t="s">
        <v>26</v>
      </c>
      <c r="P538" t="s">
        <v>27</v>
      </c>
      <c r="Q538" t="s">
        <v>28</v>
      </c>
      <c r="R538" t="s">
        <v>28</v>
      </c>
      <c r="S538" t="s">
        <v>28</v>
      </c>
      <c r="T538" t="s">
        <v>28</v>
      </c>
      <c r="U538" t="s">
        <v>28</v>
      </c>
      <c r="V538" t="s">
        <v>28</v>
      </c>
      <c r="W538" s="16" t="s">
        <v>5629</v>
      </c>
      <c r="X538" t="s">
        <v>5624</v>
      </c>
    </row>
    <row r="539" spans="1:24" x14ac:dyDescent="0.55000000000000004">
      <c r="A539" t="s">
        <v>1962</v>
      </c>
      <c r="B539" t="s">
        <v>1963</v>
      </c>
      <c r="C539">
        <v>2015</v>
      </c>
      <c r="D539" t="s">
        <v>1964</v>
      </c>
      <c r="E539">
        <v>282</v>
      </c>
      <c r="F539">
        <v>1813</v>
      </c>
      <c r="G539">
        <v>20151115</v>
      </c>
      <c r="J539">
        <v>8</v>
      </c>
      <c r="K539" s="2" t="s">
        <v>1965</v>
      </c>
      <c r="L539" s="2" t="s">
        <v>1966</v>
      </c>
      <c r="M539" t="s">
        <v>4830</v>
      </c>
      <c r="N539" t="s">
        <v>1967</v>
      </c>
      <c r="O539" t="s">
        <v>26</v>
      </c>
      <c r="P539" t="s">
        <v>27</v>
      </c>
      <c r="Q539" t="s">
        <v>28</v>
      </c>
      <c r="R539" t="s">
        <v>28</v>
      </c>
      <c r="S539" t="s">
        <v>28</v>
      </c>
      <c r="T539" t="s">
        <v>28</v>
      </c>
      <c r="U539" t="s">
        <v>28</v>
      </c>
      <c r="V539" t="s">
        <v>28</v>
      </c>
      <c r="W539" s="16" t="s">
        <v>5629</v>
      </c>
      <c r="X539" t="s">
        <v>5624</v>
      </c>
    </row>
    <row r="540" spans="1:24" x14ac:dyDescent="0.55000000000000004">
      <c r="A540" t="s">
        <v>4831</v>
      </c>
      <c r="B540" t="s">
        <v>1968</v>
      </c>
      <c r="C540">
        <v>2015</v>
      </c>
      <c r="D540" t="s">
        <v>68</v>
      </c>
      <c r="E540">
        <v>207</v>
      </c>
      <c r="F540">
        <v>3</v>
      </c>
      <c r="H540">
        <v>505</v>
      </c>
      <c r="I540">
        <v>518</v>
      </c>
      <c r="K540" s="2" t="s">
        <v>1969</v>
      </c>
      <c r="L540" s="2" t="s">
        <v>1970</v>
      </c>
      <c r="M540" t="s">
        <v>4832</v>
      </c>
      <c r="N540" t="s">
        <v>1971</v>
      </c>
      <c r="O540" t="s">
        <v>143</v>
      </c>
      <c r="P540" t="s">
        <v>27</v>
      </c>
      <c r="Q540" t="s">
        <v>28</v>
      </c>
      <c r="R540" t="s">
        <v>28</v>
      </c>
      <c r="S540" t="s">
        <v>28</v>
      </c>
      <c r="T540" t="s">
        <v>28</v>
      </c>
      <c r="U540" t="s">
        <v>28</v>
      </c>
      <c r="V540" t="s">
        <v>28</v>
      </c>
      <c r="W540" s="16" t="s">
        <v>5629</v>
      </c>
      <c r="X540" t="s">
        <v>5624</v>
      </c>
    </row>
    <row r="541" spans="1:24" x14ac:dyDescent="0.55000000000000004">
      <c r="A541" t="s">
        <v>1972</v>
      </c>
      <c r="B541" t="s">
        <v>1973</v>
      </c>
      <c r="C541">
        <v>2015</v>
      </c>
      <c r="D541" t="s">
        <v>624</v>
      </c>
      <c r="E541">
        <v>6</v>
      </c>
      <c r="F541" t="s">
        <v>1974</v>
      </c>
      <c r="G541">
        <v>547</v>
      </c>
      <c r="J541">
        <v>16</v>
      </c>
      <c r="K541" s="2" t="s">
        <v>1975</v>
      </c>
      <c r="L541" s="2" t="s">
        <v>1976</v>
      </c>
      <c r="M541" t="s">
        <v>4833</v>
      </c>
      <c r="N541" t="s">
        <v>1977</v>
      </c>
      <c r="O541" t="s">
        <v>26</v>
      </c>
      <c r="P541" t="s">
        <v>27</v>
      </c>
      <c r="Q541" t="s">
        <v>28</v>
      </c>
      <c r="R541" t="s">
        <v>28</v>
      </c>
      <c r="S541" t="s">
        <v>28</v>
      </c>
      <c r="T541" t="s">
        <v>28</v>
      </c>
      <c r="U541" t="s">
        <v>28</v>
      </c>
      <c r="V541" t="s">
        <v>28</v>
      </c>
      <c r="W541" s="16" t="s">
        <v>5629</v>
      </c>
      <c r="X541" t="s">
        <v>5624</v>
      </c>
    </row>
    <row r="542" spans="1:24" x14ac:dyDescent="0.55000000000000004">
      <c r="A542" t="s">
        <v>1978</v>
      </c>
      <c r="B542" t="s">
        <v>1979</v>
      </c>
      <c r="C542">
        <v>2015</v>
      </c>
      <c r="D542" t="s">
        <v>513</v>
      </c>
      <c r="E542">
        <v>25</v>
      </c>
      <c r="F542">
        <v>5</v>
      </c>
      <c r="H542">
        <v>411</v>
      </c>
      <c r="I542">
        <v>417</v>
      </c>
      <c r="K542" s="2" t="s">
        <v>1980</v>
      </c>
      <c r="L542" s="2" t="s">
        <v>1981</v>
      </c>
      <c r="M542" t="s">
        <v>4834</v>
      </c>
      <c r="N542" t="s">
        <v>1982</v>
      </c>
      <c r="O542" t="s">
        <v>26</v>
      </c>
      <c r="P542" t="s">
        <v>27</v>
      </c>
      <c r="Q542" t="s">
        <v>28</v>
      </c>
      <c r="R542" t="s">
        <v>28</v>
      </c>
      <c r="S542" t="s">
        <v>28</v>
      </c>
      <c r="T542" t="s">
        <v>28</v>
      </c>
      <c r="U542" t="s">
        <v>28</v>
      </c>
      <c r="V542" t="s">
        <v>28</v>
      </c>
      <c r="W542" s="16" t="s">
        <v>5629</v>
      </c>
      <c r="X542" t="s">
        <v>5624</v>
      </c>
    </row>
    <row r="543" spans="1:24" x14ac:dyDescent="0.55000000000000004">
      <c r="A543" t="s">
        <v>1983</v>
      </c>
      <c r="B543" t="s">
        <v>1984</v>
      </c>
      <c r="C543">
        <v>2015</v>
      </c>
      <c r="D543" t="s">
        <v>53</v>
      </c>
      <c r="E543">
        <v>86</v>
      </c>
      <c r="H543">
        <v>193</v>
      </c>
      <c r="I543">
        <v>200</v>
      </c>
      <c r="K543" s="2" t="s">
        <v>1985</v>
      </c>
      <c r="L543" s="2" t="s">
        <v>1986</v>
      </c>
      <c r="M543" t="s">
        <v>4835</v>
      </c>
      <c r="N543" t="s">
        <v>1987</v>
      </c>
      <c r="O543" t="s">
        <v>26</v>
      </c>
      <c r="P543" t="s">
        <v>27</v>
      </c>
      <c r="Q543" t="s">
        <v>28</v>
      </c>
      <c r="R543" t="s">
        <v>28</v>
      </c>
      <c r="S543" t="s">
        <v>28</v>
      </c>
      <c r="T543" t="s">
        <v>28</v>
      </c>
      <c r="U543" t="s">
        <v>28</v>
      </c>
      <c r="V543" t="s">
        <v>28</v>
      </c>
      <c r="W543" s="16" t="s">
        <v>5629</v>
      </c>
      <c r="X543" t="s">
        <v>5624</v>
      </c>
    </row>
    <row r="544" spans="1:24" x14ac:dyDescent="0.55000000000000004">
      <c r="A544" t="s">
        <v>1988</v>
      </c>
      <c r="B544" t="s">
        <v>1989</v>
      </c>
      <c r="C544">
        <v>2015</v>
      </c>
      <c r="D544" t="s">
        <v>131</v>
      </c>
      <c r="E544">
        <v>10</v>
      </c>
      <c r="F544">
        <v>6</v>
      </c>
      <c r="G544" t="s">
        <v>1990</v>
      </c>
      <c r="K544" s="2" t="s">
        <v>1991</v>
      </c>
      <c r="L544" s="2" t="s">
        <v>1992</v>
      </c>
      <c r="M544" t="s">
        <v>4836</v>
      </c>
      <c r="O544" t="s">
        <v>26</v>
      </c>
      <c r="P544" t="s">
        <v>27</v>
      </c>
      <c r="Q544" t="s">
        <v>28</v>
      </c>
      <c r="R544" t="s">
        <v>28</v>
      </c>
      <c r="S544" t="s">
        <v>28</v>
      </c>
      <c r="T544" t="s">
        <v>28</v>
      </c>
      <c r="U544" t="s">
        <v>28</v>
      </c>
      <c r="V544" t="s">
        <v>28</v>
      </c>
      <c r="W544" s="16" t="s">
        <v>5629</v>
      </c>
      <c r="X544" t="s">
        <v>5624</v>
      </c>
    </row>
    <row r="545" spans="1:50" x14ac:dyDescent="0.55000000000000004">
      <c r="A545" t="s">
        <v>1998</v>
      </c>
      <c r="B545" t="s">
        <v>1999</v>
      </c>
      <c r="C545">
        <v>2015</v>
      </c>
      <c r="D545" t="s">
        <v>2000</v>
      </c>
      <c r="E545">
        <v>85</v>
      </c>
      <c r="F545">
        <v>2</v>
      </c>
      <c r="H545">
        <v>269</v>
      </c>
      <c r="I545">
        <v>286</v>
      </c>
      <c r="K545" s="2" t="s">
        <v>2001</v>
      </c>
      <c r="L545" s="2" t="s">
        <v>2002</v>
      </c>
      <c r="M545" t="s">
        <v>4839</v>
      </c>
      <c r="N545" t="s">
        <v>2003</v>
      </c>
      <c r="O545" t="s">
        <v>26</v>
      </c>
      <c r="P545" t="s">
        <v>27</v>
      </c>
      <c r="Q545" t="s">
        <v>28</v>
      </c>
      <c r="R545" t="s">
        <v>28</v>
      </c>
      <c r="S545" t="s">
        <v>28</v>
      </c>
      <c r="T545" t="s">
        <v>28</v>
      </c>
      <c r="U545" t="s">
        <v>28</v>
      </c>
      <c r="V545" t="s">
        <v>28</v>
      </c>
      <c r="W545" s="16" t="s">
        <v>5629</v>
      </c>
      <c r="X545" t="s">
        <v>5624</v>
      </c>
    </row>
    <row r="546" spans="1:50" x14ac:dyDescent="0.55000000000000004">
      <c r="A546" t="s">
        <v>2004</v>
      </c>
      <c r="B546" t="s">
        <v>2005</v>
      </c>
      <c r="C546">
        <v>2015</v>
      </c>
      <c r="D546" t="s">
        <v>2006</v>
      </c>
      <c r="E546">
        <v>12</v>
      </c>
      <c r="F546">
        <v>1</v>
      </c>
      <c r="H546">
        <v>197</v>
      </c>
      <c r="I546">
        <v>200</v>
      </c>
      <c r="K546" s="2" t="s">
        <v>2007</v>
      </c>
      <c r="L546" s="2" t="s">
        <v>2008</v>
      </c>
      <c r="M546" t="s">
        <v>2009</v>
      </c>
      <c r="N546" t="s">
        <v>2010</v>
      </c>
      <c r="O546" t="s">
        <v>26</v>
      </c>
      <c r="P546" t="s">
        <v>27</v>
      </c>
      <c r="Q546" t="s">
        <v>28</v>
      </c>
      <c r="R546" t="s">
        <v>28</v>
      </c>
      <c r="S546" t="s">
        <v>28</v>
      </c>
      <c r="T546" t="s">
        <v>28</v>
      </c>
      <c r="U546" t="s">
        <v>28</v>
      </c>
      <c r="V546" t="s">
        <v>28</v>
      </c>
      <c r="W546" s="16" t="s">
        <v>5629</v>
      </c>
      <c r="X546" t="s">
        <v>5624</v>
      </c>
    </row>
    <row r="547" spans="1:50" x14ac:dyDescent="0.55000000000000004">
      <c r="A547" t="s">
        <v>2011</v>
      </c>
      <c r="B547" t="s">
        <v>2012</v>
      </c>
      <c r="C547">
        <v>2015</v>
      </c>
      <c r="D547" t="s">
        <v>53</v>
      </c>
      <c r="E547">
        <v>83</v>
      </c>
      <c r="H547">
        <v>142</v>
      </c>
      <c r="I547">
        <v>149</v>
      </c>
      <c r="K547" s="2" t="s">
        <v>2013</v>
      </c>
      <c r="L547" s="2" t="s">
        <v>2014</v>
      </c>
      <c r="M547" t="s">
        <v>4840</v>
      </c>
      <c r="N547" t="s">
        <v>2015</v>
      </c>
      <c r="O547" t="s">
        <v>26</v>
      </c>
      <c r="P547" t="s">
        <v>27</v>
      </c>
      <c r="Q547" t="s">
        <v>28</v>
      </c>
      <c r="R547" t="s">
        <v>28</v>
      </c>
      <c r="S547" t="s">
        <v>28</v>
      </c>
      <c r="T547" t="s">
        <v>28</v>
      </c>
      <c r="U547" t="s">
        <v>28</v>
      </c>
      <c r="V547" t="s">
        <v>28</v>
      </c>
      <c r="W547" s="16" t="s">
        <v>5629</v>
      </c>
      <c r="X547" t="s">
        <v>5624</v>
      </c>
    </row>
    <row r="548" spans="1:50" x14ac:dyDescent="0.55000000000000004">
      <c r="A548" t="s">
        <v>2016</v>
      </c>
      <c r="B548" t="s">
        <v>2017</v>
      </c>
      <c r="C548">
        <v>2015</v>
      </c>
      <c r="D548" t="s">
        <v>1745</v>
      </c>
      <c r="E548">
        <v>31</v>
      </c>
      <c r="F548">
        <v>2</v>
      </c>
      <c r="H548">
        <v>139</v>
      </c>
      <c r="I548">
        <v>152</v>
      </c>
      <c r="K548" s="2" t="s">
        <v>2018</v>
      </c>
      <c r="L548" s="2" t="s">
        <v>2019</v>
      </c>
      <c r="M548" t="s">
        <v>4841</v>
      </c>
      <c r="N548" t="s">
        <v>2020</v>
      </c>
      <c r="O548" t="s">
        <v>26</v>
      </c>
      <c r="P548" t="s">
        <v>27</v>
      </c>
      <c r="Q548" t="s">
        <v>28</v>
      </c>
      <c r="R548" t="s">
        <v>28</v>
      </c>
      <c r="S548" t="s">
        <v>28</v>
      </c>
      <c r="T548" t="s">
        <v>28</v>
      </c>
      <c r="U548" t="s">
        <v>28</v>
      </c>
      <c r="V548" t="s">
        <v>28</v>
      </c>
      <c r="W548" s="16" t="s">
        <v>5629</v>
      </c>
      <c r="X548" t="s">
        <v>5624</v>
      </c>
    </row>
    <row r="549" spans="1:50" x14ac:dyDescent="0.55000000000000004">
      <c r="A549" t="s">
        <v>2021</v>
      </c>
      <c r="B549" t="s">
        <v>2022</v>
      </c>
      <c r="C549">
        <v>2015</v>
      </c>
      <c r="D549" t="s">
        <v>571</v>
      </c>
      <c r="E549">
        <v>6</v>
      </c>
      <c r="F549">
        <v>3</v>
      </c>
      <c r="G549">
        <v>29</v>
      </c>
      <c r="K549" s="2" t="s">
        <v>2023</v>
      </c>
      <c r="L549" s="2" t="s">
        <v>2024</v>
      </c>
      <c r="M549" t="s">
        <v>4842</v>
      </c>
      <c r="N549" t="s">
        <v>2025</v>
      </c>
      <c r="O549" t="s">
        <v>26</v>
      </c>
      <c r="P549" t="s">
        <v>27</v>
      </c>
      <c r="Q549" t="s">
        <v>28</v>
      </c>
      <c r="R549" t="s">
        <v>28</v>
      </c>
      <c r="S549" t="s">
        <v>28</v>
      </c>
      <c r="T549" t="s">
        <v>28</v>
      </c>
      <c r="U549" t="s">
        <v>28</v>
      </c>
      <c r="V549" t="s">
        <v>28</v>
      </c>
      <c r="W549" s="16" t="s">
        <v>5629</v>
      </c>
      <c r="X549" t="s">
        <v>5624</v>
      </c>
    </row>
    <row r="550" spans="1:50" x14ac:dyDescent="0.55000000000000004">
      <c r="A550" t="s">
        <v>4843</v>
      </c>
      <c r="B550" t="s">
        <v>2026</v>
      </c>
      <c r="C550">
        <v>2015</v>
      </c>
      <c r="D550" t="s">
        <v>864</v>
      </c>
      <c r="E550">
        <v>24</v>
      </c>
      <c r="F550">
        <v>5</v>
      </c>
      <c r="H550">
        <v>1122</v>
      </c>
      <c r="I550">
        <v>1134</v>
      </c>
      <c r="K550" s="2" t="s">
        <v>2027</v>
      </c>
      <c r="L550" s="2" t="s">
        <v>2028</v>
      </c>
      <c r="M550" t="s">
        <v>4844</v>
      </c>
      <c r="N550" t="s">
        <v>2029</v>
      </c>
      <c r="O550" t="s">
        <v>26</v>
      </c>
      <c r="P550" t="s">
        <v>27</v>
      </c>
      <c r="Q550" t="s">
        <v>28</v>
      </c>
      <c r="R550" t="s">
        <v>28</v>
      </c>
      <c r="S550" t="s">
        <v>28</v>
      </c>
      <c r="T550" t="s">
        <v>28</v>
      </c>
      <c r="U550" t="s">
        <v>28</v>
      </c>
      <c r="V550" t="s">
        <v>28</v>
      </c>
      <c r="W550" s="16" t="s">
        <v>5629</v>
      </c>
      <c r="X550" t="s">
        <v>5624</v>
      </c>
    </row>
    <row r="551" spans="1:50" x14ac:dyDescent="0.55000000000000004">
      <c r="A551" t="s">
        <v>2030</v>
      </c>
      <c r="B551" t="s">
        <v>2031</v>
      </c>
      <c r="C551">
        <v>2015</v>
      </c>
      <c r="D551" t="s">
        <v>68</v>
      </c>
      <c r="E551">
        <v>205</v>
      </c>
      <c r="F551">
        <v>4</v>
      </c>
      <c r="H551">
        <v>1443</v>
      </c>
      <c r="I551">
        <v>1447</v>
      </c>
      <c r="K551" s="2" t="s">
        <v>2032</v>
      </c>
      <c r="L551" s="2" t="s">
        <v>2033</v>
      </c>
      <c r="M551" t="s">
        <v>4845</v>
      </c>
      <c r="N551" t="s">
        <v>2034</v>
      </c>
      <c r="O551" t="s">
        <v>143</v>
      </c>
      <c r="P551" t="s">
        <v>27</v>
      </c>
      <c r="Q551" t="s">
        <v>28</v>
      </c>
      <c r="R551" t="s">
        <v>28</v>
      </c>
      <c r="S551" t="s">
        <v>28</v>
      </c>
      <c r="T551" t="s">
        <v>28</v>
      </c>
      <c r="U551" t="s">
        <v>28</v>
      </c>
      <c r="V551" t="s">
        <v>28</v>
      </c>
      <c r="W551" s="16" t="s">
        <v>5629</v>
      </c>
      <c r="X551" t="s">
        <v>5624</v>
      </c>
    </row>
    <row r="552" spans="1:50" x14ac:dyDescent="0.55000000000000004">
      <c r="A552" t="s">
        <v>2035</v>
      </c>
      <c r="B552" t="s">
        <v>2036</v>
      </c>
      <c r="C552">
        <v>2015</v>
      </c>
      <c r="D552" t="s">
        <v>68</v>
      </c>
      <c r="E552">
        <v>205</v>
      </c>
      <c r="F552">
        <v>4</v>
      </c>
      <c r="H552">
        <v>1492</v>
      </c>
      <c r="I552">
        <v>1502</v>
      </c>
      <c r="K552" s="2" t="s">
        <v>2037</v>
      </c>
      <c r="L552" s="2" t="s">
        <v>2038</v>
      </c>
      <c r="M552" t="s">
        <v>4846</v>
      </c>
      <c r="N552" t="s">
        <v>2039</v>
      </c>
      <c r="O552" t="s">
        <v>26</v>
      </c>
      <c r="P552" t="s">
        <v>27</v>
      </c>
      <c r="Q552" t="s">
        <v>43</v>
      </c>
      <c r="R552" t="s">
        <v>43</v>
      </c>
      <c r="S552" t="s">
        <v>43</v>
      </c>
      <c r="T552" t="s">
        <v>28</v>
      </c>
      <c r="U552" t="s">
        <v>28</v>
      </c>
      <c r="V552" t="s">
        <v>28</v>
      </c>
      <c r="W552" s="16" t="s">
        <v>5629</v>
      </c>
      <c r="X552" t="s">
        <v>5624</v>
      </c>
      <c r="Y552" t="s">
        <v>5638</v>
      </c>
      <c r="Z552" t="s">
        <v>5642</v>
      </c>
      <c r="AA552" t="s">
        <v>4360</v>
      </c>
      <c r="AB552" t="s">
        <v>5640</v>
      </c>
      <c r="AC552" t="s">
        <v>5641</v>
      </c>
      <c r="AF552" t="s">
        <v>5710</v>
      </c>
      <c r="AG552" s="18" t="s">
        <v>4393</v>
      </c>
      <c r="AH552" t="s">
        <v>5646</v>
      </c>
      <c r="AI552" t="s">
        <v>4343</v>
      </c>
      <c r="AJ552" s="2">
        <v>22</v>
      </c>
      <c r="AK552" s="2">
        <v>22</v>
      </c>
      <c r="AL552" t="s">
        <v>5408</v>
      </c>
      <c r="AM552" t="s">
        <v>4334</v>
      </c>
      <c r="AO552">
        <v>4</v>
      </c>
      <c r="AP552" s="2">
        <v>53.806680999999998</v>
      </c>
      <c r="AQ552" s="2">
        <v>-1.5550330000000001</v>
      </c>
      <c r="AR552" s="2"/>
      <c r="AS552" s="1"/>
      <c r="AT552" s="2">
        <v>20</v>
      </c>
      <c r="AU552" s="2">
        <v>225</v>
      </c>
      <c r="AV552" s="21">
        <v>7.2568723421255157E-2</v>
      </c>
      <c r="AW552" s="17">
        <v>9.2613700465498973E-3</v>
      </c>
      <c r="AX552" t="s">
        <v>5647</v>
      </c>
    </row>
    <row r="553" spans="1:50" x14ac:dyDescent="0.55000000000000004">
      <c r="A553" t="s">
        <v>2040</v>
      </c>
      <c r="B553" t="s">
        <v>2041</v>
      </c>
      <c r="C553">
        <v>2015</v>
      </c>
      <c r="D553" t="s">
        <v>68</v>
      </c>
      <c r="E553">
        <v>205</v>
      </c>
      <c r="F553">
        <v>4</v>
      </c>
      <c r="H553">
        <v>1525</v>
      </c>
      <c r="I553">
        <v>1536</v>
      </c>
      <c r="K553" s="2" t="s">
        <v>2042</v>
      </c>
      <c r="L553" s="2" t="s">
        <v>2043</v>
      </c>
      <c r="M553" t="s">
        <v>4847</v>
      </c>
      <c r="N553" t="s">
        <v>2044</v>
      </c>
      <c r="O553" t="s">
        <v>26</v>
      </c>
      <c r="P553" t="s">
        <v>27</v>
      </c>
      <c r="Q553" t="s">
        <v>43</v>
      </c>
      <c r="R553" t="s">
        <v>28</v>
      </c>
      <c r="S553" t="s">
        <v>43</v>
      </c>
      <c r="T553" t="s">
        <v>43</v>
      </c>
      <c r="U553" t="s">
        <v>28</v>
      </c>
      <c r="V553" t="s">
        <v>28</v>
      </c>
      <c r="W553" s="16" t="s">
        <v>5629</v>
      </c>
      <c r="X553" t="s">
        <v>5624</v>
      </c>
    </row>
    <row r="554" spans="1:50" x14ac:dyDescent="0.55000000000000004">
      <c r="A554" t="s">
        <v>2045</v>
      </c>
      <c r="B554" t="s">
        <v>2046</v>
      </c>
      <c r="C554">
        <v>2015</v>
      </c>
      <c r="D554" t="s">
        <v>68</v>
      </c>
      <c r="E554">
        <v>205</v>
      </c>
      <c r="F554">
        <v>4</v>
      </c>
      <c r="H554">
        <v>1552</v>
      </c>
      <c r="I554">
        <v>1564</v>
      </c>
      <c r="K554" s="2" t="s">
        <v>2047</v>
      </c>
      <c r="L554" s="2" t="s">
        <v>2048</v>
      </c>
      <c r="M554" t="s">
        <v>4848</v>
      </c>
      <c r="N554" t="s">
        <v>2049</v>
      </c>
      <c r="O554" t="s">
        <v>26</v>
      </c>
      <c r="P554" t="s">
        <v>27</v>
      </c>
      <c r="Q554" t="s">
        <v>28</v>
      </c>
      <c r="R554" t="s">
        <v>28</v>
      </c>
      <c r="S554" t="s">
        <v>28</v>
      </c>
      <c r="T554" t="s">
        <v>28</v>
      </c>
      <c r="U554" t="s">
        <v>28</v>
      </c>
      <c r="V554" t="s">
        <v>28</v>
      </c>
      <c r="W554" s="16" t="s">
        <v>5629</v>
      </c>
      <c r="X554" t="s">
        <v>5624</v>
      </c>
    </row>
    <row r="555" spans="1:50" x14ac:dyDescent="0.55000000000000004">
      <c r="A555" t="s">
        <v>2050</v>
      </c>
      <c r="B555" t="s">
        <v>2051</v>
      </c>
      <c r="C555">
        <v>2015</v>
      </c>
      <c r="D555" t="s">
        <v>68</v>
      </c>
      <c r="E555">
        <v>205</v>
      </c>
      <c r="F555">
        <v>4</v>
      </c>
      <c r="H555">
        <v>1537</v>
      </c>
      <c r="I555">
        <v>1551</v>
      </c>
      <c r="K555" s="2" t="s">
        <v>2052</v>
      </c>
      <c r="L555" s="2" t="s">
        <v>2053</v>
      </c>
      <c r="M555" t="s">
        <v>4849</v>
      </c>
      <c r="N555" t="s">
        <v>2054</v>
      </c>
      <c r="O555" t="s">
        <v>26</v>
      </c>
      <c r="P555" t="s">
        <v>27</v>
      </c>
      <c r="Q555" t="s">
        <v>43</v>
      </c>
      <c r="R555" t="s">
        <v>28</v>
      </c>
      <c r="S555" t="s">
        <v>43</v>
      </c>
      <c r="T555" t="s">
        <v>28</v>
      </c>
      <c r="U555" t="s">
        <v>28</v>
      </c>
      <c r="V555" t="s">
        <v>43</v>
      </c>
      <c r="W555" s="16" t="s">
        <v>5629</v>
      </c>
      <c r="X555" t="s">
        <v>5624</v>
      </c>
    </row>
    <row r="556" spans="1:50" x14ac:dyDescent="0.55000000000000004">
      <c r="A556" t="s">
        <v>2055</v>
      </c>
      <c r="B556" t="s">
        <v>2056</v>
      </c>
      <c r="C556">
        <v>2015</v>
      </c>
      <c r="D556" t="s">
        <v>68</v>
      </c>
      <c r="E556">
        <v>205</v>
      </c>
      <c r="F556">
        <v>4</v>
      </c>
      <c r="H556">
        <v>1378</v>
      </c>
      <c r="I556">
        <v>1380</v>
      </c>
      <c r="K556" s="2" t="s">
        <v>2057</v>
      </c>
      <c r="L556" s="2" t="s">
        <v>2058</v>
      </c>
      <c r="M556" t="s">
        <v>932</v>
      </c>
      <c r="N556" t="s">
        <v>2059</v>
      </c>
      <c r="O556" t="s">
        <v>170</v>
      </c>
      <c r="P556" t="s">
        <v>27</v>
      </c>
      <c r="Q556" t="s">
        <v>28</v>
      </c>
      <c r="R556" t="s">
        <v>28</v>
      </c>
      <c r="S556" t="s">
        <v>28</v>
      </c>
      <c r="T556" t="s">
        <v>28</v>
      </c>
      <c r="U556" t="s">
        <v>28</v>
      </c>
      <c r="V556" t="s">
        <v>28</v>
      </c>
      <c r="W556" s="16" t="s">
        <v>5629</v>
      </c>
      <c r="X556" t="s">
        <v>5624</v>
      </c>
    </row>
    <row r="557" spans="1:50" x14ac:dyDescent="0.55000000000000004">
      <c r="A557" t="s">
        <v>4850</v>
      </c>
      <c r="B557" t="s">
        <v>2060</v>
      </c>
      <c r="C557">
        <v>2015</v>
      </c>
      <c r="D557" t="s">
        <v>53</v>
      </c>
      <c r="E557">
        <v>82</v>
      </c>
      <c r="H557">
        <v>52</v>
      </c>
      <c r="I557">
        <v>61</v>
      </c>
      <c r="K557" s="2" t="s">
        <v>2061</v>
      </c>
      <c r="L557" s="2" t="s">
        <v>2062</v>
      </c>
      <c r="M557" t="s">
        <v>4851</v>
      </c>
      <c r="N557" t="s">
        <v>4852</v>
      </c>
      <c r="O557" t="s">
        <v>26</v>
      </c>
      <c r="P557" t="s">
        <v>27</v>
      </c>
      <c r="Q557" t="s">
        <v>28</v>
      </c>
      <c r="R557" t="s">
        <v>28</v>
      </c>
      <c r="S557" t="s">
        <v>28</v>
      </c>
      <c r="T557" t="s">
        <v>28</v>
      </c>
      <c r="U557" t="s">
        <v>28</v>
      </c>
      <c r="V557" t="s">
        <v>28</v>
      </c>
      <c r="W557" s="16" t="s">
        <v>5629</v>
      </c>
      <c r="X557" t="s">
        <v>5624</v>
      </c>
    </row>
    <row r="558" spans="1:50" x14ac:dyDescent="0.55000000000000004">
      <c r="A558" t="s">
        <v>2063</v>
      </c>
      <c r="B558" t="s">
        <v>2064</v>
      </c>
      <c r="C558">
        <v>2015</v>
      </c>
      <c r="D558" t="s">
        <v>532</v>
      </c>
      <c r="E558">
        <v>115</v>
      </c>
      <c r="F558">
        <v>2</v>
      </c>
      <c r="H558">
        <v>251</v>
      </c>
      <c r="I558">
        <v>261</v>
      </c>
      <c r="K558" s="2" t="s">
        <v>2065</v>
      </c>
      <c r="L558" s="2" t="s">
        <v>2066</v>
      </c>
      <c r="M558" t="s">
        <v>4853</v>
      </c>
      <c r="N558" t="s">
        <v>2067</v>
      </c>
      <c r="O558" t="s">
        <v>26</v>
      </c>
      <c r="P558" t="s">
        <v>27</v>
      </c>
      <c r="Q558" t="s">
        <v>28</v>
      </c>
      <c r="R558" t="s">
        <v>28</v>
      </c>
      <c r="S558" t="s">
        <v>28</v>
      </c>
      <c r="T558" t="s">
        <v>28</v>
      </c>
      <c r="U558" t="s">
        <v>28</v>
      </c>
      <c r="V558" t="s">
        <v>28</v>
      </c>
      <c r="W558" s="16" t="s">
        <v>5629</v>
      </c>
      <c r="X558" t="s">
        <v>5624</v>
      </c>
    </row>
    <row r="559" spans="1:50" x14ac:dyDescent="0.55000000000000004">
      <c r="A559" t="s">
        <v>2068</v>
      </c>
      <c r="B559" t="s">
        <v>2069</v>
      </c>
      <c r="C559">
        <v>2015</v>
      </c>
      <c r="D559" t="s">
        <v>68</v>
      </c>
      <c r="E559">
        <v>205</v>
      </c>
      <c r="F559">
        <v>3</v>
      </c>
      <c r="H559">
        <v>1308</v>
      </c>
      <c r="I559">
        <v>1319</v>
      </c>
      <c r="K559" s="2" t="s">
        <v>2070</v>
      </c>
      <c r="L559" s="2" t="s">
        <v>2071</v>
      </c>
      <c r="M559" t="s">
        <v>4854</v>
      </c>
      <c r="N559" t="s">
        <v>2072</v>
      </c>
      <c r="O559" t="s">
        <v>26</v>
      </c>
      <c r="P559" t="s">
        <v>27</v>
      </c>
      <c r="Q559" t="s">
        <v>28</v>
      </c>
      <c r="R559" t="s">
        <v>28</v>
      </c>
      <c r="S559" t="s">
        <v>28</v>
      </c>
      <c r="T559" t="s">
        <v>28</v>
      </c>
      <c r="U559" t="s">
        <v>28</v>
      </c>
      <c r="V559" t="s">
        <v>28</v>
      </c>
      <c r="W559" s="16" t="s">
        <v>5629</v>
      </c>
      <c r="X559" t="s">
        <v>5624</v>
      </c>
    </row>
    <row r="560" spans="1:50" x14ac:dyDescent="0.55000000000000004">
      <c r="A560" t="s">
        <v>2073</v>
      </c>
      <c r="B560" t="s">
        <v>2074</v>
      </c>
      <c r="C560">
        <v>2015</v>
      </c>
      <c r="D560" t="s">
        <v>2075</v>
      </c>
      <c r="H560">
        <v>76</v>
      </c>
      <c r="I560">
        <v>91</v>
      </c>
      <c r="K560" s="2" t="s">
        <v>2076</v>
      </c>
      <c r="L560" s="2" t="s">
        <v>2077</v>
      </c>
      <c r="M560" t="s">
        <v>4855</v>
      </c>
      <c r="N560" t="s">
        <v>2078</v>
      </c>
      <c r="O560" t="s">
        <v>198</v>
      </c>
      <c r="P560" t="s">
        <v>27</v>
      </c>
      <c r="Q560" t="s">
        <v>28</v>
      </c>
      <c r="R560" t="s">
        <v>28</v>
      </c>
      <c r="S560" t="s">
        <v>28</v>
      </c>
      <c r="T560" t="s">
        <v>28</v>
      </c>
      <c r="U560" t="s">
        <v>28</v>
      </c>
      <c r="V560" t="s">
        <v>28</v>
      </c>
      <c r="W560" s="16" t="s">
        <v>5629</v>
      </c>
      <c r="X560" t="s">
        <v>5624</v>
      </c>
    </row>
    <row r="561" spans="1:24" x14ac:dyDescent="0.55000000000000004">
      <c r="A561" t="s">
        <v>2079</v>
      </c>
      <c r="B561" t="s">
        <v>2080</v>
      </c>
      <c r="C561">
        <v>2015</v>
      </c>
      <c r="D561" t="s">
        <v>1368</v>
      </c>
      <c r="E561">
        <v>81</v>
      </c>
      <c r="F561">
        <v>17</v>
      </c>
      <c r="H561">
        <v>5957</v>
      </c>
      <c r="I561">
        <v>5967</v>
      </c>
      <c r="K561" s="2" t="s">
        <v>2081</v>
      </c>
      <c r="L561" s="2" t="s">
        <v>2082</v>
      </c>
      <c r="M561" t="s">
        <v>4856</v>
      </c>
      <c r="O561" t="s">
        <v>26</v>
      </c>
      <c r="P561" t="s">
        <v>27</v>
      </c>
      <c r="Q561" t="s">
        <v>28</v>
      </c>
      <c r="R561" t="s">
        <v>28</v>
      </c>
      <c r="S561" t="s">
        <v>28</v>
      </c>
      <c r="T561" t="s">
        <v>28</v>
      </c>
      <c r="U561" t="s">
        <v>28</v>
      </c>
      <c r="V561" t="s">
        <v>28</v>
      </c>
      <c r="W561" s="16" t="s">
        <v>5629</v>
      </c>
      <c r="X561" t="s">
        <v>5624</v>
      </c>
    </row>
    <row r="562" spans="1:24" x14ac:dyDescent="0.55000000000000004">
      <c r="A562" t="s">
        <v>2083</v>
      </c>
      <c r="B562" t="s">
        <v>2084</v>
      </c>
      <c r="C562">
        <v>2015</v>
      </c>
      <c r="D562" t="s">
        <v>365</v>
      </c>
      <c r="E562">
        <v>6</v>
      </c>
      <c r="F562" t="s">
        <v>1210</v>
      </c>
      <c r="G562">
        <v>268</v>
      </c>
      <c r="K562" s="2" t="s">
        <v>2085</v>
      </c>
      <c r="L562" s="2" t="s">
        <v>2086</v>
      </c>
      <c r="M562" t="s">
        <v>4857</v>
      </c>
      <c r="N562" t="s">
        <v>2087</v>
      </c>
      <c r="O562" t="s">
        <v>26</v>
      </c>
      <c r="P562" t="s">
        <v>27</v>
      </c>
      <c r="Q562" t="s">
        <v>28</v>
      </c>
      <c r="R562" t="s">
        <v>28</v>
      </c>
      <c r="S562" t="s">
        <v>28</v>
      </c>
      <c r="T562" t="s">
        <v>28</v>
      </c>
      <c r="U562" t="s">
        <v>28</v>
      </c>
      <c r="V562" t="s">
        <v>28</v>
      </c>
      <c r="W562" s="16" t="s">
        <v>5629</v>
      </c>
      <c r="X562" t="s">
        <v>5624</v>
      </c>
    </row>
    <row r="563" spans="1:24" x14ac:dyDescent="0.55000000000000004">
      <c r="A563" t="s">
        <v>2088</v>
      </c>
      <c r="B563" t="s">
        <v>2089</v>
      </c>
      <c r="C563">
        <v>2015</v>
      </c>
      <c r="D563" t="s">
        <v>31</v>
      </c>
      <c r="E563">
        <v>109</v>
      </c>
      <c r="H563">
        <v>103</v>
      </c>
      <c r="I563">
        <v>112</v>
      </c>
      <c r="K563" s="2" t="s">
        <v>2090</v>
      </c>
      <c r="L563" s="2" t="s">
        <v>2091</v>
      </c>
      <c r="M563" t="s">
        <v>4858</v>
      </c>
      <c r="N563" t="s">
        <v>2092</v>
      </c>
      <c r="O563" t="s">
        <v>26</v>
      </c>
      <c r="P563" t="s">
        <v>27</v>
      </c>
      <c r="Q563" t="s">
        <v>28</v>
      </c>
      <c r="R563" t="s">
        <v>28</v>
      </c>
      <c r="S563" t="s">
        <v>28</v>
      </c>
      <c r="T563" t="s">
        <v>28</v>
      </c>
      <c r="U563" t="s">
        <v>28</v>
      </c>
      <c r="V563" t="s">
        <v>28</v>
      </c>
      <c r="W563" s="16" t="s">
        <v>5629</v>
      </c>
      <c r="X563" t="s">
        <v>5624</v>
      </c>
    </row>
    <row r="564" spans="1:24" x14ac:dyDescent="0.55000000000000004">
      <c r="A564" t="s">
        <v>2093</v>
      </c>
      <c r="B564" t="s">
        <v>2094</v>
      </c>
      <c r="C564">
        <v>2015</v>
      </c>
      <c r="D564" t="s">
        <v>923</v>
      </c>
      <c r="E564">
        <v>177</v>
      </c>
      <c r="F564">
        <v>1</v>
      </c>
      <c r="H564">
        <v>203</v>
      </c>
      <c r="I564">
        <v>211</v>
      </c>
      <c r="K564" s="2" t="s">
        <v>2095</v>
      </c>
      <c r="L564" s="2" t="s">
        <v>2096</v>
      </c>
      <c r="M564" t="s">
        <v>4859</v>
      </c>
      <c r="N564" t="s">
        <v>2097</v>
      </c>
      <c r="O564" t="s">
        <v>26</v>
      </c>
      <c r="P564" t="s">
        <v>27</v>
      </c>
      <c r="Q564" t="s">
        <v>28</v>
      </c>
      <c r="R564" t="s">
        <v>28</v>
      </c>
      <c r="S564" t="s">
        <v>28</v>
      </c>
      <c r="T564" t="s">
        <v>28</v>
      </c>
      <c r="U564" t="s">
        <v>28</v>
      </c>
      <c r="V564" t="s">
        <v>28</v>
      </c>
      <c r="W564" s="16" t="s">
        <v>5629</v>
      </c>
      <c r="X564" t="s">
        <v>5624</v>
      </c>
    </row>
    <row r="565" spans="1:24" x14ac:dyDescent="0.55000000000000004">
      <c r="A565" t="s">
        <v>2098</v>
      </c>
      <c r="B565" t="s">
        <v>2099</v>
      </c>
      <c r="C565">
        <v>2015</v>
      </c>
      <c r="D565" t="s">
        <v>53</v>
      </c>
      <c r="E565">
        <v>80</v>
      </c>
      <c r="H565">
        <v>146</v>
      </c>
      <c r="I565">
        <v>155</v>
      </c>
      <c r="K565" s="2" t="s">
        <v>2100</v>
      </c>
      <c r="L565" s="2" t="s">
        <v>2101</v>
      </c>
      <c r="M565" t="s">
        <v>4860</v>
      </c>
      <c r="N565" t="s">
        <v>2102</v>
      </c>
      <c r="O565" t="s">
        <v>26</v>
      </c>
      <c r="P565" t="s">
        <v>27</v>
      </c>
      <c r="Q565" t="s">
        <v>28</v>
      </c>
      <c r="R565" t="s">
        <v>28</v>
      </c>
      <c r="S565" t="s">
        <v>28</v>
      </c>
      <c r="T565" t="s">
        <v>28</v>
      </c>
      <c r="U565" t="s">
        <v>28</v>
      </c>
      <c r="V565" t="s">
        <v>28</v>
      </c>
      <c r="W565" s="16" t="s">
        <v>5629</v>
      </c>
      <c r="X565" t="s">
        <v>5624</v>
      </c>
    </row>
    <row r="566" spans="1:24" x14ac:dyDescent="0.55000000000000004">
      <c r="A566" t="s">
        <v>2103</v>
      </c>
      <c r="B566" t="s">
        <v>2104</v>
      </c>
      <c r="C566">
        <v>2014</v>
      </c>
      <c r="D566" t="s">
        <v>513</v>
      </c>
      <c r="E566">
        <v>24</v>
      </c>
      <c r="F566">
        <v>8</v>
      </c>
      <c r="H566">
        <v>645</v>
      </c>
      <c r="I566">
        <v>650</v>
      </c>
      <c r="K566" s="2" t="s">
        <v>2105</v>
      </c>
      <c r="L566" s="2" t="s">
        <v>2106</v>
      </c>
      <c r="M566" t="s">
        <v>4861</v>
      </c>
      <c r="N566" t="s">
        <v>2107</v>
      </c>
      <c r="O566" t="s">
        <v>26</v>
      </c>
      <c r="P566" t="s">
        <v>27</v>
      </c>
      <c r="Q566" t="s">
        <v>28</v>
      </c>
      <c r="R566" t="s">
        <v>28</v>
      </c>
      <c r="S566" t="s">
        <v>28</v>
      </c>
      <c r="T566" t="s">
        <v>28</v>
      </c>
      <c r="U566" t="s">
        <v>28</v>
      </c>
      <c r="V566" t="s">
        <v>28</v>
      </c>
      <c r="W566" s="16" t="s">
        <v>5629</v>
      </c>
      <c r="X566" t="s">
        <v>5624</v>
      </c>
    </row>
    <row r="567" spans="1:24" x14ac:dyDescent="0.55000000000000004">
      <c r="A567" t="s">
        <v>2108</v>
      </c>
      <c r="B567" t="s">
        <v>2109</v>
      </c>
      <c r="C567">
        <v>2014</v>
      </c>
      <c r="D567" t="s">
        <v>1362</v>
      </c>
      <c r="E567">
        <v>195</v>
      </c>
      <c r="H567">
        <v>29</v>
      </c>
      <c r="I567">
        <v>35</v>
      </c>
      <c r="K567" s="2" t="s">
        <v>2110</v>
      </c>
      <c r="L567" s="2" t="s">
        <v>2111</v>
      </c>
      <c r="M567" t="s">
        <v>4862</v>
      </c>
      <c r="N567" t="s">
        <v>2112</v>
      </c>
      <c r="O567" t="s">
        <v>26</v>
      </c>
      <c r="P567" t="s">
        <v>27</v>
      </c>
      <c r="Q567" t="s">
        <v>28</v>
      </c>
      <c r="R567" t="s">
        <v>28</v>
      </c>
      <c r="S567" t="s">
        <v>28</v>
      </c>
      <c r="T567" t="s">
        <v>28</v>
      </c>
      <c r="U567" t="s">
        <v>28</v>
      </c>
      <c r="V567" t="s">
        <v>28</v>
      </c>
      <c r="W567" s="16" t="s">
        <v>5629</v>
      </c>
      <c r="X567" t="s">
        <v>5624</v>
      </c>
    </row>
    <row r="568" spans="1:24" x14ac:dyDescent="0.55000000000000004">
      <c r="A568" t="s">
        <v>2113</v>
      </c>
      <c r="B568" t="s">
        <v>2114</v>
      </c>
      <c r="C568">
        <v>2014</v>
      </c>
      <c r="D568" t="s">
        <v>38</v>
      </c>
      <c r="E568">
        <v>493</v>
      </c>
      <c r="H568">
        <v>828</v>
      </c>
      <c r="I568">
        <v>833</v>
      </c>
      <c r="K568" s="2" t="s">
        <v>2115</v>
      </c>
      <c r="L568" s="2" t="s">
        <v>2116</v>
      </c>
      <c r="M568" t="s">
        <v>4863</v>
      </c>
      <c r="N568" t="s">
        <v>2117</v>
      </c>
      <c r="O568" t="s">
        <v>26</v>
      </c>
      <c r="P568" t="s">
        <v>27</v>
      </c>
      <c r="Q568" t="s">
        <v>28</v>
      </c>
      <c r="R568" t="s">
        <v>28</v>
      </c>
      <c r="S568" t="s">
        <v>28</v>
      </c>
      <c r="T568" t="s">
        <v>28</v>
      </c>
      <c r="U568" t="s">
        <v>28</v>
      </c>
      <c r="V568" t="s">
        <v>28</v>
      </c>
      <c r="W568" s="16" t="s">
        <v>5629</v>
      </c>
      <c r="X568" t="s">
        <v>5624</v>
      </c>
    </row>
    <row r="569" spans="1:24" x14ac:dyDescent="0.55000000000000004">
      <c r="A569" t="s">
        <v>2118</v>
      </c>
      <c r="B569" t="s">
        <v>2119</v>
      </c>
      <c r="C569">
        <v>2014</v>
      </c>
      <c r="D569" t="s">
        <v>186</v>
      </c>
      <c r="E569">
        <v>376</v>
      </c>
      <c r="F569">
        <v>1</v>
      </c>
      <c r="H569">
        <v>61</v>
      </c>
      <c r="I569">
        <v>73</v>
      </c>
      <c r="K569" s="2" t="s">
        <v>2120</v>
      </c>
      <c r="L569" s="2" t="s">
        <v>2121</v>
      </c>
      <c r="M569" t="s">
        <v>4864</v>
      </c>
      <c r="N569" t="s">
        <v>2122</v>
      </c>
      <c r="O569" t="s">
        <v>26</v>
      </c>
      <c r="P569" t="s">
        <v>27</v>
      </c>
      <c r="Q569" t="s">
        <v>28</v>
      </c>
      <c r="R569" t="s">
        <v>28</v>
      </c>
      <c r="S569" t="s">
        <v>28</v>
      </c>
      <c r="T569" t="s">
        <v>28</v>
      </c>
      <c r="U569" t="s">
        <v>28</v>
      </c>
      <c r="V569" t="s">
        <v>28</v>
      </c>
      <c r="W569" s="16" t="s">
        <v>5629</v>
      </c>
      <c r="X569" t="s">
        <v>5624</v>
      </c>
    </row>
    <row r="570" spans="1:24" x14ac:dyDescent="0.55000000000000004">
      <c r="A570" t="s">
        <v>2123</v>
      </c>
      <c r="B570" t="s">
        <v>2124</v>
      </c>
      <c r="C570">
        <v>2014</v>
      </c>
      <c r="D570" t="s">
        <v>2125</v>
      </c>
      <c r="E570">
        <v>60</v>
      </c>
      <c r="F570">
        <v>9</v>
      </c>
      <c r="H570">
        <v>619</v>
      </c>
      <c r="I570">
        <v>624</v>
      </c>
      <c r="K570" s="2" t="s">
        <v>2126</v>
      </c>
      <c r="L570" s="2" t="s">
        <v>2127</v>
      </c>
      <c r="M570" t="s">
        <v>4865</v>
      </c>
      <c r="N570" t="s">
        <v>4866</v>
      </c>
      <c r="O570" t="s">
        <v>26</v>
      </c>
      <c r="P570" t="s">
        <v>27</v>
      </c>
      <c r="Q570" t="s">
        <v>28</v>
      </c>
      <c r="R570" t="s">
        <v>28</v>
      </c>
      <c r="S570" t="s">
        <v>28</v>
      </c>
      <c r="T570" t="s">
        <v>28</v>
      </c>
      <c r="U570" t="s">
        <v>28</v>
      </c>
      <c r="V570" t="s">
        <v>28</v>
      </c>
      <c r="W570" s="16" t="s">
        <v>5629</v>
      </c>
      <c r="X570" t="s">
        <v>5624</v>
      </c>
    </row>
    <row r="571" spans="1:24" x14ac:dyDescent="0.55000000000000004">
      <c r="A571" t="s">
        <v>2128</v>
      </c>
      <c r="B571" t="s">
        <v>2129</v>
      </c>
      <c r="C571">
        <v>2014</v>
      </c>
      <c r="D571" t="s">
        <v>624</v>
      </c>
      <c r="E571">
        <v>5</v>
      </c>
      <c r="F571" t="s">
        <v>1301</v>
      </c>
      <c r="G571">
        <v>278</v>
      </c>
      <c r="K571" s="2" t="s">
        <v>2130</v>
      </c>
      <c r="L571" s="2" t="s">
        <v>2131</v>
      </c>
      <c r="M571" t="s">
        <v>932</v>
      </c>
      <c r="N571" t="s">
        <v>2132</v>
      </c>
      <c r="O571" t="s">
        <v>1355</v>
      </c>
      <c r="P571" t="s">
        <v>27</v>
      </c>
      <c r="Q571" t="s">
        <v>28</v>
      </c>
      <c r="R571" t="s">
        <v>28</v>
      </c>
      <c r="S571" t="s">
        <v>28</v>
      </c>
      <c r="T571" t="s">
        <v>28</v>
      </c>
      <c r="U571" t="s">
        <v>28</v>
      </c>
      <c r="V571" t="s">
        <v>28</v>
      </c>
      <c r="W571" s="16" t="s">
        <v>5629</v>
      </c>
      <c r="X571" t="s">
        <v>5624</v>
      </c>
    </row>
    <row r="572" spans="1:24" x14ac:dyDescent="0.55000000000000004">
      <c r="A572" t="s">
        <v>2133</v>
      </c>
      <c r="B572" t="s">
        <v>2134</v>
      </c>
      <c r="C572">
        <v>2014</v>
      </c>
      <c r="D572" t="s">
        <v>781</v>
      </c>
      <c r="E572">
        <v>77</v>
      </c>
      <c r="H572">
        <v>1</v>
      </c>
      <c r="I572">
        <v>8</v>
      </c>
      <c r="K572" s="2" t="s">
        <v>2135</v>
      </c>
      <c r="L572" s="2" t="s">
        <v>2136</v>
      </c>
      <c r="M572" t="s">
        <v>4867</v>
      </c>
      <c r="N572" t="s">
        <v>2137</v>
      </c>
      <c r="O572" t="s">
        <v>26</v>
      </c>
      <c r="P572" t="s">
        <v>27</v>
      </c>
      <c r="Q572" t="s">
        <v>28</v>
      </c>
      <c r="R572" t="s">
        <v>28</v>
      </c>
      <c r="S572" t="s">
        <v>28</v>
      </c>
      <c r="T572" t="s">
        <v>28</v>
      </c>
      <c r="U572" t="s">
        <v>28</v>
      </c>
      <c r="V572" t="s">
        <v>28</v>
      </c>
      <c r="W572" s="16" t="s">
        <v>5629</v>
      </c>
      <c r="X572" t="s">
        <v>5624</v>
      </c>
    </row>
    <row r="573" spans="1:24" x14ac:dyDescent="0.55000000000000004">
      <c r="A573" t="s">
        <v>2143</v>
      </c>
      <c r="B573" t="s">
        <v>2144</v>
      </c>
      <c r="C573">
        <v>2014</v>
      </c>
      <c r="D573" t="s">
        <v>2145</v>
      </c>
      <c r="E573">
        <v>92</v>
      </c>
      <c r="F573">
        <v>2</v>
      </c>
      <c r="H573">
        <v>129</v>
      </c>
      <c r="I573">
        <v>133</v>
      </c>
      <c r="K573" s="2" t="s">
        <v>2146</v>
      </c>
      <c r="L573" s="2" t="s">
        <v>2147</v>
      </c>
      <c r="M573" t="s">
        <v>2148</v>
      </c>
      <c r="N573" t="s">
        <v>2149</v>
      </c>
      <c r="O573" t="s">
        <v>143</v>
      </c>
      <c r="P573" t="s">
        <v>27</v>
      </c>
      <c r="Q573" t="s">
        <v>43</v>
      </c>
      <c r="R573" t="s">
        <v>28</v>
      </c>
      <c r="S573" t="s">
        <v>43</v>
      </c>
      <c r="T573" t="s">
        <v>28</v>
      </c>
      <c r="U573" t="s">
        <v>28</v>
      </c>
      <c r="V573" t="s">
        <v>28</v>
      </c>
      <c r="W573" s="16" t="s">
        <v>5629</v>
      </c>
      <c r="X573" t="s">
        <v>5624</v>
      </c>
    </row>
    <row r="574" spans="1:24" x14ac:dyDescent="0.55000000000000004">
      <c r="A574" t="s">
        <v>2150</v>
      </c>
      <c r="B574" t="s">
        <v>2151</v>
      </c>
      <c r="C574">
        <v>2014</v>
      </c>
      <c r="D574" t="s">
        <v>2145</v>
      </c>
      <c r="E574">
        <v>92</v>
      </c>
      <c r="F574">
        <v>2</v>
      </c>
      <c r="H574">
        <v>173</v>
      </c>
      <c r="I574">
        <v>178</v>
      </c>
      <c r="K574" s="2" t="s">
        <v>2152</v>
      </c>
      <c r="L574" s="2" t="s">
        <v>2153</v>
      </c>
      <c r="M574" t="s">
        <v>4869</v>
      </c>
      <c r="N574" t="s">
        <v>2154</v>
      </c>
      <c r="O574" t="s">
        <v>26</v>
      </c>
      <c r="P574" t="s">
        <v>27</v>
      </c>
      <c r="Q574" t="s">
        <v>28</v>
      </c>
      <c r="R574" t="s">
        <v>28</v>
      </c>
      <c r="S574" t="s">
        <v>28</v>
      </c>
      <c r="T574" t="s">
        <v>28</v>
      </c>
      <c r="U574" t="s">
        <v>28</v>
      </c>
      <c r="V574" t="s">
        <v>28</v>
      </c>
      <c r="W574" s="16" t="s">
        <v>5629</v>
      </c>
      <c r="X574" t="s">
        <v>5624</v>
      </c>
    </row>
    <row r="575" spans="1:24" x14ac:dyDescent="0.55000000000000004">
      <c r="A575" t="s">
        <v>2155</v>
      </c>
      <c r="B575" t="s">
        <v>2156</v>
      </c>
      <c r="C575">
        <v>2014</v>
      </c>
      <c r="D575" t="s">
        <v>131</v>
      </c>
      <c r="E575">
        <v>9</v>
      </c>
      <c r="F575">
        <v>2</v>
      </c>
      <c r="G575" t="s">
        <v>2157</v>
      </c>
      <c r="K575" s="2" t="s">
        <v>2158</v>
      </c>
      <c r="L575" s="2" t="s">
        <v>2159</v>
      </c>
      <c r="M575" t="s">
        <v>4870</v>
      </c>
      <c r="O575" t="s">
        <v>26</v>
      </c>
      <c r="P575" t="s">
        <v>27</v>
      </c>
      <c r="Q575" t="s">
        <v>28</v>
      </c>
      <c r="R575" t="s">
        <v>28</v>
      </c>
      <c r="S575" t="s">
        <v>28</v>
      </c>
      <c r="T575" t="s">
        <v>28</v>
      </c>
      <c r="U575" t="s">
        <v>28</v>
      </c>
      <c r="V575" t="s">
        <v>28</v>
      </c>
      <c r="W575" s="16" t="s">
        <v>5629</v>
      </c>
      <c r="X575" t="s">
        <v>5624</v>
      </c>
    </row>
    <row r="576" spans="1:24" x14ac:dyDescent="0.55000000000000004">
      <c r="A576" t="s">
        <v>2160</v>
      </c>
      <c r="B576" t="s">
        <v>2161</v>
      </c>
      <c r="C576">
        <v>2014</v>
      </c>
      <c r="D576" t="s">
        <v>131</v>
      </c>
      <c r="E576">
        <v>9</v>
      </c>
      <c r="F576">
        <v>1</v>
      </c>
      <c r="G576" t="s">
        <v>2162</v>
      </c>
      <c r="K576" s="2" t="s">
        <v>2163</v>
      </c>
      <c r="L576" s="2" t="s">
        <v>2164</v>
      </c>
      <c r="M576" t="s">
        <v>4871</v>
      </c>
      <c r="O576" t="s">
        <v>26</v>
      </c>
      <c r="P576" t="s">
        <v>27</v>
      </c>
      <c r="Q576" t="s">
        <v>28</v>
      </c>
      <c r="R576" t="s">
        <v>28</v>
      </c>
      <c r="S576" t="s">
        <v>28</v>
      </c>
      <c r="T576" t="s">
        <v>28</v>
      </c>
      <c r="U576" t="s">
        <v>28</v>
      </c>
      <c r="V576" t="s">
        <v>28</v>
      </c>
      <c r="W576" s="16" t="s">
        <v>5629</v>
      </c>
      <c r="X576" t="s">
        <v>5624</v>
      </c>
    </row>
    <row r="577" spans="1:52" x14ac:dyDescent="0.55000000000000004">
      <c r="A577" t="s">
        <v>2170</v>
      </c>
      <c r="B577" t="s">
        <v>2171</v>
      </c>
      <c r="C577">
        <v>2014</v>
      </c>
      <c r="D577" t="s">
        <v>2172</v>
      </c>
      <c r="H577">
        <v>205</v>
      </c>
      <c r="I577">
        <v>246</v>
      </c>
      <c r="K577" s="2" t="s">
        <v>2173</v>
      </c>
      <c r="L577" s="2" t="s">
        <v>2174</v>
      </c>
      <c r="M577" t="s">
        <v>4873</v>
      </c>
      <c r="O577" t="s">
        <v>198</v>
      </c>
      <c r="P577" t="s">
        <v>27</v>
      </c>
      <c r="Q577" t="s">
        <v>28</v>
      </c>
      <c r="R577" t="s">
        <v>28</v>
      </c>
      <c r="S577" t="s">
        <v>28</v>
      </c>
      <c r="T577" t="s">
        <v>28</v>
      </c>
      <c r="U577" t="s">
        <v>28</v>
      </c>
      <c r="V577" t="s">
        <v>28</v>
      </c>
      <c r="W577" s="16" t="s">
        <v>5629</v>
      </c>
      <c r="X577" t="s">
        <v>5624</v>
      </c>
    </row>
    <row r="578" spans="1:52" x14ac:dyDescent="0.55000000000000004">
      <c r="A578" t="s">
        <v>2175</v>
      </c>
      <c r="B578" t="s">
        <v>2176</v>
      </c>
      <c r="C578">
        <v>2014</v>
      </c>
      <c r="D578" t="s">
        <v>1085</v>
      </c>
      <c r="E578">
        <v>57</v>
      </c>
      <c r="F578" s="4">
        <v>44657</v>
      </c>
      <c r="H578">
        <v>197</v>
      </c>
      <c r="I578">
        <v>203</v>
      </c>
      <c r="K578" s="2" t="s">
        <v>2177</v>
      </c>
      <c r="L578" s="2" t="s">
        <v>2178</v>
      </c>
      <c r="M578" t="s">
        <v>4874</v>
      </c>
      <c r="N578" t="s">
        <v>2179</v>
      </c>
      <c r="O578" t="s">
        <v>26</v>
      </c>
      <c r="P578" t="s">
        <v>27</v>
      </c>
      <c r="Q578" t="s">
        <v>28</v>
      </c>
      <c r="R578" t="s">
        <v>28</v>
      </c>
      <c r="S578" t="s">
        <v>28</v>
      </c>
      <c r="T578" t="s">
        <v>28</v>
      </c>
      <c r="U578" t="s">
        <v>28</v>
      </c>
      <c r="V578" t="s">
        <v>28</v>
      </c>
      <c r="W578" s="16" t="s">
        <v>5629</v>
      </c>
      <c r="X578" t="s">
        <v>5624</v>
      </c>
    </row>
    <row r="579" spans="1:52" x14ac:dyDescent="0.55000000000000004">
      <c r="A579" t="s">
        <v>2180</v>
      </c>
      <c r="B579" t="s">
        <v>2181</v>
      </c>
      <c r="C579">
        <v>2014</v>
      </c>
      <c r="D579" t="s">
        <v>2182</v>
      </c>
      <c r="E579">
        <v>25</v>
      </c>
      <c r="F579">
        <v>5</v>
      </c>
      <c r="H579">
        <v>1117</v>
      </c>
      <c r="I579">
        <v>1125</v>
      </c>
      <c r="K579" s="2" t="s">
        <v>2183</v>
      </c>
      <c r="L579" s="2" t="s">
        <v>2184</v>
      </c>
      <c r="M579" t="s">
        <v>4875</v>
      </c>
      <c r="N579" t="s">
        <v>2185</v>
      </c>
      <c r="O579" t="s">
        <v>26</v>
      </c>
      <c r="P579" t="s">
        <v>27</v>
      </c>
      <c r="Q579" t="s">
        <v>28</v>
      </c>
      <c r="R579" t="s">
        <v>28</v>
      </c>
      <c r="S579" t="s">
        <v>28</v>
      </c>
      <c r="T579" t="s">
        <v>28</v>
      </c>
      <c r="U579" t="s">
        <v>28</v>
      </c>
      <c r="V579" t="s">
        <v>28</v>
      </c>
      <c r="W579" s="16" t="s">
        <v>5629</v>
      </c>
      <c r="X579" t="s">
        <v>5624</v>
      </c>
    </row>
    <row r="580" spans="1:52" x14ac:dyDescent="0.55000000000000004">
      <c r="A580" t="s">
        <v>2186</v>
      </c>
      <c r="B580" t="s">
        <v>2187</v>
      </c>
      <c r="C580">
        <v>2014</v>
      </c>
      <c r="D580" t="s">
        <v>53</v>
      </c>
      <c r="E580">
        <v>78</v>
      </c>
      <c r="H580">
        <v>109</v>
      </c>
      <c r="I580">
        <v>117</v>
      </c>
      <c r="K580" s="2" t="s">
        <v>2188</v>
      </c>
      <c r="L580" s="2" t="s">
        <v>2189</v>
      </c>
      <c r="M580" t="s">
        <v>4876</v>
      </c>
      <c r="N580" t="s">
        <v>2190</v>
      </c>
      <c r="O580" t="s">
        <v>26</v>
      </c>
      <c r="P580" t="s">
        <v>27</v>
      </c>
      <c r="Q580" t="s">
        <v>28</v>
      </c>
      <c r="R580" t="s">
        <v>28</v>
      </c>
      <c r="S580" t="s">
        <v>28</v>
      </c>
      <c r="T580" t="s">
        <v>28</v>
      </c>
      <c r="U580" t="s">
        <v>28</v>
      </c>
      <c r="V580" t="s">
        <v>28</v>
      </c>
      <c r="W580" s="16" t="s">
        <v>5629</v>
      </c>
      <c r="X580" t="s">
        <v>5624</v>
      </c>
    </row>
    <row r="581" spans="1:52" x14ac:dyDescent="0.55000000000000004">
      <c r="A581" t="s">
        <v>2191</v>
      </c>
      <c r="B581" t="s">
        <v>2192</v>
      </c>
      <c r="C581">
        <v>2014</v>
      </c>
      <c r="D581" t="s">
        <v>53</v>
      </c>
      <c r="E581">
        <v>78</v>
      </c>
      <c r="H581">
        <v>213</v>
      </c>
      <c r="I581">
        <v>221</v>
      </c>
      <c r="K581" s="2" t="s">
        <v>2193</v>
      </c>
      <c r="L581" s="2" t="s">
        <v>2194</v>
      </c>
      <c r="M581" t="s">
        <v>4877</v>
      </c>
      <c r="N581" t="s">
        <v>2195</v>
      </c>
      <c r="O581" t="s">
        <v>26</v>
      </c>
      <c r="P581" t="s">
        <v>27</v>
      </c>
      <c r="Q581" t="s">
        <v>28</v>
      </c>
      <c r="R581" t="s">
        <v>28</v>
      </c>
      <c r="S581" t="s">
        <v>28</v>
      </c>
      <c r="T581" t="s">
        <v>28</v>
      </c>
      <c r="U581" t="s">
        <v>28</v>
      </c>
      <c r="V581" t="s">
        <v>28</v>
      </c>
      <c r="W581" s="16" t="s">
        <v>5629</v>
      </c>
      <c r="X581" t="s">
        <v>5624</v>
      </c>
    </row>
    <row r="582" spans="1:52" x14ac:dyDescent="0.55000000000000004">
      <c r="A582" t="s">
        <v>2196</v>
      </c>
      <c r="B582" t="s">
        <v>2197</v>
      </c>
      <c r="C582">
        <v>2014</v>
      </c>
      <c r="D582" t="s">
        <v>1194</v>
      </c>
      <c r="E582">
        <v>12</v>
      </c>
      <c r="F582">
        <v>3</v>
      </c>
      <c r="H582">
        <v>637</v>
      </c>
      <c r="I582">
        <v>644</v>
      </c>
      <c r="K582" s="2" t="s">
        <v>2198</v>
      </c>
      <c r="L582" s="2" t="s">
        <v>2199</v>
      </c>
      <c r="M582" t="s">
        <v>4878</v>
      </c>
      <c r="N582" t="s">
        <v>2200</v>
      </c>
      <c r="O582" t="s">
        <v>26</v>
      </c>
      <c r="P582" t="s">
        <v>27</v>
      </c>
      <c r="Q582" t="s">
        <v>28</v>
      </c>
      <c r="R582" t="s">
        <v>28</v>
      </c>
      <c r="S582" t="s">
        <v>28</v>
      </c>
      <c r="T582" t="s">
        <v>28</v>
      </c>
      <c r="U582" t="s">
        <v>28</v>
      </c>
      <c r="V582" t="s">
        <v>28</v>
      </c>
      <c r="W582" s="16" t="s">
        <v>5629</v>
      </c>
      <c r="X582" t="s">
        <v>5624</v>
      </c>
    </row>
    <row r="583" spans="1:52" x14ac:dyDescent="0.55000000000000004">
      <c r="A583" t="s">
        <v>4879</v>
      </c>
      <c r="B583" t="s">
        <v>2201</v>
      </c>
      <c r="C583">
        <v>2014</v>
      </c>
      <c r="D583" t="s">
        <v>1090</v>
      </c>
      <c r="E583">
        <v>11</v>
      </c>
      <c r="H583">
        <v>80</v>
      </c>
      <c r="I583">
        <v>90</v>
      </c>
      <c r="K583" s="2" t="s">
        <v>2202</v>
      </c>
      <c r="L583" s="2" t="s">
        <v>2203</v>
      </c>
      <c r="M583" t="s">
        <v>4880</v>
      </c>
      <c r="N583" t="s">
        <v>2204</v>
      </c>
      <c r="O583" t="s">
        <v>26</v>
      </c>
      <c r="P583" t="s">
        <v>27</v>
      </c>
      <c r="Q583" t="s">
        <v>28</v>
      </c>
      <c r="R583" t="s">
        <v>28</v>
      </c>
      <c r="S583" t="s">
        <v>28</v>
      </c>
      <c r="T583" t="s">
        <v>28</v>
      </c>
      <c r="U583" t="s">
        <v>28</v>
      </c>
      <c r="V583" t="s">
        <v>28</v>
      </c>
      <c r="W583" s="16" t="s">
        <v>5629</v>
      </c>
      <c r="X583" t="s">
        <v>5624</v>
      </c>
    </row>
    <row r="584" spans="1:52" x14ac:dyDescent="0.55000000000000004">
      <c r="A584" t="s">
        <v>2205</v>
      </c>
      <c r="B584" t="s">
        <v>2206</v>
      </c>
      <c r="C584">
        <v>2014</v>
      </c>
      <c r="D584" t="s">
        <v>2207</v>
      </c>
      <c r="E584">
        <v>9</v>
      </c>
      <c r="F584">
        <v>3</v>
      </c>
      <c r="H584">
        <v>119</v>
      </c>
      <c r="I584">
        <v>126</v>
      </c>
      <c r="K584" s="2" t="s">
        <v>2208</v>
      </c>
      <c r="L584" s="2" t="s">
        <v>2209</v>
      </c>
      <c r="M584" t="s">
        <v>2210</v>
      </c>
      <c r="N584" t="s">
        <v>2211</v>
      </c>
      <c r="O584" t="s">
        <v>26</v>
      </c>
      <c r="P584" t="s">
        <v>27</v>
      </c>
      <c r="Q584" t="s">
        <v>28</v>
      </c>
      <c r="R584" t="s">
        <v>28</v>
      </c>
      <c r="S584" t="s">
        <v>28</v>
      </c>
      <c r="T584" t="s">
        <v>28</v>
      </c>
      <c r="U584" t="s">
        <v>28</v>
      </c>
      <c r="V584" t="s">
        <v>28</v>
      </c>
      <c r="W584" s="16" t="s">
        <v>5629</v>
      </c>
      <c r="X584" t="s">
        <v>5624</v>
      </c>
    </row>
    <row r="585" spans="1:52" x14ac:dyDescent="0.55000000000000004">
      <c r="A585" t="s">
        <v>2212</v>
      </c>
      <c r="B585" t="s">
        <v>2213</v>
      </c>
      <c r="C585">
        <v>2014</v>
      </c>
      <c r="D585" t="s">
        <v>2214</v>
      </c>
      <c r="E585">
        <v>94</v>
      </c>
      <c r="F585">
        <v>6</v>
      </c>
      <c r="H585">
        <v>1025</v>
      </c>
      <c r="I585">
        <v>1032</v>
      </c>
      <c r="K585" s="2" t="s">
        <v>2215</v>
      </c>
      <c r="L585" s="2" t="s">
        <v>2216</v>
      </c>
      <c r="M585" t="s">
        <v>2217</v>
      </c>
      <c r="N585" t="s">
        <v>2218</v>
      </c>
      <c r="O585" t="s">
        <v>26</v>
      </c>
      <c r="P585" t="s">
        <v>27</v>
      </c>
      <c r="Q585" t="s">
        <v>28</v>
      </c>
      <c r="R585" t="s">
        <v>28</v>
      </c>
      <c r="S585" t="s">
        <v>28</v>
      </c>
      <c r="T585" t="s">
        <v>28</v>
      </c>
      <c r="U585" t="s">
        <v>28</v>
      </c>
      <c r="V585" t="s">
        <v>28</v>
      </c>
      <c r="W585" s="16" t="s">
        <v>5629</v>
      </c>
      <c r="X585" t="s">
        <v>5624</v>
      </c>
    </row>
    <row r="586" spans="1:52" x14ac:dyDescent="0.55000000000000004">
      <c r="A586" t="s">
        <v>2219</v>
      </c>
      <c r="B586" t="s">
        <v>2220</v>
      </c>
      <c r="C586">
        <v>2014</v>
      </c>
      <c r="D586" t="s">
        <v>186</v>
      </c>
      <c r="E586">
        <v>380</v>
      </c>
      <c r="F586">
        <v>1</v>
      </c>
      <c r="H586">
        <v>101</v>
      </c>
      <c r="I586">
        <v>115</v>
      </c>
      <c r="K586" s="2" t="s">
        <v>2221</v>
      </c>
      <c r="L586" s="2" t="s">
        <v>2222</v>
      </c>
      <c r="M586" t="s">
        <v>4881</v>
      </c>
      <c r="N586" t="s">
        <v>2223</v>
      </c>
      <c r="O586" t="s">
        <v>26</v>
      </c>
      <c r="P586" t="s">
        <v>27</v>
      </c>
      <c r="Q586" t="s">
        <v>43</v>
      </c>
      <c r="R586" t="s">
        <v>28</v>
      </c>
      <c r="S586" t="s">
        <v>43</v>
      </c>
      <c r="T586" t="s">
        <v>28</v>
      </c>
      <c r="U586" t="s">
        <v>28</v>
      </c>
      <c r="V586" t="s">
        <v>28</v>
      </c>
      <c r="W586" s="16" t="s">
        <v>5629</v>
      </c>
      <c r="X586" t="s">
        <v>5624</v>
      </c>
    </row>
    <row r="587" spans="1:52" x14ac:dyDescent="0.55000000000000004">
      <c r="A587" t="s">
        <v>2228</v>
      </c>
      <c r="B587" t="s">
        <v>2229</v>
      </c>
      <c r="C587">
        <v>2014</v>
      </c>
      <c r="D587" t="s">
        <v>923</v>
      </c>
      <c r="E587">
        <v>175</v>
      </c>
      <c r="F587">
        <v>3</v>
      </c>
      <c r="H587">
        <v>875</v>
      </c>
      <c r="I587">
        <v>885</v>
      </c>
      <c r="K587" s="2" t="s">
        <v>2230</v>
      </c>
      <c r="L587" s="2" t="s">
        <v>2231</v>
      </c>
      <c r="M587" t="s">
        <v>4884</v>
      </c>
      <c r="N587" t="s">
        <v>2232</v>
      </c>
      <c r="O587" t="s">
        <v>26</v>
      </c>
      <c r="P587" t="s">
        <v>27</v>
      </c>
      <c r="Q587" t="s">
        <v>28</v>
      </c>
      <c r="R587" t="s">
        <v>28</v>
      </c>
      <c r="S587" t="s">
        <v>28</v>
      </c>
      <c r="T587" t="s">
        <v>28</v>
      </c>
      <c r="U587" t="s">
        <v>28</v>
      </c>
      <c r="V587" t="s">
        <v>28</v>
      </c>
      <c r="W587" s="16" t="s">
        <v>5629</v>
      </c>
      <c r="X587" t="s">
        <v>5624</v>
      </c>
    </row>
    <row r="588" spans="1:52" x14ac:dyDescent="0.55000000000000004">
      <c r="A588" t="s">
        <v>4890</v>
      </c>
      <c r="B588" t="s">
        <v>2238</v>
      </c>
      <c r="C588">
        <v>2014</v>
      </c>
      <c r="D588" t="s">
        <v>68</v>
      </c>
      <c r="E588">
        <v>203</v>
      </c>
      <c r="F588">
        <v>1</v>
      </c>
      <c r="H588">
        <v>245</v>
      </c>
      <c r="I588">
        <v>256</v>
      </c>
      <c r="K588" s="2" t="s">
        <v>2239</v>
      </c>
      <c r="L588" s="2" t="s">
        <v>2240</v>
      </c>
      <c r="M588" t="s">
        <v>4891</v>
      </c>
      <c r="N588" t="s">
        <v>2241</v>
      </c>
      <c r="O588" t="s">
        <v>26</v>
      </c>
      <c r="P588" t="s">
        <v>27</v>
      </c>
      <c r="Q588" t="s">
        <v>28</v>
      </c>
      <c r="R588" t="s">
        <v>28</v>
      </c>
      <c r="S588" t="s">
        <v>28</v>
      </c>
      <c r="T588" t="s">
        <v>28</v>
      </c>
      <c r="U588" t="s">
        <v>28</v>
      </c>
      <c r="V588" t="s">
        <v>28</v>
      </c>
      <c r="W588" s="16" t="s">
        <v>5629</v>
      </c>
      <c r="X588" t="s">
        <v>5624</v>
      </c>
    </row>
    <row r="589" spans="1:52" x14ac:dyDescent="0.55000000000000004">
      <c r="A589" t="s">
        <v>2242</v>
      </c>
      <c r="B589" t="s">
        <v>2243</v>
      </c>
      <c r="C589">
        <v>2014</v>
      </c>
      <c r="D589" t="s">
        <v>53</v>
      </c>
      <c r="E589">
        <v>76</v>
      </c>
      <c r="H589">
        <v>45</v>
      </c>
      <c r="I589">
        <v>52</v>
      </c>
      <c r="K589" s="2" t="s">
        <v>2244</v>
      </c>
      <c r="L589" s="2" t="s">
        <v>2245</v>
      </c>
      <c r="M589" t="s">
        <v>4892</v>
      </c>
      <c r="N589" t="s">
        <v>2246</v>
      </c>
      <c r="O589" t="s">
        <v>26</v>
      </c>
      <c r="P589" t="s">
        <v>27</v>
      </c>
      <c r="Q589" t="s">
        <v>43</v>
      </c>
      <c r="R589" t="s">
        <v>28</v>
      </c>
      <c r="S589" t="s">
        <v>43</v>
      </c>
      <c r="T589" t="s">
        <v>43</v>
      </c>
      <c r="U589" t="s">
        <v>43</v>
      </c>
      <c r="V589" t="s">
        <v>28</v>
      </c>
      <c r="W589" s="16" t="s">
        <v>5629</v>
      </c>
      <c r="X589" t="s">
        <v>5624</v>
      </c>
      <c r="AZ589" s="20" t="s">
        <v>5695</v>
      </c>
    </row>
    <row r="590" spans="1:52" x14ac:dyDescent="0.55000000000000004">
      <c r="A590" t="s">
        <v>2247</v>
      </c>
      <c r="B590" t="s">
        <v>2248</v>
      </c>
      <c r="C590">
        <v>2014</v>
      </c>
      <c r="D590" t="s">
        <v>2249</v>
      </c>
      <c r="E590">
        <v>6</v>
      </c>
      <c r="F590">
        <v>3</v>
      </c>
      <c r="H590">
        <v>293</v>
      </c>
      <c r="I590">
        <v>306</v>
      </c>
      <c r="K590" s="2" t="s">
        <v>2250</v>
      </c>
      <c r="L590" s="2" t="s">
        <v>2251</v>
      </c>
      <c r="M590" t="s">
        <v>4893</v>
      </c>
      <c r="O590" t="s">
        <v>26</v>
      </c>
      <c r="P590" t="s">
        <v>27</v>
      </c>
      <c r="Q590" t="s">
        <v>28</v>
      </c>
      <c r="R590" t="s">
        <v>28</v>
      </c>
      <c r="S590" t="s">
        <v>28</v>
      </c>
      <c r="T590" t="s">
        <v>28</v>
      </c>
      <c r="U590" t="s">
        <v>28</v>
      </c>
      <c r="V590" t="s">
        <v>28</v>
      </c>
      <c r="W590" s="16" t="s">
        <v>5629</v>
      </c>
      <c r="X590" t="s">
        <v>5624</v>
      </c>
    </row>
    <row r="591" spans="1:52" x14ac:dyDescent="0.55000000000000004">
      <c r="A591" t="s">
        <v>2252</v>
      </c>
      <c r="B591" t="s">
        <v>2253</v>
      </c>
      <c r="C591">
        <v>2014</v>
      </c>
      <c r="D591" t="s">
        <v>1036</v>
      </c>
      <c r="E591">
        <v>50</v>
      </c>
      <c r="F591">
        <v>3</v>
      </c>
      <c r="H591">
        <v>487</v>
      </c>
      <c r="I591">
        <v>498</v>
      </c>
      <c r="K591" s="2" t="s">
        <v>2254</v>
      </c>
      <c r="L591" s="2" t="s">
        <v>2255</v>
      </c>
      <c r="M591" t="s">
        <v>4894</v>
      </c>
      <c r="N591" t="s">
        <v>2256</v>
      </c>
      <c r="O591" t="s">
        <v>26</v>
      </c>
      <c r="P591" t="s">
        <v>27</v>
      </c>
      <c r="Q591" t="s">
        <v>28</v>
      </c>
      <c r="R591" t="s">
        <v>28</v>
      </c>
      <c r="S591" t="s">
        <v>28</v>
      </c>
      <c r="T591" t="s">
        <v>28</v>
      </c>
      <c r="U591" t="s">
        <v>28</v>
      </c>
      <c r="V591" t="s">
        <v>28</v>
      </c>
      <c r="W591" s="16" t="s">
        <v>5629</v>
      </c>
      <c r="X591" t="s">
        <v>5624</v>
      </c>
    </row>
    <row r="592" spans="1:52" x14ac:dyDescent="0.55000000000000004">
      <c r="A592" t="s">
        <v>2257</v>
      </c>
      <c r="B592" t="s">
        <v>2258</v>
      </c>
      <c r="C592">
        <v>2014</v>
      </c>
      <c r="D592" t="s">
        <v>68</v>
      </c>
      <c r="E592">
        <v>202</v>
      </c>
      <c r="F592">
        <v>2</v>
      </c>
      <c r="H592">
        <v>594</v>
      </c>
      <c r="I592">
        <v>605</v>
      </c>
      <c r="K592" s="2" t="s">
        <v>2259</v>
      </c>
      <c r="L592" s="2" t="s">
        <v>2260</v>
      </c>
      <c r="M592" t="s">
        <v>4895</v>
      </c>
      <c r="N592" t="s">
        <v>2261</v>
      </c>
      <c r="O592" t="s">
        <v>26</v>
      </c>
      <c r="P592" t="s">
        <v>27</v>
      </c>
      <c r="Q592" t="s">
        <v>28</v>
      </c>
      <c r="R592" t="s">
        <v>28</v>
      </c>
      <c r="S592" t="s">
        <v>28</v>
      </c>
      <c r="T592" t="s">
        <v>28</v>
      </c>
      <c r="U592" t="s">
        <v>28</v>
      </c>
      <c r="V592" t="s">
        <v>28</v>
      </c>
      <c r="W592" s="16" t="s">
        <v>5629</v>
      </c>
      <c r="X592" t="s">
        <v>5624</v>
      </c>
    </row>
    <row r="593" spans="1:24" x14ac:dyDescent="0.55000000000000004">
      <c r="A593" t="s">
        <v>4896</v>
      </c>
      <c r="B593" t="s">
        <v>2262</v>
      </c>
      <c r="C593">
        <v>2014</v>
      </c>
      <c r="D593" t="s">
        <v>68</v>
      </c>
      <c r="E593">
        <v>202</v>
      </c>
      <c r="F593">
        <v>2</v>
      </c>
      <c r="H593">
        <v>606</v>
      </c>
      <c r="I593">
        <v>615</v>
      </c>
      <c r="K593" s="2" t="s">
        <v>2263</v>
      </c>
      <c r="L593" s="2" t="s">
        <v>2264</v>
      </c>
      <c r="M593" t="s">
        <v>4897</v>
      </c>
      <c r="N593" t="s">
        <v>2265</v>
      </c>
      <c r="O593" t="s">
        <v>26</v>
      </c>
      <c r="P593" t="s">
        <v>27</v>
      </c>
      <c r="Q593" t="s">
        <v>28</v>
      </c>
      <c r="R593" t="s">
        <v>28</v>
      </c>
      <c r="S593" t="s">
        <v>28</v>
      </c>
      <c r="T593" t="s">
        <v>28</v>
      </c>
      <c r="U593" t="s">
        <v>28</v>
      </c>
      <c r="V593" t="s">
        <v>28</v>
      </c>
      <c r="W593" s="16" t="s">
        <v>5629</v>
      </c>
      <c r="X593" t="s">
        <v>5624</v>
      </c>
    </row>
    <row r="594" spans="1:24" x14ac:dyDescent="0.55000000000000004">
      <c r="A594" t="s">
        <v>4898</v>
      </c>
      <c r="B594" t="s">
        <v>2266</v>
      </c>
      <c r="C594">
        <v>2014</v>
      </c>
      <c r="D594" t="s">
        <v>413</v>
      </c>
      <c r="E594">
        <v>28</v>
      </c>
      <c r="F594">
        <v>2</v>
      </c>
      <c r="H594">
        <v>538</v>
      </c>
      <c r="I594">
        <v>545</v>
      </c>
      <c r="K594" s="2" t="s">
        <v>2267</v>
      </c>
      <c r="L594" s="2" t="s">
        <v>2268</v>
      </c>
      <c r="M594" t="s">
        <v>4899</v>
      </c>
      <c r="N594" t="s">
        <v>2269</v>
      </c>
      <c r="O594" t="s">
        <v>26</v>
      </c>
      <c r="P594" t="s">
        <v>27</v>
      </c>
      <c r="Q594" t="s">
        <v>43</v>
      </c>
      <c r="R594" t="s">
        <v>28</v>
      </c>
      <c r="S594" t="s">
        <v>28</v>
      </c>
      <c r="T594" t="s">
        <v>28</v>
      </c>
      <c r="U594" t="s">
        <v>43</v>
      </c>
      <c r="V594" t="s">
        <v>28</v>
      </c>
      <c r="W594" s="16" t="s">
        <v>5629</v>
      </c>
      <c r="X594" t="s">
        <v>5624</v>
      </c>
    </row>
    <row r="595" spans="1:24" x14ac:dyDescent="0.55000000000000004">
      <c r="A595" t="s">
        <v>4900</v>
      </c>
      <c r="B595" t="s">
        <v>2270</v>
      </c>
      <c r="C595">
        <v>2014</v>
      </c>
      <c r="D595" t="s">
        <v>897</v>
      </c>
      <c r="E595">
        <v>97</v>
      </c>
      <c r="H595">
        <v>30</v>
      </c>
      <c r="I595">
        <v>37</v>
      </c>
      <c r="K595" s="2" t="s">
        <v>2271</v>
      </c>
      <c r="L595" s="2" t="s">
        <v>2272</v>
      </c>
      <c r="M595" t="s">
        <v>4901</v>
      </c>
      <c r="N595" t="s">
        <v>2273</v>
      </c>
      <c r="O595" t="s">
        <v>26</v>
      </c>
      <c r="P595" t="s">
        <v>27</v>
      </c>
      <c r="Q595" t="s">
        <v>28</v>
      </c>
      <c r="R595" t="s">
        <v>28</v>
      </c>
      <c r="S595" t="s">
        <v>28</v>
      </c>
      <c r="T595" t="s">
        <v>28</v>
      </c>
      <c r="U595" t="s">
        <v>28</v>
      </c>
      <c r="V595" t="s">
        <v>28</v>
      </c>
      <c r="W595" s="16" t="s">
        <v>5629</v>
      </c>
      <c r="X595" t="s">
        <v>5624</v>
      </c>
    </row>
    <row r="596" spans="1:24" x14ac:dyDescent="0.55000000000000004">
      <c r="A596" t="s">
        <v>4902</v>
      </c>
      <c r="B596" t="s">
        <v>2274</v>
      </c>
      <c r="C596">
        <v>2014</v>
      </c>
      <c r="D596" t="s">
        <v>2275</v>
      </c>
      <c r="E596">
        <v>164</v>
      </c>
      <c r="F596">
        <v>1</v>
      </c>
      <c r="H596">
        <v>35</v>
      </c>
      <c r="I596">
        <v>45</v>
      </c>
      <c r="K596" s="2" t="s">
        <v>2276</v>
      </c>
      <c r="L596" s="2" t="s">
        <v>2277</v>
      </c>
      <c r="M596" t="s">
        <v>4903</v>
      </c>
      <c r="N596" t="s">
        <v>2278</v>
      </c>
      <c r="O596" t="s">
        <v>26</v>
      </c>
      <c r="P596" t="s">
        <v>27</v>
      </c>
      <c r="Q596" t="s">
        <v>28</v>
      </c>
      <c r="R596" t="s">
        <v>28</v>
      </c>
      <c r="S596" t="s">
        <v>28</v>
      </c>
      <c r="T596" t="s">
        <v>28</v>
      </c>
      <c r="U596" t="s">
        <v>28</v>
      </c>
      <c r="V596" t="s">
        <v>28</v>
      </c>
      <c r="W596" s="16" t="s">
        <v>5629</v>
      </c>
      <c r="X596" t="s">
        <v>5624</v>
      </c>
    </row>
    <row r="597" spans="1:24" x14ac:dyDescent="0.55000000000000004">
      <c r="A597" t="s">
        <v>4904</v>
      </c>
      <c r="B597" t="s">
        <v>4905</v>
      </c>
      <c r="C597">
        <v>2013</v>
      </c>
      <c r="D597" t="s">
        <v>2279</v>
      </c>
      <c r="E597">
        <v>157</v>
      </c>
      <c r="F597">
        <v>11</v>
      </c>
      <c r="H597">
        <v>817</v>
      </c>
      <c r="I597">
        <v>830</v>
      </c>
      <c r="L597" s="2" t="s">
        <v>2280</v>
      </c>
      <c r="M597" t="s">
        <v>2281</v>
      </c>
      <c r="N597" t="s">
        <v>2282</v>
      </c>
      <c r="O597" t="s">
        <v>26</v>
      </c>
      <c r="P597" t="s">
        <v>27</v>
      </c>
      <c r="Q597" t="s">
        <v>28</v>
      </c>
      <c r="R597" t="s">
        <v>28</v>
      </c>
      <c r="S597" t="s">
        <v>28</v>
      </c>
      <c r="T597" t="s">
        <v>28</v>
      </c>
      <c r="U597" t="s">
        <v>28</v>
      </c>
      <c r="V597" t="s">
        <v>28</v>
      </c>
      <c r="W597" s="16" t="s">
        <v>5629</v>
      </c>
      <c r="X597" t="s">
        <v>5624</v>
      </c>
    </row>
    <row r="598" spans="1:24" x14ac:dyDescent="0.55000000000000004">
      <c r="A598" t="s">
        <v>2283</v>
      </c>
      <c r="B598" t="s">
        <v>2284</v>
      </c>
      <c r="C598">
        <v>2013</v>
      </c>
      <c r="D598" t="s">
        <v>2285</v>
      </c>
      <c r="H598">
        <v>1</v>
      </c>
      <c r="I598">
        <v>238</v>
      </c>
      <c r="L598" s="2" t="s">
        <v>2286</v>
      </c>
      <c r="M598" t="s">
        <v>4906</v>
      </c>
      <c r="O598" t="s">
        <v>1695</v>
      </c>
      <c r="P598" t="s">
        <v>27</v>
      </c>
      <c r="Q598" t="s">
        <v>28</v>
      </c>
      <c r="R598" t="s">
        <v>28</v>
      </c>
      <c r="S598" t="s">
        <v>28</v>
      </c>
      <c r="T598" t="s">
        <v>28</v>
      </c>
      <c r="U598" t="s">
        <v>28</v>
      </c>
      <c r="V598" t="s">
        <v>28</v>
      </c>
      <c r="W598" s="16" t="s">
        <v>5629</v>
      </c>
      <c r="X598" t="s">
        <v>5624</v>
      </c>
    </row>
    <row r="599" spans="1:24" x14ac:dyDescent="0.55000000000000004">
      <c r="A599" t="s">
        <v>2287</v>
      </c>
      <c r="B599" t="s">
        <v>2288</v>
      </c>
      <c r="C599">
        <v>2013</v>
      </c>
      <c r="D599" t="s">
        <v>923</v>
      </c>
      <c r="E599">
        <v>173</v>
      </c>
      <c r="F599">
        <v>4</v>
      </c>
      <c r="H599">
        <v>1601</v>
      </c>
      <c r="I599">
        <v>1612</v>
      </c>
      <c r="K599" s="2" t="s">
        <v>2289</v>
      </c>
      <c r="L599" s="2" t="s">
        <v>2290</v>
      </c>
      <c r="M599" t="s">
        <v>4907</v>
      </c>
      <c r="N599" t="s">
        <v>2291</v>
      </c>
      <c r="O599" t="s">
        <v>26</v>
      </c>
      <c r="P599" t="s">
        <v>27</v>
      </c>
      <c r="Q599" t="s">
        <v>28</v>
      </c>
      <c r="R599" t="s">
        <v>28</v>
      </c>
      <c r="S599" t="s">
        <v>28</v>
      </c>
      <c r="T599" t="s">
        <v>28</v>
      </c>
      <c r="U599" t="s">
        <v>28</v>
      </c>
      <c r="V599" t="s">
        <v>28</v>
      </c>
      <c r="W599" s="16" t="s">
        <v>5629</v>
      </c>
      <c r="X599" t="s">
        <v>5624</v>
      </c>
    </row>
    <row r="600" spans="1:24" x14ac:dyDescent="0.55000000000000004">
      <c r="A600" t="s">
        <v>2296</v>
      </c>
      <c r="B600" t="s">
        <v>2297</v>
      </c>
      <c r="C600">
        <v>2013</v>
      </c>
      <c r="D600" t="s">
        <v>2298</v>
      </c>
      <c r="E600">
        <v>2</v>
      </c>
      <c r="H600">
        <v>415</v>
      </c>
      <c r="I600">
        <v>455</v>
      </c>
      <c r="K600" s="2" t="s">
        <v>2299</v>
      </c>
      <c r="L600" s="2" t="s">
        <v>2300</v>
      </c>
      <c r="M600" t="s">
        <v>4910</v>
      </c>
      <c r="O600" t="s">
        <v>198</v>
      </c>
      <c r="P600" t="s">
        <v>27</v>
      </c>
      <c r="Q600" t="s">
        <v>28</v>
      </c>
      <c r="R600" t="s">
        <v>28</v>
      </c>
      <c r="S600" t="s">
        <v>28</v>
      </c>
      <c r="T600" t="s">
        <v>28</v>
      </c>
      <c r="U600" t="s">
        <v>28</v>
      </c>
      <c r="V600" t="s">
        <v>28</v>
      </c>
      <c r="W600" s="16" t="s">
        <v>5629</v>
      </c>
      <c r="X600" t="s">
        <v>5624</v>
      </c>
    </row>
    <row r="601" spans="1:24" x14ac:dyDescent="0.55000000000000004">
      <c r="A601" t="s">
        <v>2301</v>
      </c>
      <c r="B601" t="s">
        <v>2302</v>
      </c>
      <c r="C601">
        <v>2013</v>
      </c>
      <c r="D601" t="s">
        <v>68</v>
      </c>
      <c r="E601">
        <v>200</v>
      </c>
      <c r="F601">
        <v>2</v>
      </c>
      <c r="H601">
        <v>547</v>
      </c>
      <c r="I601">
        <v>557</v>
      </c>
      <c r="K601" s="2" t="s">
        <v>2303</v>
      </c>
      <c r="L601" s="2" t="s">
        <v>2304</v>
      </c>
      <c r="M601" t="s">
        <v>4911</v>
      </c>
      <c r="N601" t="s">
        <v>2305</v>
      </c>
      <c r="O601" t="s">
        <v>26</v>
      </c>
      <c r="P601" t="s">
        <v>27</v>
      </c>
      <c r="Q601" t="s">
        <v>28</v>
      </c>
      <c r="R601" t="s">
        <v>28</v>
      </c>
      <c r="S601" t="s">
        <v>28</v>
      </c>
      <c r="T601" t="s">
        <v>28</v>
      </c>
      <c r="U601" t="s">
        <v>28</v>
      </c>
      <c r="V601" t="s">
        <v>28</v>
      </c>
      <c r="W601" s="16" t="s">
        <v>5629</v>
      </c>
      <c r="X601" t="s">
        <v>5624</v>
      </c>
    </row>
    <row r="602" spans="1:24" x14ac:dyDescent="0.55000000000000004">
      <c r="A602" t="s">
        <v>2306</v>
      </c>
      <c r="B602" t="s">
        <v>2307</v>
      </c>
      <c r="C602">
        <v>2013</v>
      </c>
      <c r="D602" t="s">
        <v>53</v>
      </c>
      <c r="E602">
        <v>65</v>
      </c>
      <c r="H602">
        <v>204</v>
      </c>
      <c r="I602">
        <v>210</v>
      </c>
      <c r="K602" s="2" t="s">
        <v>2308</v>
      </c>
      <c r="L602" s="2" t="s">
        <v>2309</v>
      </c>
      <c r="M602" t="s">
        <v>4912</v>
      </c>
      <c r="N602" t="s">
        <v>2310</v>
      </c>
      <c r="O602" t="s">
        <v>26</v>
      </c>
      <c r="P602" t="s">
        <v>27</v>
      </c>
      <c r="Q602" t="s">
        <v>28</v>
      </c>
      <c r="R602" t="s">
        <v>28</v>
      </c>
      <c r="S602" t="s">
        <v>28</v>
      </c>
      <c r="T602" t="s">
        <v>28</v>
      </c>
      <c r="U602" t="s">
        <v>28</v>
      </c>
      <c r="V602" t="s">
        <v>28</v>
      </c>
      <c r="W602" s="16" t="s">
        <v>5629</v>
      </c>
      <c r="X602" t="s">
        <v>5624</v>
      </c>
    </row>
    <row r="603" spans="1:24" x14ac:dyDescent="0.55000000000000004">
      <c r="A603" t="s">
        <v>2311</v>
      </c>
      <c r="B603" t="s">
        <v>2312</v>
      </c>
      <c r="C603">
        <v>2013</v>
      </c>
      <c r="D603" t="s">
        <v>2313</v>
      </c>
      <c r="E603">
        <v>54</v>
      </c>
      <c r="F603">
        <v>1</v>
      </c>
      <c r="K603" s="2" t="s">
        <v>2314</v>
      </c>
      <c r="L603" s="2" t="s">
        <v>2315</v>
      </c>
      <c r="M603" t="s">
        <v>4913</v>
      </c>
      <c r="N603" t="s">
        <v>2316</v>
      </c>
      <c r="O603" t="s">
        <v>26</v>
      </c>
      <c r="P603" t="s">
        <v>27</v>
      </c>
      <c r="Q603" t="s">
        <v>28</v>
      </c>
      <c r="R603" t="s">
        <v>28</v>
      </c>
      <c r="S603" t="s">
        <v>28</v>
      </c>
      <c r="T603" t="s">
        <v>28</v>
      </c>
      <c r="U603" t="s">
        <v>28</v>
      </c>
      <c r="V603" t="s">
        <v>28</v>
      </c>
      <c r="W603" s="16" t="s">
        <v>5629</v>
      </c>
      <c r="X603" t="s">
        <v>5624</v>
      </c>
    </row>
    <row r="604" spans="1:24" x14ac:dyDescent="0.55000000000000004">
      <c r="A604" t="s">
        <v>2317</v>
      </c>
      <c r="B604" t="s">
        <v>2318</v>
      </c>
      <c r="C604">
        <v>2013</v>
      </c>
      <c r="D604" t="s">
        <v>186</v>
      </c>
      <c r="E604">
        <v>368</v>
      </c>
      <c r="F604" s="4">
        <v>44563</v>
      </c>
      <c r="H604">
        <v>547</v>
      </c>
      <c r="I604">
        <v>555</v>
      </c>
      <c r="K604" s="2" t="s">
        <v>2319</v>
      </c>
      <c r="L604" s="2" t="s">
        <v>2320</v>
      </c>
      <c r="M604" t="s">
        <v>4914</v>
      </c>
      <c r="N604" t="s">
        <v>2321</v>
      </c>
      <c r="O604" t="s">
        <v>26</v>
      </c>
      <c r="P604" t="s">
        <v>27</v>
      </c>
      <c r="Q604" t="s">
        <v>28</v>
      </c>
      <c r="R604" t="s">
        <v>28</v>
      </c>
      <c r="S604" t="s">
        <v>28</v>
      </c>
      <c r="T604" t="s">
        <v>28</v>
      </c>
      <c r="U604" t="s">
        <v>28</v>
      </c>
      <c r="V604" t="s">
        <v>28</v>
      </c>
      <c r="W604" s="16" t="s">
        <v>5629</v>
      </c>
      <c r="X604" t="s">
        <v>5624</v>
      </c>
    </row>
    <row r="605" spans="1:24" x14ac:dyDescent="0.55000000000000004">
      <c r="A605" t="s">
        <v>4915</v>
      </c>
      <c r="B605" t="s">
        <v>2322</v>
      </c>
      <c r="C605">
        <v>2013</v>
      </c>
      <c r="D605" t="s">
        <v>53</v>
      </c>
      <c r="E605">
        <v>62</v>
      </c>
      <c r="H605">
        <v>147</v>
      </c>
      <c r="I605">
        <v>156</v>
      </c>
      <c r="K605" s="2" t="s">
        <v>2323</v>
      </c>
      <c r="L605" s="2" t="s">
        <v>2324</v>
      </c>
      <c r="M605" t="s">
        <v>4916</v>
      </c>
      <c r="N605" t="s">
        <v>2325</v>
      </c>
      <c r="O605" t="s">
        <v>26</v>
      </c>
      <c r="P605" t="s">
        <v>27</v>
      </c>
      <c r="Q605" t="s">
        <v>28</v>
      </c>
      <c r="R605" t="s">
        <v>28</v>
      </c>
      <c r="S605" t="s">
        <v>28</v>
      </c>
      <c r="T605" t="s">
        <v>28</v>
      </c>
      <c r="U605" t="s">
        <v>28</v>
      </c>
      <c r="V605" t="s">
        <v>28</v>
      </c>
      <c r="W605" s="16" t="s">
        <v>5629</v>
      </c>
      <c r="X605" t="s">
        <v>5624</v>
      </c>
    </row>
    <row r="606" spans="1:24" x14ac:dyDescent="0.55000000000000004">
      <c r="A606" t="s">
        <v>2326</v>
      </c>
      <c r="B606" t="s">
        <v>2327</v>
      </c>
      <c r="C606">
        <v>2013</v>
      </c>
      <c r="D606" t="s">
        <v>53</v>
      </c>
      <c r="E606">
        <v>62</v>
      </c>
      <c r="H606">
        <v>76</v>
      </c>
      <c r="I606">
        <v>81</v>
      </c>
      <c r="K606" s="2" t="s">
        <v>2328</v>
      </c>
      <c r="L606" s="2" t="s">
        <v>2329</v>
      </c>
      <c r="M606" t="s">
        <v>4917</v>
      </c>
      <c r="N606" t="s">
        <v>2330</v>
      </c>
      <c r="O606" t="s">
        <v>26</v>
      </c>
      <c r="P606" t="s">
        <v>27</v>
      </c>
      <c r="Q606" t="s">
        <v>28</v>
      </c>
      <c r="R606" t="s">
        <v>28</v>
      </c>
      <c r="S606" t="s">
        <v>28</v>
      </c>
      <c r="T606" t="s">
        <v>28</v>
      </c>
      <c r="U606" t="s">
        <v>28</v>
      </c>
      <c r="V606" t="s">
        <v>28</v>
      </c>
      <c r="W606" s="16" t="s">
        <v>5629</v>
      </c>
      <c r="X606" t="s">
        <v>5624</v>
      </c>
    </row>
    <row r="607" spans="1:24" x14ac:dyDescent="0.55000000000000004">
      <c r="A607" t="s">
        <v>2331</v>
      </c>
      <c r="B607" t="s">
        <v>2332</v>
      </c>
      <c r="C607">
        <v>2013</v>
      </c>
      <c r="D607" t="s">
        <v>2333</v>
      </c>
      <c r="E607">
        <v>25</v>
      </c>
      <c r="F607">
        <v>6</v>
      </c>
      <c r="H607">
        <v>1252</v>
      </c>
      <c r="I607">
        <v>1261</v>
      </c>
      <c r="K607" s="2" t="s">
        <v>2334</v>
      </c>
      <c r="L607" s="2" t="s">
        <v>2335</v>
      </c>
      <c r="M607" t="s">
        <v>4918</v>
      </c>
      <c r="N607" t="s">
        <v>2336</v>
      </c>
      <c r="O607" t="s">
        <v>26</v>
      </c>
      <c r="P607" t="s">
        <v>27</v>
      </c>
      <c r="Q607" t="s">
        <v>28</v>
      </c>
      <c r="R607" t="s">
        <v>28</v>
      </c>
      <c r="S607" t="s">
        <v>28</v>
      </c>
      <c r="T607" t="s">
        <v>28</v>
      </c>
      <c r="U607" t="s">
        <v>28</v>
      </c>
      <c r="V607" t="s">
        <v>28</v>
      </c>
      <c r="W607" s="16" t="s">
        <v>5629</v>
      </c>
      <c r="X607" t="s">
        <v>5624</v>
      </c>
    </row>
    <row r="608" spans="1:24" x14ac:dyDescent="0.55000000000000004">
      <c r="A608" t="s">
        <v>2337</v>
      </c>
      <c r="B608" t="s">
        <v>2338</v>
      </c>
      <c r="C608">
        <v>2013</v>
      </c>
      <c r="D608" t="s">
        <v>1255</v>
      </c>
      <c r="E608">
        <v>15</v>
      </c>
      <c r="F608">
        <v>6</v>
      </c>
      <c r="H608">
        <v>1870</v>
      </c>
      <c r="I608">
        <v>1881</v>
      </c>
      <c r="K608" s="2" t="s">
        <v>2339</v>
      </c>
      <c r="L608" s="2" t="s">
        <v>2340</v>
      </c>
      <c r="M608" t="s">
        <v>4919</v>
      </c>
      <c r="O608" t="s">
        <v>26</v>
      </c>
      <c r="P608" t="s">
        <v>27</v>
      </c>
      <c r="Q608" t="s">
        <v>28</v>
      </c>
      <c r="R608" t="s">
        <v>28</v>
      </c>
      <c r="S608" t="s">
        <v>28</v>
      </c>
      <c r="T608" t="s">
        <v>28</v>
      </c>
      <c r="U608" t="s">
        <v>28</v>
      </c>
      <c r="V608" t="s">
        <v>28</v>
      </c>
      <c r="W608" s="16" t="s">
        <v>5629</v>
      </c>
      <c r="X608" t="s">
        <v>5624</v>
      </c>
    </row>
    <row r="609" spans="1:24" x14ac:dyDescent="0.55000000000000004">
      <c r="A609" t="s">
        <v>2341</v>
      </c>
      <c r="B609" t="s">
        <v>2342</v>
      </c>
      <c r="C609">
        <v>2013</v>
      </c>
      <c r="D609" t="s">
        <v>2343</v>
      </c>
      <c r="E609">
        <v>250</v>
      </c>
      <c r="F609">
        <v>3</v>
      </c>
      <c r="H609">
        <v>663</v>
      </c>
      <c r="I609">
        <v>669</v>
      </c>
      <c r="K609" s="2" t="s">
        <v>2344</v>
      </c>
      <c r="L609" s="2" t="s">
        <v>2345</v>
      </c>
      <c r="M609" t="s">
        <v>4920</v>
      </c>
      <c r="N609" t="s">
        <v>2346</v>
      </c>
      <c r="O609" t="s">
        <v>143</v>
      </c>
      <c r="P609" t="s">
        <v>27</v>
      </c>
      <c r="Q609" t="s">
        <v>28</v>
      </c>
      <c r="R609" t="s">
        <v>28</v>
      </c>
      <c r="S609" t="s">
        <v>28</v>
      </c>
      <c r="T609" t="s">
        <v>28</v>
      </c>
      <c r="U609" t="s">
        <v>28</v>
      </c>
      <c r="V609" t="s">
        <v>28</v>
      </c>
      <c r="W609" s="16" t="s">
        <v>5629</v>
      </c>
      <c r="X609" t="s">
        <v>5624</v>
      </c>
    </row>
    <row r="610" spans="1:24" x14ac:dyDescent="0.55000000000000004">
      <c r="A610" t="s">
        <v>4921</v>
      </c>
      <c r="B610" t="s">
        <v>2347</v>
      </c>
      <c r="C610">
        <v>2013</v>
      </c>
      <c r="D610" t="s">
        <v>131</v>
      </c>
      <c r="E610">
        <v>8</v>
      </c>
      <c r="F610">
        <v>5</v>
      </c>
      <c r="G610" t="s">
        <v>2348</v>
      </c>
      <c r="K610" s="2" t="s">
        <v>2349</v>
      </c>
      <c r="L610" s="2" t="s">
        <v>2350</v>
      </c>
      <c r="M610" t="s">
        <v>4922</v>
      </c>
      <c r="O610" t="s">
        <v>26</v>
      </c>
      <c r="P610" t="s">
        <v>27</v>
      </c>
      <c r="Q610" t="s">
        <v>43</v>
      </c>
      <c r="R610" t="s">
        <v>28</v>
      </c>
      <c r="S610" t="s">
        <v>28</v>
      </c>
      <c r="T610" t="s">
        <v>28</v>
      </c>
      <c r="U610" t="s">
        <v>28</v>
      </c>
      <c r="V610" t="s">
        <v>28</v>
      </c>
      <c r="W610" s="16" t="s">
        <v>5629</v>
      </c>
      <c r="X610" t="s">
        <v>5624</v>
      </c>
    </row>
    <row r="611" spans="1:24" x14ac:dyDescent="0.55000000000000004">
      <c r="A611" t="s">
        <v>4923</v>
      </c>
      <c r="B611" t="s">
        <v>2351</v>
      </c>
      <c r="C611">
        <v>2013</v>
      </c>
      <c r="D611" t="s">
        <v>781</v>
      </c>
      <c r="E611">
        <v>66</v>
      </c>
      <c r="H611">
        <v>61</v>
      </c>
      <c r="I611">
        <v>70</v>
      </c>
      <c r="K611" s="2" t="s">
        <v>2352</v>
      </c>
      <c r="L611" s="2" t="s">
        <v>2353</v>
      </c>
      <c r="M611" t="s">
        <v>4924</v>
      </c>
      <c r="N611" t="s">
        <v>2354</v>
      </c>
      <c r="O611" t="s">
        <v>26</v>
      </c>
      <c r="P611" t="s">
        <v>27</v>
      </c>
      <c r="Q611" t="s">
        <v>28</v>
      </c>
      <c r="R611" t="s">
        <v>28</v>
      </c>
      <c r="S611" t="s">
        <v>28</v>
      </c>
      <c r="T611" t="s">
        <v>28</v>
      </c>
      <c r="U611" t="s">
        <v>28</v>
      </c>
      <c r="V611" t="s">
        <v>28</v>
      </c>
      <c r="W611" s="16" t="s">
        <v>5629</v>
      </c>
      <c r="X611" t="s">
        <v>5624</v>
      </c>
    </row>
    <row r="612" spans="1:24" x14ac:dyDescent="0.55000000000000004">
      <c r="A612" t="s">
        <v>2355</v>
      </c>
      <c r="B612" t="s">
        <v>2356</v>
      </c>
      <c r="C612">
        <v>2013</v>
      </c>
      <c r="D612" t="s">
        <v>1036</v>
      </c>
      <c r="E612">
        <v>49</v>
      </c>
      <c r="F612">
        <v>3</v>
      </c>
      <c r="H612">
        <v>333</v>
      </c>
      <c r="I612">
        <v>341</v>
      </c>
      <c r="K612" s="2" t="s">
        <v>2357</v>
      </c>
      <c r="L612" s="2" t="s">
        <v>2358</v>
      </c>
      <c r="M612" t="s">
        <v>4925</v>
      </c>
      <c r="N612" t="s">
        <v>2359</v>
      </c>
      <c r="O612" t="s">
        <v>26</v>
      </c>
      <c r="P612" t="s">
        <v>27</v>
      </c>
      <c r="Q612" t="s">
        <v>28</v>
      </c>
      <c r="R612" t="s">
        <v>28</v>
      </c>
      <c r="S612" t="s">
        <v>28</v>
      </c>
      <c r="T612" t="s">
        <v>28</v>
      </c>
      <c r="U612" t="s">
        <v>28</v>
      </c>
      <c r="V612" t="s">
        <v>28</v>
      </c>
      <c r="W612" s="16" t="s">
        <v>5629</v>
      </c>
      <c r="X612" t="s">
        <v>5624</v>
      </c>
    </row>
    <row r="613" spans="1:24" x14ac:dyDescent="0.55000000000000004">
      <c r="A613" t="s">
        <v>2360</v>
      </c>
      <c r="B613" t="s">
        <v>2361</v>
      </c>
      <c r="C613">
        <v>2013</v>
      </c>
      <c r="D613" t="s">
        <v>1771</v>
      </c>
      <c r="E613">
        <v>340</v>
      </c>
      <c r="F613">
        <v>6127</v>
      </c>
      <c r="H613">
        <v>1528</v>
      </c>
      <c r="I613">
        <v>1529</v>
      </c>
      <c r="K613" s="2" t="s">
        <v>2362</v>
      </c>
      <c r="L613" s="2" t="s">
        <v>2363</v>
      </c>
      <c r="M613" t="s">
        <v>2364</v>
      </c>
      <c r="O613" t="s">
        <v>2365</v>
      </c>
      <c r="P613" t="s">
        <v>27</v>
      </c>
      <c r="Q613" t="s">
        <v>28</v>
      </c>
      <c r="R613" t="s">
        <v>28</v>
      </c>
      <c r="S613" t="s">
        <v>28</v>
      </c>
      <c r="T613" t="s">
        <v>28</v>
      </c>
      <c r="U613" t="s">
        <v>28</v>
      </c>
      <c r="V613" t="s">
        <v>28</v>
      </c>
      <c r="W613" s="16" t="s">
        <v>5629</v>
      </c>
      <c r="X613" t="s">
        <v>5624</v>
      </c>
    </row>
    <row r="614" spans="1:24" x14ac:dyDescent="0.55000000000000004">
      <c r="A614" t="s">
        <v>2133</v>
      </c>
      <c r="B614" t="s">
        <v>2366</v>
      </c>
      <c r="C614">
        <v>2013</v>
      </c>
      <c r="D614" t="s">
        <v>781</v>
      </c>
      <c r="E614">
        <v>65</v>
      </c>
      <c r="H614">
        <v>1</v>
      </c>
      <c r="I614">
        <v>7</v>
      </c>
      <c r="K614" s="2" t="s">
        <v>2367</v>
      </c>
      <c r="L614" s="2" t="s">
        <v>2368</v>
      </c>
      <c r="M614" t="s">
        <v>4926</v>
      </c>
      <c r="N614" t="s">
        <v>2369</v>
      </c>
      <c r="O614" t="s">
        <v>26</v>
      </c>
      <c r="P614" t="s">
        <v>27</v>
      </c>
      <c r="Q614" t="s">
        <v>28</v>
      </c>
      <c r="R614" t="s">
        <v>28</v>
      </c>
      <c r="S614" t="s">
        <v>28</v>
      </c>
      <c r="T614" t="s">
        <v>28</v>
      </c>
      <c r="U614" t="s">
        <v>28</v>
      </c>
      <c r="V614" t="s">
        <v>28</v>
      </c>
      <c r="W614" s="16" t="s">
        <v>5629</v>
      </c>
      <c r="X614" t="s">
        <v>5624</v>
      </c>
    </row>
    <row r="615" spans="1:24" x14ac:dyDescent="0.55000000000000004">
      <c r="A615" t="s">
        <v>2370</v>
      </c>
      <c r="B615" t="s">
        <v>4927</v>
      </c>
      <c r="C615">
        <v>2013</v>
      </c>
      <c r="D615" t="s">
        <v>53</v>
      </c>
      <c r="E615">
        <v>58</v>
      </c>
      <c r="H615">
        <v>341</v>
      </c>
      <c r="I615">
        <v>344</v>
      </c>
      <c r="K615" s="2" t="s">
        <v>2371</v>
      </c>
      <c r="L615" s="2" t="s">
        <v>2372</v>
      </c>
      <c r="M615" t="s">
        <v>4928</v>
      </c>
      <c r="N615" t="s">
        <v>4929</v>
      </c>
      <c r="O615" t="s">
        <v>26</v>
      </c>
      <c r="P615" t="s">
        <v>27</v>
      </c>
      <c r="Q615" t="s">
        <v>28</v>
      </c>
      <c r="R615" t="s">
        <v>28</v>
      </c>
      <c r="S615" t="s">
        <v>28</v>
      </c>
      <c r="T615" t="s">
        <v>28</v>
      </c>
      <c r="U615" t="s">
        <v>28</v>
      </c>
      <c r="V615" t="s">
        <v>28</v>
      </c>
      <c r="W615" s="16" t="s">
        <v>5629</v>
      </c>
      <c r="X615" t="s">
        <v>5624</v>
      </c>
    </row>
    <row r="616" spans="1:24" x14ac:dyDescent="0.55000000000000004">
      <c r="A616" t="s">
        <v>2373</v>
      </c>
      <c r="B616" t="s">
        <v>2374</v>
      </c>
      <c r="C616">
        <v>2013</v>
      </c>
      <c r="D616" t="s">
        <v>897</v>
      </c>
      <c r="E616">
        <v>87</v>
      </c>
      <c r="H616">
        <v>60</v>
      </c>
      <c r="I616">
        <v>64</v>
      </c>
      <c r="K616" s="2" t="s">
        <v>2375</v>
      </c>
      <c r="L616" s="2" t="s">
        <v>2376</v>
      </c>
      <c r="M616" t="s">
        <v>4930</v>
      </c>
      <c r="N616" t="s">
        <v>2377</v>
      </c>
      <c r="O616" t="s">
        <v>26</v>
      </c>
      <c r="P616" t="s">
        <v>27</v>
      </c>
      <c r="Q616" t="s">
        <v>28</v>
      </c>
      <c r="R616" t="s">
        <v>28</v>
      </c>
      <c r="S616" t="s">
        <v>28</v>
      </c>
      <c r="T616" t="s">
        <v>28</v>
      </c>
      <c r="U616" t="s">
        <v>28</v>
      </c>
      <c r="V616" t="s">
        <v>28</v>
      </c>
      <c r="W616" s="16" t="s">
        <v>5629</v>
      </c>
      <c r="X616" t="s">
        <v>5624</v>
      </c>
    </row>
    <row r="617" spans="1:24" x14ac:dyDescent="0.55000000000000004">
      <c r="A617" t="s">
        <v>2383</v>
      </c>
      <c r="B617" t="s">
        <v>2384</v>
      </c>
      <c r="C617">
        <v>2013</v>
      </c>
      <c r="D617" t="s">
        <v>2000</v>
      </c>
      <c r="E617">
        <v>83</v>
      </c>
      <c r="F617">
        <v>1</v>
      </c>
      <c r="H617">
        <v>95</v>
      </c>
      <c r="I617">
        <v>117</v>
      </c>
      <c r="K617" s="2" t="s">
        <v>2385</v>
      </c>
      <c r="L617" s="2" t="s">
        <v>2386</v>
      </c>
      <c r="M617" t="s">
        <v>4932</v>
      </c>
      <c r="N617" t="s">
        <v>2387</v>
      </c>
      <c r="O617" t="s">
        <v>26</v>
      </c>
      <c r="P617" t="s">
        <v>27</v>
      </c>
      <c r="Q617" t="s">
        <v>28</v>
      </c>
      <c r="R617" t="s">
        <v>28</v>
      </c>
      <c r="S617" t="s">
        <v>28</v>
      </c>
      <c r="T617" t="s">
        <v>28</v>
      </c>
      <c r="U617" t="s">
        <v>28</v>
      </c>
      <c r="V617" t="s">
        <v>28</v>
      </c>
      <c r="W617" s="16" t="s">
        <v>5629</v>
      </c>
      <c r="X617" t="s">
        <v>5624</v>
      </c>
    </row>
    <row r="618" spans="1:24" x14ac:dyDescent="0.55000000000000004">
      <c r="A618" t="s">
        <v>2296</v>
      </c>
      <c r="B618" t="s">
        <v>2297</v>
      </c>
      <c r="C618">
        <v>2013</v>
      </c>
      <c r="D618" t="s">
        <v>2394</v>
      </c>
      <c r="H618">
        <v>415</v>
      </c>
      <c r="I618">
        <v>455</v>
      </c>
      <c r="K618" s="2" t="s">
        <v>2299</v>
      </c>
      <c r="L618" s="2" t="s">
        <v>2395</v>
      </c>
      <c r="M618" t="s">
        <v>4933</v>
      </c>
      <c r="O618" t="s">
        <v>198</v>
      </c>
      <c r="P618" t="s">
        <v>27</v>
      </c>
      <c r="Q618" t="s">
        <v>28</v>
      </c>
      <c r="R618" t="s">
        <v>28</v>
      </c>
      <c r="S618" t="s">
        <v>28</v>
      </c>
      <c r="T618" t="s">
        <v>28</v>
      </c>
      <c r="U618" t="s">
        <v>28</v>
      </c>
      <c r="V618" t="s">
        <v>28</v>
      </c>
      <c r="W618" s="16" t="s">
        <v>5629</v>
      </c>
      <c r="X618" t="s">
        <v>5624</v>
      </c>
    </row>
    <row r="619" spans="1:24" x14ac:dyDescent="0.55000000000000004">
      <c r="A619" t="s">
        <v>4934</v>
      </c>
      <c r="B619" t="s">
        <v>2396</v>
      </c>
      <c r="C619">
        <v>2013</v>
      </c>
      <c r="D619" t="s">
        <v>2397</v>
      </c>
      <c r="E619">
        <v>101</v>
      </c>
      <c r="F619">
        <v>2</v>
      </c>
      <c r="H619">
        <v>209</v>
      </c>
      <c r="I619">
        <v>217</v>
      </c>
      <c r="K619" s="2" t="s">
        <v>2398</v>
      </c>
      <c r="L619" s="2" t="s">
        <v>2399</v>
      </c>
      <c r="M619" t="s">
        <v>2400</v>
      </c>
      <c r="N619" t="s">
        <v>2401</v>
      </c>
      <c r="O619" t="s">
        <v>26</v>
      </c>
      <c r="P619" t="s">
        <v>27</v>
      </c>
      <c r="Q619" t="s">
        <v>28</v>
      </c>
      <c r="R619" t="s">
        <v>28</v>
      </c>
      <c r="S619" t="s">
        <v>28</v>
      </c>
      <c r="T619" t="s">
        <v>28</v>
      </c>
      <c r="U619" t="s">
        <v>28</v>
      </c>
      <c r="V619" t="s">
        <v>28</v>
      </c>
      <c r="W619" s="16" t="s">
        <v>5629</v>
      </c>
      <c r="X619" t="s">
        <v>5624</v>
      </c>
    </row>
    <row r="620" spans="1:24" x14ac:dyDescent="0.55000000000000004">
      <c r="A620" t="s">
        <v>2402</v>
      </c>
      <c r="B620" t="s">
        <v>2403</v>
      </c>
      <c r="C620">
        <v>2013</v>
      </c>
      <c r="D620" t="s">
        <v>365</v>
      </c>
      <c r="E620">
        <v>4</v>
      </c>
      <c r="F620" t="s">
        <v>2404</v>
      </c>
      <c r="G620" t="s">
        <v>2405</v>
      </c>
      <c r="K620" s="2" t="s">
        <v>2406</v>
      </c>
      <c r="L620" s="2" t="s">
        <v>2407</v>
      </c>
      <c r="M620" t="s">
        <v>4935</v>
      </c>
      <c r="N620" t="s">
        <v>2408</v>
      </c>
      <c r="O620" t="s">
        <v>143</v>
      </c>
      <c r="P620" t="s">
        <v>27</v>
      </c>
      <c r="Q620" t="s">
        <v>28</v>
      </c>
      <c r="R620" t="s">
        <v>28</v>
      </c>
      <c r="S620" t="s">
        <v>28</v>
      </c>
      <c r="T620" t="s">
        <v>28</v>
      </c>
      <c r="U620" t="s">
        <v>28</v>
      </c>
      <c r="V620" t="s">
        <v>28</v>
      </c>
      <c r="W620" s="16" t="s">
        <v>5629</v>
      </c>
      <c r="X620" t="s">
        <v>5624</v>
      </c>
    </row>
    <row r="621" spans="1:24" x14ac:dyDescent="0.55000000000000004">
      <c r="A621" t="s">
        <v>2409</v>
      </c>
      <c r="B621" t="s">
        <v>2410</v>
      </c>
      <c r="C621">
        <v>2013</v>
      </c>
      <c r="D621" t="s">
        <v>1348</v>
      </c>
      <c r="E621">
        <v>92</v>
      </c>
      <c r="F621">
        <v>7</v>
      </c>
      <c r="H621">
        <v>760</v>
      </c>
      <c r="I621">
        <v>764</v>
      </c>
      <c r="K621" s="2" t="s">
        <v>2411</v>
      </c>
      <c r="L621" s="2" t="s">
        <v>2412</v>
      </c>
      <c r="M621" t="s">
        <v>4936</v>
      </c>
      <c r="N621" t="s">
        <v>2413</v>
      </c>
      <c r="O621" t="s">
        <v>26</v>
      </c>
      <c r="P621" t="s">
        <v>27</v>
      </c>
      <c r="Q621" t="s">
        <v>28</v>
      </c>
      <c r="R621" t="s">
        <v>28</v>
      </c>
      <c r="S621" t="s">
        <v>28</v>
      </c>
      <c r="T621" t="s">
        <v>28</v>
      </c>
      <c r="U621" t="s">
        <v>28</v>
      </c>
      <c r="V621" t="s">
        <v>28</v>
      </c>
      <c r="W621" s="16" t="s">
        <v>5629</v>
      </c>
      <c r="X621" t="s">
        <v>5624</v>
      </c>
    </row>
    <row r="622" spans="1:24" x14ac:dyDescent="0.55000000000000004">
      <c r="A622" t="s">
        <v>2414</v>
      </c>
      <c r="B622" t="s">
        <v>2415</v>
      </c>
      <c r="C622">
        <v>2013</v>
      </c>
      <c r="D622" t="s">
        <v>420</v>
      </c>
      <c r="E622">
        <v>114</v>
      </c>
      <c r="F622" s="4">
        <v>44564</v>
      </c>
      <c r="H622">
        <v>381</v>
      </c>
      <c r="I622">
        <v>389</v>
      </c>
      <c r="K622" s="2" t="s">
        <v>2416</v>
      </c>
      <c r="L622" s="2" t="s">
        <v>2417</v>
      </c>
      <c r="M622" t="s">
        <v>4937</v>
      </c>
      <c r="N622" t="s">
        <v>2418</v>
      </c>
      <c r="O622" t="s">
        <v>496</v>
      </c>
      <c r="P622" t="s">
        <v>27</v>
      </c>
      <c r="Q622" t="s">
        <v>28</v>
      </c>
      <c r="R622" t="s">
        <v>28</v>
      </c>
      <c r="S622" t="s">
        <v>28</v>
      </c>
      <c r="T622" t="s">
        <v>28</v>
      </c>
      <c r="U622" t="s">
        <v>28</v>
      </c>
      <c r="V622" t="s">
        <v>28</v>
      </c>
      <c r="W622" s="16" t="s">
        <v>5629</v>
      </c>
      <c r="X622" t="s">
        <v>5624</v>
      </c>
    </row>
    <row r="623" spans="1:24" x14ac:dyDescent="0.55000000000000004">
      <c r="A623" t="s">
        <v>2419</v>
      </c>
      <c r="B623" t="s">
        <v>2420</v>
      </c>
      <c r="C623">
        <v>2013</v>
      </c>
      <c r="D623" t="s">
        <v>2421</v>
      </c>
      <c r="E623">
        <v>12</v>
      </c>
      <c r="F623">
        <v>1</v>
      </c>
      <c r="H623">
        <v>57</v>
      </c>
      <c r="I623">
        <v>62</v>
      </c>
      <c r="L623" s="2" t="s">
        <v>2422</v>
      </c>
      <c r="M623" t="s">
        <v>2423</v>
      </c>
      <c r="N623" t="s">
        <v>2424</v>
      </c>
      <c r="O623" t="s">
        <v>26</v>
      </c>
      <c r="P623" t="s">
        <v>27</v>
      </c>
      <c r="Q623" t="s">
        <v>28</v>
      </c>
      <c r="R623" t="s">
        <v>28</v>
      </c>
      <c r="S623" t="s">
        <v>28</v>
      </c>
      <c r="T623" t="s">
        <v>28</v>
      </c>
      <c r="U623" t="s">
        <v>28</v>
      </c>
      <c r="V623" t="s">
        <v>28</v>
      </c>
      <c r="W623" s="16" t="s">
        <v>5629</v>
      </c>
      <c r="X623" t="s">
        <v>5624</v>
      </c>
    </row>
    <row r="624" spans="1:24" x14ac:dyDescent="0.55000000000000004">
      <c r="A624" t="s">
        <v>2425</v>
      </c>
      <c r="B624" t="s">
        <v>2426</v>
      </c>
      <c r="C624">
        <v>2013</v>
      </c>
      <c r="D624" t="s">
        <v>2427</v>
      </c>
      <c r="E624">
        <v>178</v>
      </c>
      <c r="F624">
        <v>1</v>
      </c>
      <c r="H624">
        <v>12</v>
      </c>
      <c r="I624">
        <v>23</v>
      </c>
      <c r="K624" s="2" t="s">
        <v>2428</v>
      </c>
      <c r="L624" s="2" t="s">
        <v>2429</v>
      </c>
      <c r="M624" t="s">
        <v>4938</v>
      </c>
      <c r="N624" t="s">
        <v>2430</v>
      </c>
      <c r="O624" t="s">
        <v>26</v>
      </c>
      <c r="P624" t="s">
        <v>27</v>
      </c>
      <c r="Q624" t="s">
        <v>28</v>
      </c>
      <c r="R624" t="s">
        <v>28</v>
      </c>
      <c r="S624" t="s">
        <v>28</v>
      </c>
      <c r="T624" t="s">
        <v>28</v>
      </c>
      <c r="U624" t="s">
        <v>28</v>
      </c>
      <c r="V624" t="s">
        <v>28</v>
      </c>
      <c r="W624" s="16" t="s">
        <v>5629</v>
      </c>
      <c r="X624" t="s">
        <v>5624</v>
      </c>
    </row>
    <row r="625" spans="1:51" x14ac:dyDescent="0.55000000000000004">
      <c r="A625" t="s">
        <v>2431</v>
      </c>
      <c r="B625" t="s">
        <v>2432</v>
      </c>
      <c r="C625">
        <v>2013</v>
      </c>
      <c r="D625" t="s">
        <v>2433</v>
      </c>
      <c r="E625">
        <v>5</v>
      </c>
      <c r="F625">
        <v>2</v>
      </c>
      <c r="H625">
        <v>202</v>
      </c>
      <c r="I625">
        <v>214</v>
      </c>
      <c r="K625" s="2" t="s">
        <v>2434</v>
      </c>
      <c r="L625" s="2" t="s">
        <v>2435</v>
      </c>
      <c r="M625" t="s">
        <v>4939</v>
      </c>
      <c r="N625" t="s">
        <v>2436</v>
      </c>
      <c r="O625" t="s">
        <v>26</v>
      </c>
      <c r="P625" t="s">
        <v>27</v>
      </c>
      <c r="Q625" t="s">
        <v>28</v>
      </c>
      <c r="R625" t="s">
        <v>28</v>
      </c>
      <c r="S625" t="s">
        <v>28</v>
      </c>
      <c r="T625" t="s">
        <v>28</v>
      </c>
      <c r="U625" t="s">
        <v>28</v>
      </c>
      <c r="V625" t="s">
        <v>28</v>
      </c>
      <c r="W625" s="16" t="s">
        <v>5629</v>
      </c>
      <c r="X625" t="s">
        <v>5624</v>
      </c>
    </row>
    <row r="626" spans="1:51" x14ac:dyDescent="0.55000000000000004">
      <c r="A626" t="s">
        <v>2437</v>
      </c>
      <c r="B626" t="s">
        <v>2438</v>
      </c>
      <c r="C626">
        <v>2013</v>
      </c>
      <c r="D626" t="s">
        <v>1852</v>
      </c>
      <c r="E626">
        <v>59</v>
      </c>
      <c r="F626">
        <v>3</v>
      </c>
      <c r="H626">
        <v>95</v>
      </c>
      <c r="I626">
        <v>100</v>
      </c>
      <c r="K626" s="2" t="s">
        <v>2439</v>
      </c>
      <c r="L626" s="2" t="s">
        <v>2440</v>
      </c>
      <c r="M626" t="s">
        <v>2441</v>
      </c>
      <c r="N626" t="s">
        <v>2442</v>
      </c>
      <c r="O626" t="s">
        <v>26</v>
      </c>
      <c r="P626" t="s">
        <v>27</v>
      </c>
      <c r="Q626" t="s">
        <v>28</v>
      </c>
      <c r="R626" t="s">
        <v>28</v>
      </c>
      <c r="S626" t="s">
        <v>28</v>
      </c>
      <c r="T626" t="s">
        <v>28</v>
      </c>
      <c r="U626" t="s">
        <v>28</v>
      </c>
      <c r="V626" t="s">
        <v>28</v>
      </c>
      <c r="W626" s="16" t="s">
        <v>5629</v>
      </c>
      <c r="X626" t="s">
        <v>5624</v>
      </c>
    </row>
    <row r="627" spans="1:51" x14ac:dyDescent="0.55000000000000004">
      <c r="A627" t="s">
        <v>2443</v>
      </c>
      <c r="B627" t="s">
        <v>2444</v>
      </c>
      <c r="C627">
        <v>2013</v>
      </c>
      <c r="D627" t="s">
        <v>68</v>
      </c>
      <c r="E627">
        <v>197</v>
      </c>
      <c r="F627">
        <v>2</v>
      </c>
      <c r="H627">
        <v>366</v>
      </c>
      <c r="I627">
        <v>368</v>
      </c>
      <c r="K627" s="2" t="s">
        <v>2445</v>
      </c>
      <c r="L627" s="2" t="s">
        <v>2446</v>
      </c>
      <c r="M627" t="s">
        <v>932</v>
      </c>
      <c r="N627" t="s">
        <v>2447</v>
      </c>
      <c r="O627" t="s">
        <v>496</v>
      </c>
      <c r="P627" t="s">
        <v>27</v>
      </c>
      <c r="Q627" t="s">
        <v>28</v>
      </c>
      <c r="R627" t="s">
        <v>28</v>
      </c>
      <c r="S627" t="s">
        <v>28</v>
      </c>
      <c r="T627" t="s">
        <v>28</v>
      </c>
      <c r="U627" t="s">
        <v>28</v>
      </c>
      <c r="V627" t="s">
        <v>28</v>
      </c>
      <c r="W627" s="16" t="s">
        <v>5629</v>
      </c>
      <c r="X627" t="s">
        <v>5624</v>
      </c>
    </row>
    <row r="628" spans="1:51" x14ac:dyDescent="0.55000000000000004">
      <c r="A628" t="s">
        <v>4940</v>
      </c>
      <c r="B628" t="s">
        <v>2448</v>
      </c>
      <c r="C628">
        <v>2012</v>
      </c>
      <c r="D628" t="s">
        <v>2449</v>
      </c>
      <c r="H628">
        <v>195</v>
      </c>
      <c r="I628">
        <v>214</v>
      </c>
      <c r="L628" s="2" t="s">
        <v>2450</v>
      </c>
      <c r="M628" t="s">
        <v>4941</v>
      </c>
      <c r="O628" t="s">
        <v>198</v>
      </c>
      <c r="P628" t="s">
        <v>27</v>
      </c>
      <c r="Q628" t="s">
        <v>28</v>
      </c>
      <c r="R628" t="s">
        <v>28</v>
      </c>
      <c r="S628" t="s">
        <v>28</v>
      </c>
      <c r="T628" t="s">
        <v>28</v>
      </c>
      <c r="U628" t="s">
        <v>28</v>
      </c>
      <c r="V628" t="s">
        <v>28</v>
      </c>
      <c r="W628" s="16" t="s">
        <v>5629</v>
      </c>
      <c r="X628" t="s">
        <v>5624</v>
      </c>
    </row>
    <row r="629" spans="1:51" x14ac:dyDescent="0.55000000000000004">
      <c r="A629" t="s">
        <v>2451</v>
      </c>
      <c r="B629" t="s">
        <v>2452</v>
      </c>
      <c r="C629">
        <v>2012</v>
      </c>
      <c r="D629" t="s">
        <v>1362</v>
      </c>
      <c r="E629">
        <v>163</v>
      </c>
      <c r="H629">
        <v>37</v>
      </c>
      <c r="I629">
        <v>53</v>
      </c>
      <c r="K629" s="2" t="s">
        <v>2453</v>
      </c>
      <c r="L629" s="2" t="s">
        <v>2454</v>
      </c>
      <c r="M629" t="s">
        <v>4942</v>
      </c>
      <c r="N629" t="s">
        <v>2455</v>
      </c>
      <c r="O629" t="s">
        <v>26</v>
      </c>
      <c r="P629" t="s">
        <v>27</v>
      </c>
      <c r="Q629" t="s">
        <v>28</v>
      </c>
      <c r="R629" t="s">
        <v>28</v>
      </c>
      <c r="S629" t="s">
        <v>28</v>
      </c>
      <c r="T629" t="s">
        <v>28</v>
      </c>
      <c r="U629" t="s">
        <v>28</v>
      </c>
      <c r="V629" t="s">
        <v>28</v>
      </c>
      <c r="W629" s="16" t="s">
        <v>5629</v>
      </c>
      <c r="X629" t="s">
        <v>5624</v>
      </c>
    </row>
    <row r="630" spans="1:51" x14ac:dyDescent="0.55000000000000004">
      <c r="A630" t="s">
        <v>2456</v>
      </c>
      <c r="B630" t="s">
        <v>2457</v>
      </c>
      <c r="C630">
        <v>2012</v>
      </c>
      <c r="D630" t="s">
        <v>2458</v>
      </c>
      <c r="E630">
        <v>363</v>
      </c>
      <c r="H630">
        <v>43</v>
      </c>
      <c r="I630">
        <v>50</v>
      </c>
      <c r="K630" s="2" t="s">
        <v>2459</v>
      </c>
      <c r="L630" s="2" t="s">
        <v>2460</v>
      </c>
      <c r="M630" t="s">
        <v>4943</v>
      </c>
      <c r="N630" t="s">
        <v>2461</v>
      </c>
      <c r="O630" t="s">
        <v>26</v>
      </c>
      <c r="P630" t="s">
        <v>27</v>
      </c>
      <c r="Q630" t="s">
        <v>28</v>
      </c>
      <c r="R630" t="s">
        <v>28</v>
      </c>
      <c r="S630" t="s">
        <v>28</v>
      </c>
      <c r="T630" t="s">
        <v>28</v>
      </c>
      <c r="U630" t="s">
        <v>28</v>
      </c>
      <c r="V630" t="s">
        <v>28</v>
      </c>
      <c r="W630" s="16" t="s">
        <v>5629</v>
      </c>
      <c r="X630" t="s">
        <v>5624</v>
      </c>
    </row>
    <row r="631" spans="1:51" x14ac:dyDescent="0.55000000000000004">
      <c r="A631" t="s">
        <v>2462</v>
      </c>
      <c r="B631" t="s">
        <v>2463</v>
      </c>
      <c r="C631">
        <v>2012</v>
      </c>
      <c r="D631" t="s">
        <v>125</v>
      </c>
      <c r="E631">
        <v>9</v>
      </c>
      <c r="F631">
        <v>11</v>
      </c>
      <c r="H631">
        <v>4215</v>
      </c>
      <c r="I631">
        <v>4231</v>
      </c>
      <c r="K631" s="2" t="s">
        <v>2464</v>
      </c>
      <c r="L631" s="2" t="s">
        <v>2465</v>
      </c>
      <c r="M631" t="s">
        <v>4944</v>
      </c>
      <c r="O631" t="s">
        <v>26</v>
      </c>
      <c r="P631" t="s">
        <v>27</v>
      </c>
      <c r="Q631" t="s">
        <v>28</v>
      </c>
      <c r="R631" t="s">
        <v>28</v>
      </c>
      <c r="S631" t="s">
        <v>28</v>
      </c>
      <c r="T631" t="s">
        <v>28</v>
      </c>
      <c r="U631" t="s">
        <v>28</v>
      </c>
      <c r="V631" t="s">
        <v>28</v>
      </c>
      <c r="W631" s="16" t="s">
        <v>5629</v>
      </c>
      <c r="X631" t="s">
        <v>5624</v>
      </c>
    </row>
    <row r="632" spans="1:51" x14ac:dyDescent="0.55000000000000004">
      <c r="A632" t="s">
        <v>2466</v>
      </c>
      <c r="B632" t="s">
        <v>2467</v>
      </c>
      <c r="C632">
        <v>2012</v>
      </c>
      <c r="D632" t="s">
        <v>2468</v>
      </c>
      <c r="E632">
        <v>186</v>
      </c>
      <c r="H632">
        <v>90</v>
      </c>
      <c r="I632">
        <v>101</v>
      </c>
      <c r="K632" s="2" t="s">
        <v>2469</v>
      </c>
      <c r="L632" s="2" t="s">
        <v>2470</v>
      </c>
      <c r="M632" t="s">
        <v>4945</v>
      </c>
      <c r="N632" t="s">
        <v>2471</v>
      </c>
      <c r="O632" t="s">
        <v>26</v>
      </c>
      <c r="P632" t="s">
        <v>27</v>
      </c>
      <c r="Q632" t="s">
        <v>28</v>
      </c>
      <c r="R632" t="s">
        <v>28</v>
      </c>
      <c r="S632" t="s">
        <v>28</v>
      </c>
      <c r="T632" t="s">
        <v>28</v>
      </c>
      <c r="U632" t="s">
        <v>28</v>
      </c>
      <c r="V632" t="s">
        <v>28</v>
      </c>
      <c r="W632" s="16" t="s">
        <v>5629</v>
      </c>
      <c r="X632" t="s">
        <v>5624</v>
      </c>
    </row>
    <row r="633" spans="1:51" x14ac:dyDescent="0.55000000000000004">
      <c r="A633" t="s">
        <v>2472</v>
      </c>
      <c r="B633" t="s">
        <v>2473</v>
      </c>
      <c r="C633">
        <v>2012</v>
      </c>
      <c r="D633" t="s">
        <v>186</v>
      </c>
      <c r="E633">
        <v>359</v>
      </c>
      <c r="F633" s="4">
        <v>44563</v>
      </c>
      <c r="H633">
        <v>197</v>
      </c>
      <c r="I633">
        <v>204</v>
      </c>
      <c r="K633" s="2" t="s">
        <v>2474</v>
      </c>
      <c r="L633" s="2" t="s">
        <v>2475</v>
      </c>
      <c r="M633" t="s">
        <v>4946</v>
      </c>
      <c r="N633" t="s">
        <v>2476</v>
      </c>
      <c r="O633" t="s">
        <v>143</v>
      </c>
      <c r="P633" t="s">
        <v>27</v>
      </c>
      <c r="Q633" t="s">
        <v>28</v>
      </c>
      <c r="R633" t="s">
        <v>28</v>
      </c>
      <c r="S633" t="s">
        <v>28</v>
      </c>
      <c r="T633" t="s">
        <v>28</v>
      </c>
      <c r="U633" t="s">
        <v>28</v>
      </c>
      <c r="V633" t="s">
        <v>28</v>
      </c>
      <c r="W633" s="16" t="s">
        <v>5629</v>
      </c>
      <c r="X633" t="s">
        <v>5624</v>
      </c>
    </row>
    <row r="634" spans="1:51" x14ac:dyDescent="0.55000000000000004">
      <c r="A634" t="s">
        <v>2477</v>
      </c>
      <c r="B634" t="s">
        <v>2478</v>
      </c>
      <c r="C634">
        <v>2012</v>
      </c>
      <c r="D634" t="s">
        <v>131</v>
      </c>
      <c r="E634">
        <v>7</v>
      </c>
      <c r="F634">
        <v>9</v>
      </c>
      <c r="G634" t="s">
        <v>2479</v>
      </c>
      <c r="K634" s="2" t="s">
        <v>2480</v>
      </c>
      <c r="L634" s="2" t="s">
        <v>2481</v>
      </c>
      <c r="M634" t="s">
        <v>4947</v>
      </c>
      <c r="O634" t="s">
        <v>26</v>
      </c>
      <c r="P634" t="s">
        <v>27</v>
      </c>
      <c r="Q634" t="s">
        <v>43</v>
      </c>
      <c r="R634" t="s">
        <v>28</v>
      </c>
      <c r="S634" t="s">
        <v>28</v>
      </c>
      <c r="T634" t="s">
        <v>28</v>
      </c>
      <c r="U634" t="s">
        <v>43</v>
      </c>
      <c r="V634" t="s">
        <v>28</v>
      </c>
      <c r="W634" s="16" t="s">
        <v>5629</v>
      </c>
      <c r="X634" t="s">
        <v>5624</v>
      </c>
    </row>
    <row r="635" spans="1:51" x14ac:dyDescent="0.55000000000000004">
      <c r="A635" t="s">
        <v>5656</v>
      </c>
      <c r="B635" t="s">
        <v>2482</v>
      </c>
      <c r="C635">
        <v>2012</v>
      </c>
      <c r="D635" t="s">
        <v>1586</v>
      </c>
      <c r="E635">
        <v>76</v>
      </c>
      <c r="F635">
        <v>5</v>
      </c>
      <c r="H635">
        <v>1614</v>
      </c>
      <c r="I635">
        <v>1623</v>
      </c>
      <c r="K635" s="2" t="s">
        <v>2483</v>
      </c>
      <c r="L635" s="2" t="s">
        <v>2484</v>
      </c>
      <c r="M635" t="s">
        <v>5655</v>
      </c>
      <c r="O635" t="s">
        <v>26</v>
      </c>
      <c r="P635" t="s">
        <v>27</v>
      </c>
      <c r="Q635" t="s">
        <v>43</v>
      </c>
      <c r="R635" t="s">
        <v>43</v>
      </c>
      <c r="S635" t="s">
        <v>28</v>
      </c>
      <c r="T635" t="s">
        <v>28</v>
      </c>
      <c r="U635" t="s">
        <v>28</v>
      </c>
      <c r="V635" t="s">
        <v>28</v>
      </c>
      <c r="W635" s="16" t="s">
        <v>5629</v>
      </c>
      <c r="X635" t="s">
        <v>5624</v>
      </c>
      <c r="Y635" t="s">
        <v>4497</v>
      </c>
      <c r="Z635" t="s">
        <v>4385</v>
      </c>
      <c r="AA635" t="s">
        <v>4360</v>
      </c>
      <c r="AB635" t="s">
        <v>4523</v>
      </c>
      <c r="AC635" t="s">
        <v>4524</v>
      </c>
      <c r="AD635" t="s">
        <v>5657</v>
      </c>
      <c r="AF635" t="s">
        <v>5710</v>
      </c>
      <c r="AG635" t="s">
        <v>4393</v>
      </c>
      <c r="AH635" t="s">
        <v>4525</v>
      </c>
      <c r="AI635" t="s">
        <v>4343</v>
      </c>
      <c r="AJ635">
        <v>3</v>
      </c>
      <c r="AK635">
        <f>24*24</f>
        <v>576</v>
      </c>
      <c r="AL635" t="s">
        <v>5408</v>
      </c>
      <c r="AM635" t="s">
        <v>4334</v>
      </c>
      <c r="AO635">
        <v>4</v>
      </c>
      <c r="AP635">
        <v>40.152486000000003</v>
      </c>
      <c r="AQ635">
        <v>-103.135215</v>
      </c>
      <c r="AR635">
        <v>44</v>
      </c>
      <c r="AT635">
        <f>AVERAGE(23,29)</f>
        <v>26</v>
      </c>
      <c r="AU635">
        <f>AVERAGE(250,1200)</f>
        <v>725</v>
      </c>
      <c r="AV635" s="19">
        <f>6.3-2.4</f>
        <v>3.9</v>
      </c>
      <c r="AX635" t="s">
        <v>5658</v>
      </c>
      <c r="AY635" t="s">
        <v>43</v>
      </c>
    </row>
    <row r="636" spans="1:51" x14ac:dyDescent="0.55000000000000004">
      <c r="A636" t="s">
        <v>2485</v>
      </c>
      <c r="B636" t="s">
        <v>2486</v>
      </c>
      <c r="C636">
        <v>2012</v>
      </c>
      <c r="D636" t="s">
        <v>2487</v>
      </c>
      <c r="E636">
        <v>10</v>
      </c>
      <c r="F636">
        <v>5</v>
      </c>
      <c r="H636">
        <v>445</v>
      </c>
      <c r="I636">
        <v>456</v>
      </c>
      <c r="K636" s="2" t="s">
        <v>2488</v>
      </c>
      <c r="L636" s="2" t="s">
        <v>2489</v>
      </c>
      <c r="M636" t="s">
        <v>4948</v>
      </c>
      <c r="O636" t="s">
        <v>26</v>
      </c>
      <c r="P636" t="s">
        <v>27</v>
      </c>
      <c r="Q636" t="s">
        <v>43</v>
      </c>
      <c r="R636" t="s">
        <v>28</v>
      </c>
      <c r="S636" t="s">
        <v>43</v>
      </c>
      <c r="T636" t="s">
        <v>28</v>
      </c>
      <c r="U636" t="s">
        <v>28</v>
      </c>
      <c r="V636" t="s">
        <v>28</v>
      </c>
      <c r="W636" s="16" t="s">
        <v>5629</v>
      </c>
      <c r="X636" t="s">
        <v>5624</v>
      </c>
    </row>
    <row r="637" spans="1:51" x14ac:dyDescent="0.55000000000000004">
      <c r="A637" t="s">
        <v>4949</v>
      </c>
      <c r="B637" t="s">
        <v>2490</v>
      </c>
      <c r="C637">
        <v>2012</v>
      </c>
      <c r="D637" t="s">
        <v>68</v>
      </c>
      <c r="E637">
        <v>195</v>
      </c>
      <c r="F637">
        <v>4</v>
      </c>
      <c r="H637">
        <v>832</v>
      </c>
      <c r="I637">
        <v>843</v>
      </c>
      <c r="K637" s="2" t="s">
        <v>2491</v>
      </c>
      <c r="L637" s="2" t="s">
        <v>2492</v>
      </c>
      <c r="M637" t="s">
        <v>4950</v>
      </c>
      <c r="N637" t="s">
        <v>2493</v>
      </c>
      <c r="O637" t="s">
        <v>26</v>
      </c>
      <c r="P637" t="s">
        <v>27</v>
      </c>
      <c r="Q637" t="s">
        <v>28</v>
      </c>
      <c r="R637" t="s">
        <v>28</v>
      </c>
      <c r="S637" t="s">
        <v>28</v>
      </c>
      <c r="T637" t="s">
        <v>28</v>
      </c>
      <c r="U637" t="s">
        <v>28</v>
      </c>
      <c r="V637" t="s">
        <v>28</v>
      </c>
      <c r="W637" s="16" t="s">
        <v>5629</v>
      </c>
      <c r="X637" t="s">
        <v>5624</v>
      </c>
    </row>
    <row r="638" spans="1:51" x14ac:dyDescent="0.55000000000000004">
      <c r="A638" t="s">
        <v>2494</v>
      </c>
      <c r="B638" t="s">
        <v>2495</v>
      </c>
      <c r="C638">
        <v>2012</v>
      </c>
      <c r="D638" t="s">
        <v>1362</v>
      </c>
      <c r="E638">
        <v>158</v>
      </c>
      <c r="H638">
        <v>192</v>
      </c>
      <c r="I638">
        <v>199</v>
      </c>
      <c r="K638" s="2" t="s">
        <v>2496</v>
      </c>
      <c r="L638" s="2" t="s">
        <v>2497</v>
      </c>
      <c r="M638" t="s">
        <v>4951</v>
      </c>
      <c r="N638" t="s">
        <v>2498</v>
      </c>
      <c r="O638" t="s">
        <v>26</v>
      </c>
      <c r="P638" t="s">
        <v>27</v>
      </c>
      <c r="Q638" t="s">
        <v>28</v>
      </c>
      <c r="R638" t="s">
        <v>28</v>
      </c>
      <c r="S638" t="s">
        <v>28</v>
      </c>
      <c r="T638" t="s">
        <v>28</v>
      </c>
      <c r="U638" t="s">
        <v>28</v>
      </c>
      <c r="V638" t="s">
        <v>28</v>
      </c>
      <c r="W638" s="16" t="s">
        <v>5629</v>
      </c>
      <c r="X638" t="s">
        <v>5624</v>
      </c>
    </row>
    <row r="639" spans="1:51" x14ac:dyDescent="0.55000000000000004">
      <c r="A639" t="s">
        <v>2499</v>
      </c>
      <c r="B639" t="s">
        <v>2500</v>
      </c>
      <c r="C639">
        <v>2012</v>
      </c>
      <c r="D639" t="s">
        <v>1771</v>
      </c>
      <c r="E639">
        <v>337</v>
      </c>
      <c r="F639">
        <v>6098</v>
      </c>
      <c r="H639">
        <v>1084</v>
      </c>
      <c r="I639">
        <v>1087</v>
      </c>
      <c r="K639" s="2" t="s">
        <v>2501</v>
      </c>
      <c r="L639" s="2" t="s">
        <v>2502</v>
      </c>
      <c r="M639" t="s">
        <v>2503</v>
      </c>
      <c r="O639" t="s">
        <v>26</v>
      </c>
      <c r="P639" t="s">
        <v>27</v>
      </c>
      <c r="Q639" t="s">
        <v>28</v>
      </c>
      <c r="R639" t="s">
        <v>28</v>
      </c>
      <c r="S639" t="s">
        <v>28</v>
      </c>
      <c r="T639" t="s">
        <v>28</v>
      </c>
      <c r="U639" t="s">
        <v>28</v>
      </c>
      <c r="V639" t="s">
        <v>28</v>
      </c>
      <c r="W639" s="16" t="s">
        <v>5629</v>
      </c>
      <c r="X639" t="s">
        <v>5624</v>
      </c>
    </row>
    <row r="640" spans="1:51" x14ac:dyDescent="0.55000000000000004">
      <c r="A640" t="s">
        <v>2504</v>
      </c>
      <c r="B640" t="s">
        <v>2505</v>
      </c>
      <c r="C640">
        <v>2012</v>
      </c>
      <c r="D640" t="s">
        <v>1771</v>
      </c>
      <c r="E640">
        <v>337</v>
      </c>
      <c r="F640">
        <v>6098</v>
      </c>
      <c r="H640">
        <v>1049</v>
      </c>
      <c r="I640">
        <v>1050</v>
      </c>
      <c r="K640" s="2" t="s">
        <v>2506</v>
      </c>
      <c r="L640" s="2" t="s">
        <v>2507</v>
      </c>
      <c r="M640" t="s">
        <v>2508</v>
      </c>
      <c r="O640" t="s">
        <v>2365</v>
      </c>
      <c r="P640" t="s">
        <v>27</v>
      </c>
      <c r="Q640" t="s">
        <v>28</v>
      </c>
      <c r="R640" t="s">
        <v>28</v>
      </c>
      <c r="S640" t="s">
        <v>28</v>
      </c>
      <c r="T640" t="s">
        <v>28</v>
      </c>
      <c r="U640" t="s">
        <v>28</v>
      </c>
      <c r="V640" t="s">
        <v>28</v>
      </c>
      <c r="W640" s="16" t="s">
        <v>5629</v>
      </c>
      <c r="X640" t="s">
        <v>5624</v>
      </c>
    </row>
    <row r="641" spans="1:24" x14ac:dyDescent="0.55000000000000004">
      <c r="A641" t="s">
        <v>2509</v>
      </c>
      <c r="B641" t="s">
        <v>2510</v>
      </c>
      <c r="C641">
        <v>2012</v>
      </c>
      <c r="D641" t="s">
        <v>2511</v>
      </c>
      <c r="E641">
        <v>41</v>
      </c>
      <c r="F641">
        <v>4</v>
      </c>
      <c r="H641">
        <v>635</v>
      </c>
      <c r="I641">
        <v>640</v>
      </c>
      <c r="L641" s="2" t="s">
        <v>2512</v>
      </c>
      <c r="M641" t="s">
        <v>2513</v>
      </c>
      <c r="N641" t="s">
        <v>2514</v>
      </c>
      <c r="O641" t="s">
        <v>26</v>
      </c>
      <c r="P641" t="s">
        <v>27</v>
      </c>
      <c r="Q641" t="s">
        <v>28</v>
      </c>
      <c r="R641" t="s">
        <v>28</v>
      </c>
      <c r="S641" t="s">
        <v>28</v>
      </c>
      <c r="T641" t="s">
        <v>28</v>
      </c>
      <c r="U641" t="s">
        <v>28</v>
      </c>
      <c r="V641" t="s">
        <v>28</v>
      </c>
      <c r="W641" s="16" t="s">
        <v>5629</v>
      </c>
      <c r="X641" t="s">
        <v>5624</v>
      </c>
    </row>
    <row r="642" spans="1:24" x14ac:dyDescent="0.55000000000000004">
      <c r="A642" t="s">
        <v>2515</v>
      </c>
      <c r="B642" t="s">
        <v>2516</v>
      </c>
      <c r="C642">
        <v>2012</v>
      </c>
      <c r="D642" t="s">
        <v>2517</v>
      </c>
      <c r="E642">
        <v>22</v>
      </c>
      <c r="F642">
        <v>4</v>
      </c>
      <c r="H642">
        <v>553</v>
      </c>
      <c r="I642">
        <v>557</v>
      </c>
      <c r="K642" s="2" t="s">
        <v>2518</v>
      </c>
      <c r="L642" s="2" t="s">
        <v>2519</v>
      </c>
      <c r="M642" t="s">
        <v>4952</v>
      </c>
      <c r="N642" t="s">
        <v>2520</v>
      </c>
      <c r="O642" t="s">
        <v>26</v>
      </c>
      <c r="P642" t="s">
        <v>27</v>
      </c>
      <c r="Q642" t="s">
        <v>28</v>
      </c>
      <c r="R642" t="s">
        <v>28</v>
      </c>
      <c r="S642" t="s">
        <v>28</v>
      </c>
      <c r="T642" t="s">
        <v>28</v>
      </c>
      <c r="U642" t="s">
        <v>28</v>
      </c>
      <c r="V642" t="s">
        <v>28</v>
      </c>
      <c r="W642" s="16" t="s">
        <v>5629</v>
      </c>
      <c r="X642" t="s">
        <v>5624</v>
      </c>
    </row>
    <row r="643" spans="1:24" x14ac:dyDescent="0.55000000000000004">
      <c r="A643" t="s">
        <v>2521</v>
      </c>
      <c r="B643" t="s">
        <v>2522</v>
      </c>
      <c r="C643">
        <v>2012</v>
      </c>
      <c r="D643" t="s">
        <v>1277</v>
      </c>
      <c r="E643">
        <v>99</v>
      </c>
      <c r="F643">
        <v>7</v>
      </c>
      <c r="H643">
        <v>1177</v>
      </c>
      <c r="I643">
        <v>1188</v>
      </c>
      <c r="K643" s="2" t="s">
        <v>2523</v>
      </c>
      <c r="L643" s="2" t="s">
        <v>2524</v>
      </c>
      <c r="M643" t="s">
        <v>4953</v>
      </c>
      <c r="N643" t="s">
        <v>2525</v>
      </c>
      <c r="O643" t="s">
        <v>26</v>
      </c>
      <c r="P643" t="s">
        <v>27</v>
      </c>
      <c r="Q643" t="s">
        <v>28</v>
      </c>
      <c r="R643" t="s">
        <v>28</v>
      </c>
      <c r="S643" t="s">
        <v>28</v>
      </c>
      <c r="T643" t="s">
        <v>28</v>
      </c>
      <c r="U643" t="s">
        <v>28</v>
      </c>
      <c r="V643" t="s">
        <v>28</v>
      </c>
      <c r="W643" s="16" t="s">
        <v>5629</v>
      </c>
      <c r="X643" t="s">
        <v>5624</v>
      </c>
    </row>
    <row r="644" spans="1:24" x14ac:dyDescent="0.55000000000000004">
      <c r="A644" t="s">
        <v>2526</v>
      </c>
      <c r="B644" t="s">
        <v>2527</v>
      </c>
      <c r="C644">
        <v>2012</v>
      </c>
      <c r="D644" t="s">
        <v>1036</v>
      </c>
      <c r="E644">
        <v>48</v>
      </c>
      <c r="F644">
        <v>5</v>
      </c>
      <c r="H644">
        <v>547</v>
      </c>
      <c r="I644">
        <v>560</v>
      </c>
      <c r="K644" s="2" t="s">
        <v>2528</v>
      </c>
      <c r="L644" s="2" t="s">
        <v>2529</v>
      </c>
      <c r="M644" t="s">
        <v>4954</v>
      </c>
      <c r="N644" t="s">
        <v>4955</v>
      </c>
      <c r="O644" t="s">
        <v>26</v>
      </c>
      <c r="P644" t="s">
        <v>27</v>
      </c>
      <c r="Q644" t="s">
        <v>28</v>
      </c>
      <c r="R644" t="s">
        <v>28</v>
      </c>
      <c r="S644" t="s">
        <v>28</v>
      </c>
      <c r="T644" t="s">
        <v>28</v>
      </c>
      <c r="U644" t="s">
        <v>28</v>
      </c>
      <c r="V644" t="s">
        <v>28</v>
      </c>
      <c r="W644" s="16" t="s">
        <v>5629</v>
      </c>
      <c r="X644" t="s">
        <v>5624</v>
      </c>
    </row>
    <row r="645" spans="1:24" x14ac:dyDescent="0.55000000000000004">
      <c r="A645" t="s">
        <v>2530</v>
      </c>
      <c r="B645" t="s">
        <v>2531</v>
      </c>
      <c r="C645">
        <v>2012</v>
      </c>
      <c r="D645" t="s">
        <v>807</v>
      </c>
      <c r="E645">
        <v>18</v>
      </c>
      <c r="F645">
        <v>7</v>
      </c>
      <c r="H645">
        <v>2111</v>
      </c>
      <c r="I645">
        <v>2125</v>
      </c>
      <c r="K645" s="2" t="s">
        <v>2532</v>
      </c>
      <c r="L645" s="2" t="s">
        <v>2533</v>
      </c>
      <c r="M645" t="s">
        <v>4956</v>
      </c>
      <c r="N645" t="s">
        <v>2534</v>
      </c>
      <c r="O645" t="s">
        <v>26</v>
      </c>
      <c r="P645" t="s">
        <v>27</v>
      </c>
      <c r="Q645" t="s">
        <v>28</v>
      </c>
      <c r="R645" t="s">
        <v>28</v>
      </c>
      <c r="S645" t="s">
        <v>28</v>
      </c>
      <c r="T645" t="s">
        <v>28</v>
      </c>
      <c r="U645" t="s">
        <v>28</v>
      </c>
      <c r="V645" t="s">
        <v>28</v>
      </c>
      <c r="W645" s="16" t="s">
        <v>5629</v>
      </c>
      <c r="X645" t="s">
        <v>5624</v>
      </c>
    </row>
    <row r="646" spans="1:24" x14ac:dyDescent="0.55000000000000004">
      <c r="A646" t="s">
        <v>2535</v>
      </c>
      <c r="B646" t="s">
        <v>4957</v>
      </c>
      <c r="C646">
        <v>2012</v>
      </c>
      <c r="D646" t="s">
        <v>152</v>
      </c>
      <c r="E646">
        <v>32</v>
      </c>
      <c r="F646">
        <v>6</v>
      </c>
      <c r="H646">
        <v>696</v>
      </c>
      <c r="I646">
        <v>706</v>
      </c>
      <c r="K646" s="2" t="s">
        <v>2536</v>
      </c>
      <c r="L646" s="2" t="s">
        <v>2537</v>
      </c>
      <c r="M646" t="s">
        <v>4958</v>
      </c>
      <c r="N646" t="s">
        <v>2538</v>
      </c>
      <c r="O646" t="s">
        <v>26</v>
      </c>
      <c r="P646" t="s">
        <v>27</v>
      </c>
      <c r="Q646" t="s">
        <v>28</v>
      </c>
      <c r="R646" t="s">
        <v>28</v>
      </c>
      <c r="S646" t="s">
        <v>28</v>
      </c>
      <c r="T646" t="s">
        <v>28</v>
      </c>
      <c r="U646" t="s">
        <v>28</v>
      </c>
      <c r="V646" t="s">
        <v>28</v>
      </c>
      <c r="W646" s="16" t="s">
        <v>5629</v>
      </c>
      <c r="X646" t="s">
        <v>5624</v>
      </c>
    </row>
    <row r="647" spans="1:24" x14ac:dyDescent="0.55000000000000004">
      <c r="A647" t="s">
        <v>4959</v>
      </c>
      <c r="B647" t="s">
        <v>2539</v>
      </c>
      <c r="C647">
        <v>2012</v>
      </c>
      <c r="D647" t="s">
        <v>152</v>
      </c>
      <c r="E647">
        <v>32</v>
      </c>
      <c r="F647">
        <v>6</v>
      </c>
      <c r="H647">
        <v>737</v>
      </c>
      <c r="I647">
        <v>751</v>
      </c>
      <c r="K647" s="2" t="s">
        <v>2540</v>
      </c>
      <c r="L647" s="2" t="s">
        <v>2541</v>
      </c>
      <c r="M647" t="s">
        <v>4960</v>
      </c>
      <c r="N647" t="s">
        <v>2542</v>
      </c>
      <c r="O647" t="s">
        <v>26</v>
      </c>
      <c r="P647" t="s">
        <v>27</v>
      </c>
      <c r="Q647" t="s">
        <v>43</v>
      </c>
      <c r="R647" t="s">
        <v>28</v>
      </c>
      <c r="S647" t="s">
        <v>28</v>
      </c>
      <c r="T647" t="s">
        <v>28</v>
      </c>
      <c r="U647" t="s">
        <v>43</v>
      </c>
      <c r="V647" t="s">
        <v>28</v>
      </c>
      <c r="W647" s="16" t="s">
        <v>5629</v>
      </c>
      <c r="X647" t="s">
        <v>5624</v>
      </c>
    </row>
    <row r="648" spans="1:24" x14ac:dyDescent="0.55000000000000004">
      <c r="A648" t="s">
        <v>2543</v>
      </c>
      <c r="B648" t="s">
        <v>2544</v>
      </c>
      <c r="C648">
        <v>2012</v>
      </c>
      <c r="D648" t="s">
        <v>152</v>
      </c>
      <c r="E648">
        <v>32</v>
      </c>
      <c r="F648">
        <v>6</v>
      </c>
      <c r="H648">
        <v>799</v>
      </c>
      <c r="I648">
        <v>813</v>
      </c>
      <c r="K648" s="2" t="s">
        <v>2545</v>
      </c>
      <c r="L648" s="2" t="s">
        <v>2546</v>
      </c>
      <c r="M648" t="s">
        <v>4961</v>
      </c>
      <c r="N648" t="s">
        <v>2547</v>
      </c>
      <c r="O648" t="s">
        <v>26</v>
      </c>
      <c r="P648" t="s">
        <v>27</v>
      </c>
      <c r="Q648" t="s">
        <v>28</v>
      </c>
      <c r="R648" t="s">
        <v>28</v>
      </c>
      <c r="S648" t="s">
        <v>28</v>
      </c>
      <c r="T648" t="s">
        <v>28</v>
      </c>
      <c r="U648" t="s">
        <v>28</v>
      </c>
      <c r="V648" t="s">
        <v>28</v>
      </c>
      <c r="W648" s="16" t="s">
        <v>5629</v>
      </c>
      <c r="X648" t="s">
        <v>5624</v>
      </c>
    </row>
    <row r="649" spans="1:24" x14ac:dyDescent="0.55000000000000004">
      <c r="A649" t="s">
        <v>2553</v>
      </c>
      <c r="B649" t="s">
        <v>4963</v>
      </c>
      <c r="C649">
        <v>2012</v>
      </c>
      <c r="D649" t="s">
        <v>2554</v>
      </c>
      <c r="E649">
        <v>31</v>
      </c>
      <c r="F649">
        <v>2</v>
      </c>
      <c r="H649">
        <v>111</v>
      </c>
      <c r="I649">
        <v>119</v>
      </c>
      <c r="K649" s="2" t="s">
        <v>2555</v>
      </c>
      <c r="L649" s="2" t="s">
        <v>2556</v>
      </c>
      <c r="M649" t="s">
        <v>4964</v>
      </c>
      <c r="N649" t="s">
        <v>4965</v>
      </c>
      <c r="O649" t="s">
        <v>26</v>
      </c>
      <c r="P649" t="s">
        <v>27</v>
      </c>
      <c r="Q649" t="s">
        <v>28</v>
      </c>
      <c r="R649" t="s">
        <v>28</v>
      </c>
      <c r="S649" t="s">
        <v>28</v>
      </c>
      <c r="T649" t="s">
        <v>28</v>
      </c>
      <c r="U649" t="s">
        <v>28</v>
      </c>
      <c r="V649" t="s">
        <v>28</v>
      </c>
      <c r="W649" s="16" t="s">
        <v>5629</v>
      </c>
      <c r="X649" t="s">
        <v>5624</v>
      </c>
    </row>
    <row r="650" spans="1:24" x14ac:dyDescent="0.55000000000000004">
      <c r="A650" t="s">
        <v>4966</v>
      </c>
      <c r="B650" t="s">
        <v>4967</v>
      </c>
      <c r="C650">
        <v>2012</v>
      </c>
      <c r="D650" t="s">
        <v>2557</v>
      </c>
      <c r="E650">
        <v>36</v>
      </c>
      <c r="F650">
        <v>3</v>
      </c>
      <c r="H650">
        <v>733</v>
      </c>
      <c r="I650">
        <v>743</v>
      </c>
      <c r="K650" s="2" t="s">
        <v>2558</v>
      </c>
      <c r="L650" s="2" t="s">
        <v>2559</v>
      </c>
      <c r="M650" t="s">
        <v>2560</v>
      </c>
      <c r="N650" t="s">
        <v>2561</v>
      </c>
      <c r="O650" t="s">
        <v>26</v>
      </c>
      <c r="P650" t="s">
        <v>27</v>
      </c>
      <c r="Q650" t="s">
        <v>28</v>
      </c>
      <c r="R650" t="s">
        <v>28</v>
      </c>
      <c r="S650" t="s">
        <v>28</v>
      </c>
      <c r="T650" t="s">
        <v>28</v>
      </c>
      <c r="U650" t="s">
        <v>28</v>
      </c>
      <c r="V650" t="s">
        <v>28</v>
      </c>
      <c r="W650" s="16" t="s">
        <v>5629</v>
      </c>
      <c r="X650" t="s">
        <v>5624</v>
      </c>
    </row>
    <row r="651" spans="1:24" x14ac:dyDescent="0.55000000000000004">
      <c r="A651" t="s">
        <v>2562</v>
      </c>
      <c r="B651" t="s">
        <v>2563</v>
      </c>
      <c r="C651">
        <v>2012</v>
      </c>
      <c r="D651" t="s">
        <v>53</v>
      </c>
      <c r="E651">
        <v>48</v>
      </c>
      <c r="H651">
        <v>88</v>
      </c>
      <c r="I651">
        <v>95</v>
      </c>
      <c r="K651" s="2" t="s">
        <v>2564</v>
      </c>
      <c r="L651" s="2" t="s">
        <v>2565</v>
      </c>
      <c r="M651" t="s">
        <v>4968</v>
      </c>
      <c r="N651" t="s">
        <v>2566</v>
      </c>
      <c r="O651" t="s">
        <v>26</v>
      </c>
      <c r="P651" t="s">
        <v>27</v>
      </c>
      <c r="Q651" t="s">
        <v>28</v>
      </c>
      <c r="R651" t="s">
        <v>28</v>
      </c>
      <c r="S651" t="s">
        <v>28</v>
      </c>
      <c r="T651" t="s">
        <v>28</v>
      </c>
      <c r="U651" t="s">
        <v>28</v>
      </c>
      <c r="V651" t="s">
        <v>28</v>
      </c>
      <c r="W651" s="16" t="s">
        <v>5629</v>
      </c>
      <c r="X651" t="s">
        <v>5624</v>
      </c>
    </row>
    <row r="652" spans="1:24" x14ac:dyDescent="0.55000000000000004">
      <c r="A652" t="s">
        <v>2567</v>
      </c>
      <c r="B652" t="s">
        <v>2568</v>
      </c>
      <c r="C652">
        <v>2012</v>
      </c>
      <c r="D652" t="s">
        <v>68</v>
      </c>
      <c r="E652">
        <v>194</v>
      </c>
      <c r="F652">
        <v>3</v>
      </c>
      <c r="H652">
        <v>784</v>
      </c>
      <c r="I652">
        <v>799</v>
      </c>
      <c r="K652" s="2" t="s">
        <v>2569</v>
      </c>
      <c r="L652" s="2" t="s">
        <v>2570</v>
      </c>
      <c r="M652" t="s">
        <v>4969</v>
      </c>
      <c r="N652" t="s">
        <v>2571</v>
      </c>
      <c r="O652" t="s">
        <v>26</v>
      </c>
      <c r="P652" t="s">
        <v>27</v>
      </c>
      <c r="Q652" t="s">
        <v>28</v>
      </c>
      <c r="R652" t="s">
        <v>28</v>
      </c>
      <c r="S652" t="s">
        <v>28</v>
      </c>
      <c r="T652" t="s">
        <v>28</v>
      </c>
      <c r="U652" t="s">
        <v>28</v>
      </c>
      <c r="V652" t="s">
        <v>28</v>
      </c>
      <c r="W652" s="16" t="s">
        <v>5629</v>
      </c>
      <c r="X652" t="s">
        <v>5624</v>
      </c>
    </row>
    <row r="653" spans="1:24" x14ac:dyDescent="0.55000000000000004">
      <c r="A653" t="s">
        <v>2572</v>
      </c>
      <c r="B653" t="s">
        <v>2573</v>
      </c>
      <c r="C653">
        <v>2012</v>
      </c>
      <c r="D653" t="s">
        <v>433</v>
      </c>
      <c r="E653">
        <v>80</v>
      </c>
      <c r="F653">
        <v>2</v>
      </c>
      <c r="H653">
        <v>305</v>
      </c>
      <c r="I653">
        <v>311</v>
      </c>
      <c r="K653" s="2" t="s">
        <v>2574</v>
      </c>
      <c r="L653" s="2" t="s">
        <v>2575</v>
      </c>
      <c r="M653" t="s">
        <v>4970</v>
      </c>
      <c r="N653" t="s">
        <v>2576</v>
      </c>
      <c r="O653" t="s">
        <v>26</v>
      </c>
      <c r="P653" t="s">
        <v>27</v>
      </c>
      <c r="Q653" t="s">
        <v>28</v>
      </c>
      <c r="R653" t="s">
        <v>28</v>
      </c>
      <c r="S653" t="s">
        <v>28</v>
      </c>
      <c r="T653" t="s">
        <v>28</v>
      </c>
      <c r="U653" t="s">
        <v>28</v>
      </c>
      <c r="V653" t="s">
        <v>28</v>
      </c>
      <c r="W653" s="16" t="s">
        <v>5629</v>
      </c>
      <c r="X653" t="s">
        <v>5624</v>
      </c>
    </row>
    <row r="654" spans="1:24" x14ac:dyDescent="0.55000000000000004">
      <c r="A654" t="s">
        <v>2577</v>
      </c>
      <c r="B654" t="s">
        <v>2578</v>
      </c>
      <c r="C654">
        <v>2012</v>
      </c>
      <c r="D654" t="s">
        <v>1000</v>
      </c>
      <c r="E654">
        <v>7</v>
      </c>
      <c r="F654">
        <v>4</v>
      </c>
      <c r="H654">
        <v>461</v>
      </c>
      <c r="I654">
        <v>464</v>
      </c>
      <c r="K654" s="2" t="s">
        <v>2579</v>
      </c>
      <c r="L654" s="2" t="s">
        <v>2580</v>
      </c>
      <c r="M654" t="s">
        <v>4971</v>
      </c>
      <c r="N654" t="s">
        <v>2581</v>
      </c>
      <c r="O654" t="s">
        <v>26</v>
      </c>
      <c r="P654" t="s">
        <v>27</v>
      </c>
      <c r="Q654" t="s">
        <v>28</v>
      </c>
      <c r="R654" t="s">
        <v>28</v>
      </c>
      <c r="S654" t="s">
        <v>28</v>
      </c>
      <c r="T654" t="s">
        <v>28</v>
      </c>
      <c r="U654" t="s">
        <v>28</v>
      </c>
      <c r="V654" t="s">
        <v>28</v>
      </c>
      <c r="W654" s="16" t="s">
        <v>5629</v>
      </c>
      <c r="X654" t="s">
        <v>5624</v>
      </c>
    </row>
    <row r="655" spans="1:24" x14ac:dyDescent="0.55000000000000004">
      <c r="A655" t="s">
        <v>2582</v>
      </c>
      <c r="B655" t="s">
        <v>2583</v>
      </c>
      <c r="C655">
        <v>2012</v>
      </c>
      <c r="D655" t="s">
        <v>2584</v>
      </c>
      <c r="E655">
        <v>35</v>
      </c>
      <c r="F655">
        <v>4</v>
      </c>
      <c r="H655">
        <v>819</v>
      </c>
      <c r="I655">
        <v>828</v>
      </c>
      <c r="K655" s="2" t="s">
        <v>2585</v>
      </c>
      <c r="L655" s="2" t="s">
        <v>2586</v>
      </c>
      <c r="M655" t="s">
        <v>4972</v>
      </c>
      <c r="N655" t="s">
        <v>2587</v>
      </c>
      <c r="O655" t="s">
        <v>26</v>
      </c>
      <c r="P655" t="s">
        <v>27</v>
      </c>
      <c r="Q655" t="s">
        <v>28</v>
      </c>
      <c r="R655" t="s">
        <v>28</v>
      </c>
      <c r="S655" t="s">
        <v>28</v>
      </c>
      <c r="T655" t="s">
        <v>28</v>
      </c>
      <c r="U655" t="s">
        <v>28</v>
      </c>
      <c r="V655" t="s">
        <v>28</v>
      </c>
      <c r="W655" s="16" t="s">
        <v>5629</v>
      </c>
      <c r="X655" t="s">
        <v>5624</v>
      </c>
    </row>
    <row r="656" spans="1:24" x14ac:dyDescent="0.55000000000000004">
      <c r="A656" t="s">
        <v>1782</v>
      </c>
      <c r="B656" t="s">
        <v>2588</v>
      </c>
      <c r="C656">
        <v>2012</v>
      </c>
      <c r="D656" t="s">
        <v>513</v>
      </c>
      <c r="E656">
        <v>22</v>
      </c>
      <c r="F656">
        <v>3</v>
      </c>
      <c r="H656">
        <v>219</v>
      </c>
      <c r="I656">
        <v>225</v>
      </c>
      <c r="K656" s="2" t="s">
        <v>2589</v>
      </c>
      <c r="L656" s="2" t="s">
        <v>2590</v>
      </c>
      <c r="M656" t="s">
        <v>4973</v>
      </c>
      <c r="N656" t="s">
        <v>2591</v>
      </c>
      <c r="O656" t="s">
        <v>26</v>
      </c>
      <c r="P656" t="s">
        <v>27</v>
      </c>
      <c r="Q656" t="s">
        <v>43</v>
      </c>
      <c r="R656" t="s">
        <v>43</v>
      </c>
      <c r="S656" t="s">
        <v>43</v>
      </c>
      <c r="T656" t="s">
        <v>28</v>
      </c>
      <c r="U656" t="s">
        <v>28</v>
      </c>
      <c r="V656" t="s">
        <v>28</v>
      </c>
      <c r="W656" s="16" t="s">
        <v>5629</v>
      </c>
      <c r="X656" t="s">
        <v>5624</v>
      </c>
    </row>
    <row r="657" spans="1:24" x14ac:dyDescent="0.55000000000000004">
      <c r="A657" t="s">
        <v>2592</v>
      </c>
      <c r="B657" t="s">
        <v>2593</v>
      </c>
      <c r="C657">
        <v>2012</v>
      </c>
      <c r="D657" t="s">
        <v>433</v>
      </c>
      <c r="E657">
        <v>80</v>
      </c>
      <c r="F657">
        <v>1</v>
      </c>
      <c r="H657">
        <v>236</v>
      </c>
      <c r="I657">
        <v>247</v>
      </c>
      <c r="K657" s="2" t="s">
        <v>2594</v>
      </c>
      <c r="L657" s="2" t="s">
        <v>2595</v>
      </c>
      <c r="M657" t="s">
        <v>4974</v>
      </c>
      <c r="N657" t="s">
        <v>2596</v>
      </c>
      <c r="O657" t="s">
        <v>26</v>
      </c>
      <c r="P657" t="s">
        <v>27</v>
      </c>
      <c r="Q657" t="s">
        <v>28</v>
      </c>
      <c r="R657" t="s">
        <v>28</v>
      </c>
      <c r="S657" t="s">
        <v>28</v>
      </c>
      <c r="T657" t="s">
        <v>28</v>
      </c>
      <c r="U657" t="s">
        <v>28</v>
      </c>
      <c r="V657" t="s">
        <v>28</v>
      </c>
      <c r="W657" s="16" t="s">
        <v>5629</v>
      </c>
      <c r="X657" t="s">
        <v>5624</v>
      </c>
    </row>
    <row r="658" spans="1:24" x14ac:dyDescent="0.55000000000000004">
      <c r="A658" t="s">
        <v>2597</v>
      </c>
      <c r="B658" t="s">
        <v>2598</v>
      </c>
      <c r="C658">
        <v>2012</v>
      </c>
      <c r="D658" t="s">
        <v>53</v>
      </c>
      <c r="E658">
        <v>47</v>
      </c>
      <c r="H658">
        <v>209</v>
      </c>
      <c r="I658">
        <v>219</v>
      </c>
      <c r="K658" s="2" t="s">
        <v>2599</v>
      </c>
      <c r="L658" s="2" t="s">
        <v>2600</v>
      </c>
      <c r="M658" t="s">
        <v>4975</v>
      </c>
      <c r="N658" t="s">
        <v>2601</v>
      </c>
      <c r="O658" t="s">
        <v>26</v>
      </c>
      <c r="P658" t="s">
        <v>27</v>
      </c>
      <c r="Q658" t="s">
        <v>28</v>
      </c>
      <c r="R658" t="s">
        <v>28</v>
      </c>
      <c r="S658" t="s">
        <v>28</v>
      </c>
      <c r="T658" t="s">
        <v>28</v>
      </c>
      <c r="U658" t="s">
        <v>28</v>
      </c>
      <c r="V658" t="s">
        <v>28</v>
      </c>
      <c r="W658" s="16" t="s">
        <v>5629</v>
      </c>
      <c r="X658" t="s">
        <v>5624</v>
      </c>
    </row>
    <row r="659" spans="1:24" x14ac:dyDescent="0.55000000000000004">
      <c r="A659" t="s">
        <v>2602</v>
      </c>
      <c r="B659" t="s">
        <v>2603</v>
      </c>
      <c r="C659">
        <v>2012</v>
      </c>
      <c r="D659" t="s">
        <v>306</v>
      </c>
      <c r="E659">
        <v>15</v>
      </c>
      <c r="F659">
        <v>2</v>
      </c>
      <c r="H659">
        <v>188</v>
      </c>
      <c r="I659">
        <v>199</v>
      </c>
      <c r="K659" s="2" t="s">
        <v>2604</v>
      </c>
      <c r="L659" s="2" t="s">
        <v>2605</v>
      </c>
      <c r="M659" t="s">
        <v>4976</v>
      </c>
      <c r="N659" t="s">
        <v>2606</v>
      </c>
      <c r="O659" t="s">
        <v>26</v>
      </c>
      <c r="P659" t="s">
        <v>27</v>
      </c>
      <c r="Q659" t="s">
        <v>28</v>
      </c>
      <c r="R659" t="s">
        <v>28</v>
      </c>
      <c r="S659" t="s">
        <v>28</v>
      </c>
      <c r="T659" t="s">
        <v>28</v>
      </c>
      <c r="U659" t="s">
        <v>28</v>
      </c>
      <c r="V659" t="s">
        <v>28</v>
      </c>
      <c r="W659" s="16" t="s">
        <v>5629</v>
      </c>
      <c r="X659" t="s">
        <v>5624</v>
      </c>
    </row>
    <row r="660" spans="1:24" x14ac:dyDescent="0.55000000000000004">
      <c r="A660" t="s">
        <v>4977</v>
      </c>
      <c r="B660" t="s">
        <v>2607</v>
      </c>
      <c r="C660">
        <v>2012</v>
      </c>
      <c r="D660" t="s">
        <v>781</v>
      </c>
      <c r="E660">
        <v>54</v>
      </c>
      <c r="H660">
        <v>55</v>
      </c>
      <c r="I660">
        <v>62</v>
      </c>
      <c r="K660" s="2" t="s">
        <v>2608</v>
      </c>
      <c r="L660" s="2" t="s">
        <v>2609</v>
      </c>
      <c r="M660" t="s">
        <v>4978</v>
      </c>
      <c r="N660" t="s">
        <v>2610</v>
      </c>
      <c r="O660" t="s">
        <v>26</v>
      </c>
      <c r="P660" t="s">
        <v>27</v>
      </c>
      <c r="Q660" t="s">
        <v>28</v>
      </c>
      <c r="R660" t="s">
        <v>28</v>
      </c>
      <c r="S660" t="s">
        <v>28</v>
      </c>
      <c r="T660" t="s">
        <v>28</v>
      </c>
      <c r="U660" t="s">
        <v>28</v>
      </c>
      <c r="V660" t="s">
        <v>28</v>
      </c>
      <c r="W660" s="16" t="s">
        <v>5629</v>
      </c>
      <c r="X660" t="s">
        <v>5624</v>
      </c>
    </row>
    <row r="661" spans="1:24" x14ac:dyDescent="0.55000000000000004">
      <c r="A661" t="s">
        <v>4979</v>
      </c>
      <c r="B661" t="s">
        <v>2611</v>
      </c>
      <c r="C661">
        <v>2012</v>
      </c>
      <c r="D661" t="s">
        <v>2612</v>
      </c>
      <c r="E661">
        <v>109</v>
      </c>
      <c r="F661">
        <v>7</v>
      </c>
      <c r="H661">
        <v>2666</v>
      </c>
      <c r="I661">
        <v>2671</v>
      </c>
      <c r="K661" s="2" t="s">
        <v>2613</v>
      </c>
      <c r="L661" s="2" t="s">
        <v>2614</v>
      </c>
      <c r="M661" t="s">
        <v>2615</v>
      </c>
      <c r="N661" t="s">
        <v>2616</v>
      </c>
      <c r="O661" t="s">
        <v>26</v>
      </c>
      <c r="P661" t="s">
        <v>27</v>
      </c>
      <c r="Q661" t="s">
        <v>28</v>
      </c>
      <c r="R661" t="s">
        <v>28</v>
      </c>
      <c r="S661" t="s">
        <v>28</v>
      </c>
      <c r="T661" t="s">
        <v>28</v>
      </c>
      <c r="U661" t="s">
        <v>28</v>
      </c>
      <c r="V661" t="s">
        <v>28</v>
      </c>
      <c r="W661" s="16" t="s">
        <v>5629</v>
      </c>
      <c r="X661" t="s">
        <v>5624</v>
      </c>
    </row>
    <row r="662" spans="1:24" x14ac:dyDescent="0.55000000000000004">
      <c r="A662" t="s">
        <v>2617</v>
      </c>
      <c r="B662" t="s">
        <v>2618</v>
      </c>
      <c r="C662">
        <v>2012</v>
      </c>
      <c r="D662" t="s">
        <v>125</v>
      </c>
      <c r="E662">
        <v>9</v>
      </c>
      <c r="F662">
        <v>1</v>
      </c>
      <c r="H662">
        <v>79</v>
      </c>
      <c r="I662">
        <v>95</v>
      </c>
      <c r="K662" s="2" t="s">
        <v>2619</v>
      </c>
      <c r="L662" s="2" t="s">
        <v>2620</v>
      </c>
      <c r="M662" t="s">
        <v>4980</v>
      </c>
      <c r="O662" t="s">
        <v>26</v>
      </c>
      <c r="P662" t="s">
        <v>27</v>
      </c>
      <c r="Q662" t="s">
        <v>28</v>
      </c>
      <c r="R662" t="s">
        <v>28</v>
      </c>
      <c r="S662" t="s">
        <v>28</v>
      </c>
      <c r="T662" t="s">
        <v>28</v>
      </c>
      <c r="U662" t="s">
        <v>28</v>
      </c>
      <c r="V662" t="s">
        <v>28</v>
      </c>
      <c r="W662" s="16" t="s">
        <v>5629</v>
      </c>
      <c r="X662" t="s">
        <v>5624</v>
      </c>
    </row>
    <row r="663" spans="1:24" x14ac:dyDescent="0.55000000000000004">
      <c r="A663" t="s">
        <v>2621</v>
      </c>
      <c r="B663" t="s">
        <v>2622</v>
      </c>
      <c r="C663">
        <v>2012</v>
      </c>
      <c r="D663" t="s">
        <v>1090</v>
      </c>
      <c r="E663">
        <v>5</v>
      </c>
      <c r="F663">
        <v>1</v>
      </c>
      <c r="H663">
        <v>85</v>
      </c>
      <c r="I663">
        <v>98</v>
      </c>
      <c r="K663" s="2" t="s">
        <v>2623</v>
      </c>
      <c r="L663" s="2" t="s">
        <v>2624</v>
      </c>
      <c r="M663" t="s">
        <v>4981</v>
      </c>
      <c r="N663" t="s">
        <v>2625</v>
      </c>
      <c r="O663" t="s">
        <v>26</v>
      </c>
      <c r="P663" t="s">
        <v>27</v>
      </c>
      <c r="Q663" t="s">
        <v>28</v>
      </c>
      <c r="R663" t="s">
        <v>28</v>
      </c>
      <c r="S663" t="s">
        <v>28</v>
      </c>
      <c r="T663" t="s">
        <v>28</v>
      </c>
      <c r="U663" t="s">
        <v>28</v>
      </c>
      <c r="V663" t="s">
        <v>28</v>
      </c>
      <c r="W663" s="16" t="s">
        <v>5629</v>
      </c>
      <c r="X663" t="s">
        <v>5624</v>
      </c>
    </row>
    <row r="664" spans="1:24" x14ac:dyDescent="0.55000000000000004">
      <c r="A664" t="s">
        <v>4982</v>
      </c>
      <c r="B664" t="s">
        <v>2626</v>
      </c>
      <c r="C664">
        <v>2012</v>
      </c>
      <c r="D664" t="s">
        <v>68</v>
      </c>
      <c r="E664">
        <v>195</v>
      </c>
      <c r="F664">
        <v>2</v>
      </c>
      <c r="H664">
        <v>329</v>
      </c>
      <c r="I664">
        <v>334</v>
      </c>
      <c r="K664" s="2" t="s">
        <v>2627</v>
      </c>
      <c r="L664" s="2" t="s">
        <v>2628</v>
      </c>
      <c r="M664" t="s">
        <v>4983</v>
      </c>
      <c r="N664" t="s">
        <v>2629</v>
      </c>
      <c r="O664" t="s">
        <v>26</v>
      </c>
      <c r="P664" t="s">
        <v>27</v>
      </c>
      <c r="Q664" t="s">
        <v>28</v>
      </c>
      <c r="R664" t="s">
        <v>28</v>
      </c>
      <c r="S664" t="s">
        <v>28</v>
      </c>
      <c r="T664" t="s">
        <v>28</v>
      </c>
      <c r="U664" t="s">
        <v>28</v>
      </c>
      <c r="V664" t="s">
        <v>28</v>
      </c>
      <c r="W664" s="16" t="s">
        <v>5629</v>
      </c>
      <c r="X664" t="s">
        <v>5624</v>
      </c>
    </row>
    <row r="665" spans="1:24" x14ac:dyDescent="0.55000000000000004">
      <c r="A665" t="s">
        <v>2630</v>
      </c>
      <c r="B665" t="s">
        <v>2631</v>
      </c>
      <c r="C665">
        <v>2012</v>
      </c>
      <c r="D665" t="s">
        <v>255</v>
      </c>
      <c r="E665">
        <v>42</v>
      </c>
      <c r="F665">
        <v>22</v>
      </c>
      <c r="H665">
        <v>2311</v>
      </c>
      <c r="I665">
        <v>2364</v>
      </c>
      <c r="K665" s="2" t="s">
        <v>2632</v>
      </c>
      <c r="L665" s="2" t="s">
        <v>2633</v>
      </c>
      <c r="M665" t="s">
        <v>4984</v>
      </c>
      <c r="N665" t="s">
        <v>2634</v>
      </c>
      <c r="O665" t="s">
        <v>143</v>
      </c>
      <c r="P665" t="s">
        <v>27</v>
      </c>
      <c r="Q665" t="s">
        <v>28</v>
      </c>
      <c r="R665" t="s">
        <v>28</v>
      </c>
      <c r="S665" t="s">
        <v>28</v>
      </c>
      <c r="T665" t="s">
        <v>28</v>
      </c>
      <c r="U665" t="s">
        <v>28</v>
      </c>
      <c r="V665" t="s">
        <v>28</v>
      </c>
      <c r="W665" s="16" t="s">
        <v>5629</v>
      </c>
      <c r="X665" t="s">
        <v>5624</v>
      </c>
    </row>
    <row r="666" spans="1:24" x14ac:dyDescent="0.55000000000000004">
      <c r="A666" t="s">
        <v>2635</v>
      </c>
      <c r="B666" t="s">
        <v>2636</v>
      </c>
      <c r="C666">
        <v>2012</v>
      </c>
      <c r="D666" t="s">
        <v>2637</v>
      </c>
      <c r="E666">
        <v>159</v>
      </c>
      <c r="F666">
        <v>2</v>
      </c>
      <c r="H666">
        <v>789</v>
      </c>
      <c r="I666">
        <v>797</v>
      </c>
      <c r="K666" s="2" t="s">
        <v>2638</v>
      </c>
      <c r="L666" s="2" t="s">
        <v>2639</v>
      </c>
      <c r="M666" t="s">
        <v>4985</v>
      </c>
      <c r="O666" t="s">
        <v>26</v>
      </c>
      <c r="P666" t="s">
        <v>27</v>
      </c>
      <c r="Q666" t="s">
        <v>28</v>
      </c>
      <c r="R666" t="s">
        <v>28</v>
      </c>
      <c r="S666" t="s">
        <v>28</v>
      </c>
      <c r="T666" t="s">
        <v>28</v>
      </c>
      <c r="U666" t="s">
        <v>28</v>
      </c>
      <c r="V666" t="s">
        <v>28</v>
      </c>
      <c r="W666" s="16" t="s">
        <v>5629</v>
      </c>
      <c r="X666" t="s">
        <v>5624</v>
      </c>
    </row>
    <row r="667" spans="1:24" x14ac:dyDescent="0.55000000000000004">
      <c r="A667" t="s">
        <v>4986</v>
      </c>
      <c r="B667" t="s">
        <v>2640</v>
      </c>
      <c r="C667">
        <v>2012</v>
      </c>
      <c r="D667" t="s">
        <v>2641</v>
      </c>
      <c r="E667">
        <v>43</v>
      </c>
      <c r="F667" s="4">
        <v>44563</v>
      </c>
      <c r="H667">
        <v>28</v>
      </c>
      <c r="I667">
        <v>35</v>
      </c>
      <c r="K667" s="2" t="s">
        <v>2642</v>
      </c>
      <c r="L667" s="2" t="s">
        <v>2643</v>
      </c>
      <c r="M667" t="s">
        <v>4987</v>
      </c>
      <c r="N667" t="s">
        <v>2644</v>
      </c>
      <c r="O667" t="s">
        <v>26</v>
      </c>
      <c r="P667" t="s">
        <v>27</v>
      </c>
      <c r="Q667" t="s">
        <v>28</v>
      </c>
      <c r="R667" t="s">
        <v>28</v>
      </c>
      <c r="S667" t="s">
        <v>28</v>
      </c>
      <c r="T667" t="s">
        <v>28</v>
      </c>
      <c r="U667" t="s">
        <v>28</v>
      </c>
      <c r="V667" t="s">
        <v>28</v>
      </c>
      <c r="W667" s="16" t="s">
        <v>5629</v>
      </c>
      <c r="X667" t="s">
        <v>5624</v>
      </c>
    </row>
    <row r="668" spans="1:24" x14ac:dyDescent="0.55000000000000004">
      <c r="A668" t="s">
        <v>4988</v>
      </c>
      <c r="B668" t="s">
        <v>2645</v>
      </c>
      <c r="C668">
        <v>2012</v>
      </c>
      <c r="D668" t="s">
        <v>152</v>
      </c>
      <c r="E668">
        <v>32</v>
      </c>
      <c r="F668">
        <v>1</v>
      </c>
      <c r="H668">
        <v>36</v>
      </c>
      <c r="I668">
        <v>48</v>
      </c>
      <c r="K668" s="2" t="s">
        <v>2646</v>
      </c>
      <c r="L668" s="2" t="s">
        <v>2647</v>
      </c>
      <c r="M668" t="s">
        <v>4989</v>
      </c>
      <c r="N668" t="s">
        <v>2648</v>
      </c>
      <c r="O668" t="s">
        <v>26</v>
      </c>
      <c r="P668" t="s">
        <v>27</v>
      </c>
      <c r="Q668" t="s">
        <v>28</v>
      </c>
      <c r="R668" t="s">
        <v>28</v>
      </c>
      <c r="S668" t="s">
        <v>28</v>
      </c>
      <c r="T668" t="s">
        <v>28</v>
      </c>
      <c r="U668" t="s">
        <v>28</v>
      </c>
      <c r="V668" t="s">
        <v>28</v>
      </c>
      <c r="W668" s="16" t="s">
        <v>5629</v>
      </c>
      <c r="X668" t="s">
        <v>5624</v>
      </c>
    </row>
    <row r="669" spans="1:24" x14ac:dyDescent="0.55000000000000004">
      <c r="A669" t="s">
        <v>2649</v>
      </c>
      <c r="B669" t="s">
        <v>2650</v>
      </c>
      <c r="C669">
        <v>2012</v>
      </c>
      <c r="D669" t="s">
        <v>288</v>
      </c>
      <c r="E669">
        <v>100</v>
      </c>
      <c r="F669">
        <v>1</v>
      </c>
      <c r="H669">
        <v>31</v>
      </c>
      <c r="I669">
        <v>41</v>
      </c>
      <c r="K669" s="2" t="s">
        <v>2651</v>
      </c>
      <c r="L669" s="2" t="s">
        <v>2652</v>
      </c>
      <c r="M669" t="s">
        <v>4990</v>
      </c>
      <c r="N669" t="s">
        <v>2653</v>
      </c>
      <c r="O669" t="s">
        <v>26</v>
      </c>
      <c r="P669" t="s">
        <v>27</v>
      </c>
      <c r="Q669" t="s">
        <v>28</v>
      </c>
      <c r="R669" t="s">
        <v>28</v>
      </c>
      <c r="S669" t="s">
        <v>28</v>
      </c>
      <c r="T669" t="s">
        <v>28</v>
      </c>
      <c r="U669" t="s">
        <v>28</v>
      </c>
      <c r="V669" t="s">
        <v>28</v>
      </c>
      <c r="W669" s="16" t="s">
        <v>5629</v>
      </c>
      <c r="X669" t="s">
        <v>5624</v>
      </c>
    </row>
    <row r="670" spans="1:24" x14ac:dyDescent="0.55000000000000004">
      <c r="A670" t="s">
        <v>2654</v>
      </c>
      <c r="B670" t="s">
        <v>2655</v>
      </c>
      <c r="C670">
        <v>2012</v>
      </c>
      <c r="D670" t="s">
        <v>68</v>
      </c>
      <c r="E670">
        <v>193</v>
      </c>
      <c r="F670">
        <v>1</v>
      </c>
      <c r="H670">
        <v>178</v>
      </c>
      <c r="I670">
        <v>187</v>
      </c>
      <c r="K670" s="2" t="s">
        <v>2656</v>
      </c>
      <c r="L670" s="2" t="s">
        <v>2657</v>
      </c>
      <c r="M670" t="s">
        <v>4991</v>
      </c>
      <c r="N670" t="s">
        <v>4992</v>
      </c>
      <c r="O670" t="s">
        <v>26</v>
      </c>
      <c r="P670" t="s">
        <v>27</v>
      </c>
      <c r="Q670" t="s">
        <v>28</v>
      </c>
      <c r="R670" t="s">
        <v>28</v>
      </c>
      <c r="S670" t="s">
        <v>28</v>
      </c>
      <c r="T670" t="s">
        <v>28</v>
      </c>
      <c r="U670" t="s">
        <v>28</v>
      </c>
      <c r="V670" t="s">
        <v>28</v>
      </c>
      <c r="W670" s="16" t="s">
        <v>5629</v>
      </c>
      <c r="X670" t="s">
        <v>5624</v>
      </c>
    </row>
    <row r="671" spans="1:24" x14ac:dyDescent="0.55000000000000004">
      <c r="A671" t="s">
        <v>2658</v>
      </c>
      <c r="B671" t="s">
        <v>2659</v>
      </c>
      <c r="C671">
        <v>2011</v>
      </c>
      <c r="D671" t="s">
        <v>2660</v>
      </c>
      <c r="H671">
        <v>169</v>
      </c>
      <c r="I671">
        <v>186</v>
      </c>
      <c r="L671" s="2" t="s">
        <v>2661</v>
      </c>
      <c r="M671" t="s">
        <v>4993</v>
      </c>
      <c r="O671" t="s">
        <v>198</v>
      </c>
      <c r="P671" t="s">
        <v>27</v>
      </c>
      <c r="Q671" t="s">
        <v>28</v>
      </c>
      <c r="R671" t="s">
        <v>28</v>
      </c>
      <c r="S671" t="s">
        <v>28</v>
      </c>
      <c r="T671" t="s">
        <v>28</v>
      </c>
      <c r="U671" t="s">
        <v>28</v>
      </c>
      <c r="V671" t="s">
        <v>28</v>
      </c>
      <c r="W671" s="16" t="s">
        <v>5629</v>
      </c>
      <c r="X671" t="s">
        <v>5624</v>
      </c>
    </row>
    <row r="672" spans="1:24" x14ac:dyDescent="0.55000000000000004">
      <c r="A672" t="s">
        <v>4994</v>
      </c>
      <c r="B672" t="s">
        <v>2448</v>
      </c>
      <c r="C672">
        <v>2011</v>
      </c>
      <c r="D672" t="s">
        <v>2662</v>
      </c>
      <c r="H672">
        <v>275</v>
      </c>
      <c r="I672">
        <v>290</v>
      </c>
      <c r="L672" s="2" t="s">
        <v>2663</v>
      </c>
      <c r="M672" t="s">
        <v>4995</v>
      </c>
      <c r="O672" t="s">
        <v>198</v>
      </c>
      <c r="P672" t="s">
        <v>27</v>
      </c>
      <c r="Q672" t="s">
        <v>28</v>
      </c>
      <c r="R672" t="s">
        <v>28</v>
      </c>
      <c r="S672" t="s">
        <v>28</v>
      </c>
      <c r="T672" t="s">
        <v>28</v>
      </c>
      <c r="U672" t="s">
        <v>28</v>
      </c>
      <c r="V672" t="s">
        <v>28</v>
      </c>
      <c r="W672" s="16" t="s">
        <v>5629</v>
      </c>
      <c r="X672" t="s">
        <v>5624</v>
      </c>
    </row>
    <row r="673" spans="1:24" x14ac:dyDescent="0.55000000000000004">
      <c r="A673" t="s">
        <v>2664</v>
      </c>
      <c r="B673" t="s">
        <v>2665</v>
      </c>
      <c r="C673">
        <v>2011</v>
      </c>
      <c r="D673" t="s">
        <v>2666</v>
      </c>
      <c r="E673">
        <v>1</v>
      </c>
      <c r="F673">
        <v>3</v>
      </c>
      <c r="H673">
        <v>306</v>
      </c>
      <c r="I673">
        <v>316</v>
      </c>
      <c r="K673" s="2" t="s">
        <v>2667</v>
      </c>
      <c r="L673" s="2" t="s">
        <v>2668</v>
      </c>
      <c r="M673" t="s">
        <v>4996</v>
      </c>
      <c r="N673" t="s">
        <v>2669</v>
      </c>
      <c r="O673" t="s">
        <v>26</v>
      </c>
      <c r="P673" t="s">
        <v>27</v>
      </c>
      <c r="Q673" t="s">
        <v>28</v>
      </c>
      <c r="R673" t="s">
        <v>28</v>
      </c>
      <c r="S673" t="s">
        <v>28</v>
      </c>
      <c r="T673" t="s">
        <v>28</v>
      </c>
      <c r="U673" t="s">
        <v>28</v>
      </c>
      <c r="V673" t="s">
        <v>28</v>
      </c>
      <c r="W673" s="16" t="s">
        <v>5629</v>
      </c>
      <c r="X673" t="s">
        <v>5624</v>
      </c>
    </row>
    <row r="674" spans="1:24" x14ac:dyDescent="0.55000000000000004">
      <c r="A674" t="s">
        <v>4998</v>
      </c>
      <c r="B674" t="s">
        <v>2675</v>
      </c>
      <c r="C674">
        <v>2011</v>
      </c>
      <c r="D674" t="s">
        <v>923</v>
      </c>
      <c r="E674">
        <v>167</v>
      </c>
      <c r="F674">
        <v>3</v>
      </c>
      <c r="H674">
        <v>809</v>
      </c>
      <c r="I674">
        <v>819</v>
      </c>
      <c r="K674" s="2" t="s">
        <v>2676</v>
      </c>
      <c r="L674" s="2" t="s">
        <v>2677</v>
      </c>
      <c r="M674" t="s">
        <v>4999</v>
      </c>
      <c r="N674" t="s">
        <v>2678</v>
      </c>
      <c r="O674" t="s">
        <v>26</v>
      </c>
      <c r="P674" t="s">
        <v>27</v>
      </c>
      <c r="Q674" t="s">
        <v>28</v>
      </c>
      <c r="R674" t="s">
        <v>28</v>
      </c>
      <c r="S674" t="s">
        <v>28</v>
      </c>
      <c r="T674" t="s">
        <v>28</v>
      </c>
      <c r="U674" t="s">
        <v>28</v>
      </c>
      <c r="V674" t="s">
        <v>28</v>
      </c>
      <c r="W674" s="16" t="s">
        <v>5629</v>
      </c>
      <c r="X674" t="s">
        <v>5624</v>
      </c>
    </row>
    <row r="675" spans="1:24" x14ac:dyDescent="0.55000000000000004">
      <c r="A675" t="s">
        <v>2679</v>
      </c>
      <c r="B675" t="s">
        <v>2680</v>
      </c>
      <c r="C675">
        <v>2011</v>
      </c>
      <c r="D675" t="s">
        <v>68</v>
      </c>
      <c r="E675">
        <v>192</v>
      </c>
      <c r="F675">
        <v>1</v>
      </c>
      <c r="H675">
        <v>200</v>
      </c>
      <c r="I675">
        <v>214</v>
      </c>
      <c r="K675" s="2" t="s">
        <v>2681</v>
      </c>
      <c r="L675" s="2" t="s">
        <v>2682</v>
      </c>
      <c r="M675" t="s">
        <v>5000</v>
      </c>
      <c r="N675" t="s">
        <v>2683</v>
      </c>
      <c r="O675" t="s">
        <v>26</v>
      </c>
      <c r="P675" t="s">
        <v>27</v>
      </c>
      <c r="Q675" t="s">
        <v>28</v>
      </c>
      <c r="R675" t="s">
        <v>28</v>
      </c>
      <c r="S675" t="s">
        <v>28</v>
      </c>
      <c r="T675" t="s">
        <v>28</v>
      </c>
      <c r="U675" t="s">
        <v>28</v>
      </c>
      <c r="V675" t="s">
        <v>28</v>
      </c>
      <c r="W675" s="16" t="s">
        <v>5629</v>
      </c>
      <c r="X675" t="s">
        <v>5624</v>
      </c>
    </row>
    <row r="676" spans="1:24" x14ac:dyDescent="0.55000000000000004">
      <c r="A676" t="s">
        <v>2684</v>
      </c>
      <c r="B676" t="s">
        <v>2685</v>
      </c>
      <c r="C676">
        <v>2011</v>
      </c>
      <c r="D676" t="s">
        <v>2686</v>
      </c>
      <c r="E676">
        <v>31</v>
      </c>
      <c r="F676">
        <v>4</v>
      </c>
      <c r="H676">
        <v>719</v>
      </c>
      <c r="I676">
        <v>731</v>
      </c>
      <c r="K676" s="2" t="s">
        <v>2687</v>
      </c>
      <c r="L676" s="2" t="s">
        <v>2688</v>
      </c>
      <c r="M676" t="s">
        <v>5001</v>
      </c>
      <c r="N676" t="s">
        <v>5002</v>
      </c>
      <c r="O676" t="s">
        <v>26</v>
      </c>
      <c r="P676" t="s">
        <v>27</v>
      </c>
      <c r="Q676" t="s">
        <v>43</v>
      </c>
      <c r="R676" t="s">
        <v>28</v>
      </c>
      <c r="S676" t="s">
        <v>28</v>
      </c>
      <c r="T676" t="s">
        <v>28</v>
      </c>
      <c r="U676" t="s">
        <v>43</v>
      </c>
      <c r="V676" t="s">
        <v>43</v>
      </c>
      <c r="W676" s="16" t="s">
        <v>5629</v>
      </c>
      <c r="X676" t="s">
        <v>5624</v>
      </c>
    </row>
    <row r="677" spans="1:24" x14ac:dyDescent="0.55000000000000004">
      <c r="A677" t="s">
        <v>2689</v>
      </c>
      <c r="B677" t="s">
        <v>2690</v>
      </c>
      <c r="C677">
        <v>2011</v>
      </c>
      <c r="D677" t="s">
        <v>2686</v>
      </c>
      <c r="E677">
        <v>31</v>
      </c>
      <c r="F677">
        <v>4</v>
      </c>
      <c r="H677">
        <v>643</v>
      </c>
      <c r="I677">
        <v>656</v>
      </c>
      <c r="K677" s="2" t="s">
        <v>2691</v>
      </c>
      <c r="L677" s="2" t="s">
        <v>2692</v>
      </c>
      <c r="M677" t="s">
        <v>5003</v>
      </c>
      <c r="N677" t="s">
        <v>2693</v>
      </c>
      <c r="O677" t="s">
        <v>143</v>
      </c>
      <c r="P677" t="s">
        <v>27</v>
      </c>
      <c r="Q677" t="s">
        <v>28</v>
      </c>
      <c r="R677" t="s">
        <v>28</v>
      </c>
      <c r="S677" t="s">
        <v>28</v>
      </c>
      <c r="T677" t="s">
        <v>28</v>
      </c>
      <c r="U677" t="s">
        <v>28</v>
      </c>
      <c r="V677" t="s">
        <v>28</v>
      </c>
      <c r="W677" s="16" t="s">
        <v>5629</v>
      </c>
      <c r="X677" t="s">
        <v>5624</v>
      </c>
    </row>
    <row r="678" spans="1:24" x14ac:dyDescent="0.55000000000000004">
      <c r="A678" t="s">
        <v>2694</v>
      </c>
      <c r="B678" t="s">
        <v>2695</v>
      </c>
      <c r="C678">
        <v>2011</v>
      </c>
      <c r="D678" t="s">
        <v>2696</v>
      </c>
      <c r="E678">
        <v>89</v>
      </c>
      <c r="F678">
        <v>10</v>
      </c>
      <c r="H678">
        <v>892</v>
      </c>
      <c r="I678">
        <v>899</v>
      </c>
      <c r="K678" s="2" t="s">
        <v>2697</v>
      </c>
      <c r="L678" s="2" t="s">
        <v>2698</v>
      </c>
      <c r="M678" t="s">
        <v>5004</v>
      </c>
      <c r="O678" t="s">
        <v>26</v>
      </c>
      <c r="P678" t="s">
        <v>27</v>
      </c>
      <c r="Q678" t="s">
        <v>28</v>
      </c>
      <c r="R678" t="s">
        <v>28</v>
      </c>
      <c r="S678" t="s">
        <v>28</v>
      </c>
      <c r="T678" t="s">
        <v>28</v>
      </c>
      <c r="U678" t="s">
        <v>28</v>
      </c>
      <c r="V678" t="s">
        <v>28</v>
      </c>
      <c r="W678" s="16" t="s">
        <v>5629</v>
      </c>
      <c r="X678" t="s">
        <v>5624</v>
      </c>
    </row>
    <row r="679" spans="1:24" x14ac:dyDescent="0.55000000000000004">
      <c r="A679" t="s">
        <v>2699</v>
      </c>
      <c r="B679" t="s">
        <v>2680</v>
      </c>
      <c r="C679">
        <v>2011</v>
      </c>
      <c r="D679" t="s">
        <v>68</v>
      </c>
      <c r="E679">
        <v>192</v>
      </c>
      <c r="F679">
        <v>1</v>
      </c>
      <c r="H679">
        <v>200</v>
      </c>
      <c r="I679">
        <v>214</v>
      </c>
      <c r="K679" s="2" t="s">
        <v>2681</v>
      </c>
      <c r="L679" s="2" t="s">
        <v>2700</v>
      </c>
      <c r="M679" t="s">
        <v>932</v>
      </c>
      <c r="O679" t="s">
        <v>26</v>
      </c>
      <c r="P679" t="s">
        <v>27</v>
      </c>
      <c r="Q679" t="s">
        <v>28</v>
      </c>
      <c r="R679" t="s">
        <v>28</v>
      </c>
      <c r="S679" t="s">
        <v>28</v>
      </c>
      <c r="T679" t="s">
        <v>28</v>
      </c>
      <c r="U679" t="s">
        <v>28</v>
      </c>
      <c r="V679" t="s">
        <v>28</v>
      </c>
      <c r="W679" s="16" t="s">
        <v>5629</v>
      </c>
      <c r="X679" t="s">
        <v>5624</v>
      </c>
    </row>
    <row r="680" spans="1:24" x14ac:dyDescent="0.55000000000000004">
      <c r="A680" t="s">
        <v>2701</v>
      </c>
      <c r="B680" t="s">
        <v>2702</v>
      </c>
      <c r="C680">
        <v>2011</v>
      </c>
      <c r="D680" t="s">
        <v>513</v>
      </c>
      <c r="E680">
        <v>21</v>
      </c>
      <c r="F680">
        <v>6</v>
      </c>
      <c r="H680">
        <v>465</v>
      </c>
      <c r="I680">
        <v>471</v>
      </c>
      <c r="K680" s="2" t="s">
        <v>2703</v>
      </c>
      <c r="L680" s="2" t="s">
        <v>2704</v>
      </c>
      <c r="M680" t="s">
        <v>5005</v>
      </c>
      <c r="N680" t="s">
        <v>2705</v>
      </c>
      <c r="O680" t="s">
        <v>26</v>
      </c>
      <c r="P680" t="s">
        <v>27</v>
      </c>
      <c r="Q680" t="s">
        <v>28</v>
      </c>
      <c r="R680" t="s">
        <v>28</v>
      </c>
      <c r="S680" t="s">
        <v>28</v>
      </c>
      <c r="T680" t="s">
        <v>28</v>
      </c>
      <c r="U680" t="s">
        <v>28</v>
      </c>
      <c r="V680" t="s">
        <v>28</v>
      </c>
      <c r="W680" s="16" t="s">
        <v>5629</v>
      </c>
      <c r="X680" t="s">
        <v>5624</v>
      </c>
    </row>
    <row r="681" spans="1:24" x14ac:dyDescent="0.55000000000000004">
      <c r="A681" t="s">
        <v>2706</v>
      </c>
      <c r="B681" t="s">
        <v>2707</v>
      </c>
      <c r="C681">
        <v>2011</v>
      </c>
      <c r="D681" t="s">
        <v>1277</v>
      </c>
      <c r="E681">
        <v>98</v>
      </c>
      <c r="F681">
        <v>7</v>
      </c>
      <c r="H681">
        <v>1148</v>
      </c>
      <c r="I681">
        <v>1163</v>
      </c>
      <c r="K681" s="2" t="s">
        <v>2708</v>
      </c>
      <c r="L681" s="2" t="s">
        <v>2709</v>
      </c>
      <c r="M681" t="s">
        <v>5006</v>
      </c>
      <c r="N681" t="s">
        <v>2710</v>
      </c>
      <c r="O681" t="s">
        <v>26</v>
      </c>
      <c r="P681" t="s">
        <v>27</v>
      </c>
      <c r="Q681" t="s">
        <v>28</v>
      </c>
      <c r="R681" t="s">
        <v>28</v>
      </c>
      <c r="S681" t="s">
        <v>28</v>
      </c>
      <c r="T681" t="s">
        <v>28</v>
      </c>
      <c r="U681" t="s">
        <v>28</v>
      </c>
      <c r="V681" t="s">
        <v>28</v>
      </c>
      <c r="W681" s="16" t="s">
        <v>5629</v>
      </c>
      <c r="X681" t="s">
        <v>5624</v>
      </c>
    </row>
    <row r="682" spans="1:24" x14ac:dyDescent="0.55000000000000004">
      <c r="A682" t="s">
        <v>2711</v>
      </c>
      <c r="B682" t="s">
        <v>2712</v>
      </c>
      <c r="C682">
        <v>2011</v>
      </c>
      <c r="D682" t="s">
        <v>68</v>
      </c>
      <c r="E682">
        <v>191</v>
      </c>
      <c r="F682">
        <v>2</v>
      </c>
      <c r="H682">
        <v>508</v>
      </c>
      <c r="I682">
        <v>514</v>
      </c>
      <c r="K682" s="2" t="s">
        <v>2713</v>
      </c>
      <c r="L682" s="2" t="s">
        <v>2714</v>
      </c>
      <c r="M682" t="s">
        <v>5007</v>
      </c>
      <c r="N682" t="s">
        <v>2715</v>
      </c>
      <c r="O682" t="s">
        <v>26</v>
      </c>
      <c r="P682" t="s">
        <v>27</v>
      </c>
      <c r="Q682" t="s">
        <v>28</v>
      </c>
      <c r="R682" t="s">
        <v>28</v>
      </c>
      <c r="S682" t="s">
        <v>28</v>
      </c>
      <c r="T682" t="s">
        <v>28</v>
      </c>
      <c r="U682" t="s">
        <v>28</v>
      </c>
      <c r="V682" t="s">
        <v>28</v>
      </c>
      <c r="W682" s="16" t="s">
        <v>5629</v>
      </c>
      <c r="X682" t="s">
        <v>5624</v>
      </c>
    </row>
    <row r="683" spans="1:24" x14ac:dyDescent="0.55000000000000004">
      <c r="A683" t="s">
        <v>2716</v>
      </c>
      <c r="B683" t="s">
        <v>2717</v>
      </c>
      <c r="C683">
        <v>2011</v>
      </c>
      <c r="D683" t="s">
        <v>433</v>
      </c>
      <c r="E683">
        <v>76</v>
      </c>
      <c r="F683">
        <v>3</v>
      </c>
      <c r="H683">
        <v>428</v>
      </c>
      <c r="I683">
        <v>438</v>
      </c>
      <c r="K683" s="2" t="s">
        <v>2718</v>
      </c>
      <c r="L683" s="2" t="s">
        <v>2719</v>
      </c>
      <c r="M683" t="s">
        <v>5008</v>
      </c>
      <c r="N683" t="s">
        <v>2720</v>
      </c>
      <c r="O683" t="s">
        <v>26</v>
      </c>
      <c r="P683" t="s">
        <v>27</v>
      </c>
      <c r="Q683" t="s">
        <v>28</v>
      </c>
      <c r="R683" t="s">
        <v>28</v>
      </c>
      <c r="S683" t="s">
        <v>28</v>
      </c>
      <c r="T683" t="s">
        <v>28</v>
      </c>
      <c r="U683" t="s">
        <v>28</v>
      </c>
      <c r="V683" t="s">
        <v>28</v>
      </c>
      <c r="W683" s="16" t="s">
        <v>5629</v>
      </c>
      <c r="X683" t="s">
        <v>5624</v>
      </c>
    </row>
    <row r="684" spans="1:24" x14ac:dyDescent="0.55000000000000004">
      <c r="A684" t="s">
        <v>2721</v>
      </c>
      <c r="B684" t="s">
        <v>2722</v>
      </c>
      <c r="C684">
        <v>2011</v>
      </c>
      <c r="D684" t="s">
        <v>125</v>
      </c>
      <c r="E684">
        <v>8</v>
      </c>
      <c r="F684">
        <v>5</v>
      </c>
      <c r="H684">
        <v>1131</v>
      </c>
      <c r="I684">
        <v>1139</v>
      </c>
      <c r="K684" s="2" t="s">
        <v>2723</v>
      </c>
      <c r="L684" s="2" t="s">
        <v>2724</v>
      </c>
      <c r="M684" t="s">
        <v>5009</v>
      </c>
      <c r="O684" t="s">
        <v>26</v>
      </c>
      <c r="P684" t="s">
        <v>27</v>
      </c>
      <c r="Q684" t="s">
        <v>28</v>
      </c>
      <c r="R684" t="s">
        <v>28</v>
      </c>
      <c r="S684" t="s">
        <v>28</v>
      </c>
      <c r="T684" t="s">
        <v>28</v>
      </c>
      <c r="U684" t="s">
        <v>28</v>
      </c>
      <c r="V684" t="s">
        <v>28</v>
      </c>
      <c r="W684" s="16" t="s">
        <v>5629</v>
      </c>
      <c r="X684" t="s">
        <v>5624</v>
      </c>
    </row>
    <row r="685" spans="1:24" x14ac:dyDescent="0.55000000000000004">
      <c r="A685" t="s">
        <v>2725</v>
      </c>
      <c r="B685" t="s">
        <v>2726</v>
      </c>
      <c r="C685">
        <v>2011</v>
      </c>
      <c r="D685" t="s">
        <v>781</v>
      </c>
      <c r="E685">
        <v>48</v>
      </c>
      <c r="F685">
        <v>1</v>
      </c>
      <c r="H685">
        <v>102</v>
      </c>
      <c r="I685">
        <v>105</v>
      </c>
      <c r="K685" s="2" t="s">
        <v>2727</v>
      </c>
      <c r="L685" s="2" t="s">
        <v>2728</v>
      </c>
      <c r="M685" t="s">
        <v>5010</v>
      </c>
      <c r="N685" t="s">
        <v>2729</v>
      </c>
      <c r="O685" t="s">
        <v>26</v>
      </c>
      <c r="P685" t="s">
        <v>27</v>
      </c>
      <c r="Q685" t="s">
        <v>28</v>
      </c>
      <c r="R685" t="s">
        <v>28</v>
      </c>
      <c r="S685" t="s">
        <v>28</v>
      </c>
      <c r="T685" t="s">
        <v>28</v>
      </c>
      <c r="U685" t="s">
        <v>28</v>
      </c>
      <c r="V685" t="s">
        <v>28</v>
      </c>
      <c r="W685" s="16" t="s">
        <v>5629</v>
      </c>
      <c r="X685" t="s">
        <v>5624</v>
      </c>
    </row>
    <row r="686" spans="1:24" x14ac:dyDescent="0.55000000000000004">
      <c r="A686" t="s">
        <v>5011</v>
      </c>
      <c r="B686" t="s">
        <v>2730</v>
      </c>
      <c r="C686">
        <v>2011</v>
      </c>
      <c r="D686" t="s">
        <v>2731</v>
      </c>
      <c r="E686">
        <v>121</v>
      </c>
      <c r="F686">
        <v>1</v>
      </c>
      <c r="H686">
        <v>11</v>
      </c>
      <c r="I686">
        <v>22</v>
      </c>
      <c r="K686" s="2" t="s">
        <v>2732</v>
      </c>
      <c r="L686" s="2" t="s">
        <v>2733</v>
      </c>
      <c r="M686" t="s">
        <v>5012</v>
      </c>
      <c r="N686" t="s">
        <v>2734</v>
      </c>
      <c r="O686" t="s">
        <v>26</v>
      </c>
      <c r="P686" t="s">
        <v>27</v>
      </c>
      <c r="Q686" t="s">
        <v>28</v>
      </c>
      <c r="R686" t="s">
        <v>28</v>
      </c>
      <c r="S686" t="s">
        <v>28</v>
      </c>
      <c r="T686" t="s">
        <v>28</v>
      </c>
      <c r="U686" t="s">
        <v>28</v>
      </c>
      <c r="V686" t="s">
        <v>28</v>
      </c>
      <c r="W686" s="16" t="s">
        <v>5629</v>
      </c>
      <c r="X686" t="s">
        <v>5624</v>
      </c>
    </row>
    <row r="687" spans="1:24" x14ac:dyDescent="0.55000000000000004">
      <c r="A687" t="s">
        <v>2735</v>
      </c>
      <c r="B687" t="s">
        <v>2736</v>
      </c>
      <c r="C687">
        <v>2011</v>
      </c>
      <c r="D687" t="s">
        <v>2737</v>
      </c>
      <c r="E687">
        <v>13</v>
      </c>
      <c r="F687">
        <v>2</v>
      </c>
      <c r="H687">
        <v>270</v>
      </c>
      <c r="I687">
        <v>275</v>
      </c>
      <c r="K687" s="2" t="s">
        <v>2738</v>
      </c>
      <c r="L687" s="2" t="s">
        <v>2739</v>
      </c>
      <c r="M687" t="s">
        <v>5013</v>
      </c>
      <c r="N687" t="s">
        <v>2740</v>
      </c>
      <c r="O687" t="s">
        <v>26</v>
      </c>
      <c r="P687" t="s">
        <v>27</v>
      </c>
      <c r="Q687" t="s">
        <v>28</v>
      </c>
      <c r="R687" t="s">
        <v>28</v>
      </c>
      <c r="S687" t="s">
        <v>28</v>
      </c>
      <c r="T687" t="s">
        <v>28</v>
      </c>
      <c r="U687" t="s">
        <v>28</v>
      </c>
      <c r="V687" t="s">
        <v>28</v>
      </c>
      <c r="W687" s="16" t="s">
        <v>5629</v>
      </c>
      <c r="X687" t="s">
        <v>5624</v>
      </c>
    </row>
    <row r="688" spans="1:24" x14ac:dyDescent="0.55000000000000004">
      <c r="A688" t="s">
        <v>2741</v>
      </c>
      <c r="B688" t="s">
        <v>2742</v>
      </c>
      <c r="C688">
        <v>2011</v>
      </c>
      <c r="D688" t="s">
        <v>186</v>
      </c>
      <c r="E688">
        <v>339</v>
      </c>
      <c r="F688">
        <v>1</v>
      </c>
      <c r="H688">
        <v>401</v>
      </c>
      <c r="I688">
        <v>412</v>
      </c>
      <c r="K688" s="2" t="s">
        <v>2743</v>
      </c>
      <c r="L688" s="2" t="s">
        <v>2744</v>
      </c>
      <c r="M688" t="s">
        <v>5014</v>
      </c>
      <c r="N688" t="s">
        <v>2745</v>
      </c>
      <c r="O688" t="s">
        <v>26</v>
      </c>
      <c r="P688" t="s">
        <v>27</v>
      </c>
      <c r="Q688" t="s">
        <v>28</v>
      </c>
      <c r="R688" t="s">
        <v>28</v>
      </c>
      <c r="S688" t="s">
        <v>28</v>
      </c>
      <c r="T688" t="s">
        <v>28</v>
      </c>
      <c r="U688" t="s">
        <v>28</v>
      </c>
      <c r="V688" t="s">
        <v>28</v>
      </c>
      <c r="W688" s="16" t="s">
        <v>5629</v>
      </c>
      <c r="X688" t="s">
        <v>5624</v>
      </c>
    </row>
    <row r="689" spans="1:24" x14ac:dyDescent="0.55000000000000004">
      <c r="A689" t="s">
        <v>5015</v>
      </c>
      <c r="B689" t="s">
        <v>2746</v>
      </c>
      <c r="C689">
        <v>2011</v>
      </c>
      <c r="D689" t="s">
        <v>68</v>
      </c>
      <c r="E689">
        <v>189</v>
      </c>
      <c r="F689">
        <v>3</v>
      </c>
      <c r="H689">
        <v>790</v>
      </c>
      <c r="I689">
        <v>796</v>
      </c>
      <c r="K689" s="2" t="s">
        <v>2747</v>
      </c>
      <c r="L689" s="2" t="s">
        <v>2748</v>
      </c>
      <c r="M689" t="s">
        <v>5016</v>
      </c>
      <c r="N689" t="s">
        <v>2749</v>
      </c>
      <c r="O689" t="s">
        <v>26</v>
      </c>
      <c r="P689" t="s">
        <v>27</v>
      </c>
      <c r="Q689" t="s">
        <v>28</v>
      </c>
      <c r="R689" t="s">
        <v>28</v>
      </c>
      <c r="S689" t="s">
        <v>28</v>
      </c>
      <c r="T689" t="s">
        <v>28</v>
      </c>
      <c r="U689" t="s">
        <v>28</v>
      </c>
      <c r="V689" t="s">
        <v>28</v>
      </c>
      <c r="W689" s="16" t="s">
        <v>5629</v>
      </c>
      <c r="X689" t="s">
        <v>5624</v>
      </c>
    </row>
    <row r="690" spans="1:24" x14ac:dyDescent="0.55000000000000004">
      <c r="A690" t="s">
        <v>2750</v>
      </c>
      <c r="B690" t="s">
        <v>2751</v>
      </c>
      <c r="C690">
        <v>2011</v>
      </c>
      <c r="D690" t="s">
        <v>466</v>
      </c>
      <c r="E690">
        <v>14</v>
      </c>
      <c r="F690">
        <v>5</v>
      </c>
      <c r="H690">
        <v>493</v>
      </c>
      <c r="I690">
        <v>502</v>
      </c>
      <c r="K690" s="2" t="s">
        <v>2752</v>
      </c>
      <c r="L690" s="2" t="s">
        <v>2753</v>
      </c>
      <c r="M690" t="s">
        <v>5017</v>
      </c>
      <c r="N690" t="s">
        <v>2754</v>
      </c>
      <c r="O690" t="s">
        <v>26</v>
      </c>
      <c r="P690" t="s">
        <v>27</v>
      </c>
      <c r="Q690" t="s">
        <v>28</v>
      </c>
      <c r="R690" t="s">
        <v>28</v>
      </c>
      <c r="S690" t="s">
        <v>28</v>
      </c>
      <c r="T690" t="s">
        <v>28</v>
      </c>
      <c r="U690" t="s">
        <v>28</v>
      </c>
      <c r="V690" t="s">
        <v>28</v>
      </c>
      <c r="W690" s="16" t="s">
        <v>5629</v>
      </c>
      <c r="X690" t="s">
        <v>5624</v>
      </c>
    </row>
    <row r="691" spans="1:24" x14ac:dyDescent="0.55000000000000004">
      <c r="A691" t="s">
        <v>2755</v>
      </c>
      <c r="B691" t="s">
        <v>2756</v>
      </c>
      <c r="C691">
        <v>2011</v>
      </c>
      <c r="D691" t="s">
        <v>2757</v>
      </c>
      <c r="H691">
        <v>111</v>
      </c>
      <c r="I691">
        <v>131</v>
      </c>
      <c r="L691" s="2" t="s">
        <v>2758</v>
      </c>
      <c r="M691" t="s">
        <v>5018</v>
      </c>
      <c r="O691" t="s">
        <v>198</v>
      </c>
      <c r="P691" t="s">
        <v>27</v>
      </c>
      <c r="Q691" t="s">
        <v>28</v>
      </c>
      <c r="R691" t="s">
        <v>28</v>
      </c>
      <c r="S691" t="s">
        <v>28</v>
      </c>
      <c r="T691" t="s">
        <v>28</v>
      </c>
      <c r="U691" t="s">
        <v>28</v>
      </c>
      <c r="V691" t="s">
        <v>28</v>
      </c>
      <c r="W691" s="16" t="s">
        <v>5629</v>
      </c>
      <c r="X691" t="s">
        <v>5624</v>
      </c>
    </row>
    <row r="692" spans="1:24" x14ac:dyDescent="0.55000000000000004">
      <c r="A692" t="s">
        <v>2759</v>
      </c>
      <c r="B692" t="s">
        <v>2760</v>
      </c>
      <c r="C692">
        <v>2011</v>
      </c>
      <c r="D692" t="s">
        <v>2761</v>
      </c>
      <c r="E692">
        <v>11</v>
      </c>
      <c r="F692" t="s">
        <v>2762</v>
      </c>
      <c r="H692">
        <v>817</v>
      </c>
      <c r="I692">
        <v>823</v>
      </c>
      <c r="K692" s="2" t="s">
        <v>2763</v>
      </c>
      <c r="L692" s="2" t="s">
        <v>2764</v>
      </c>
      <c r="M692" t="s">
        <v>5019</v>
      </c>
      <c r="N692" t="s">
        <v>2765</v>
      </c>
      <c r="O692" t="s">
        <v>1248</v>
      </c>
      <c r="P692" t="s">
        <v>27</v>
      </c>
      <c r="Q692" t="s">
        <v>28</v>
      </c>
      <c r="R692" t="s">
        <v>28</v>
      </c>
      <c r="S692" t="s">
        <v>28</v>
      </c>
      <c r="T692" t="s">
        <v>28</v>
      </c>
      <c r="U692" t="s">
        <v>28</v>
      </c>
      <c r="V692" t="s">
        <v>28</v>
      </c>
      <c r="W692" s="16" t="s">
        <v>5629</v>
      </c>
      <c r="X692" t="s">
        <v>5624</v>
      </c>
    </row>
    <row r="693" spans="1:24" x14ac:dyDescent="0.55000000000000004">
      <c r="A693" t="s">
        <v>2766</v>
      </c>
      <c r="B693" t="s">
        <v>2767</v>
      </c>
      <c r="C693">
        <v>2011</v>
      </c>
      <c r="D693" t="s">
        <v>2637</v>
      </c>
      <c r="E693">
        <v>156</v>
      </c>
      <c r="F693">
        <v>2</v>
      </c>
      <c r="H693">
        <v>952</v>
      </c>
      <c r="I693">
        <v>961</v>
      </c>
      <c r="K693" s="2" t="s">
        <v>2768</v>
      </c>
      <c r="L693" s="2" t="s">
        <v>2769</v>
      </c>
      <c r="M693" t="s">
        <v>5020</v>
      </c>
      <c r="O693" t="s">
        <v>26</v>
      </c>
      <c r="P693" t="s">
        <v>27</v>
      </c>
      <c r="Q693" t="s">
        <v>28</v>
      </c>
      <c r="R693" t="s">
        <v>28</v>
      </c>
      <c r="S693" t="s">
        <v>28</v>
      </c>
      <c r="T693" t="s">
        <v>28</v>
      </c>
      <c r="U693" t="s">
        <v>28</v>
      </c>
      <c r="V693" t="s">
        <v>28</v>
      </c>
      <c r="W693" s="16" t="s">
        <v>5629</v>
      </c>
      <c r="X693" t="s">
        <v>5624</v>
      </c>
    </row>
    <row r="694" spans="1:24" x14ac:dyDescent="0.55000000000000004">
      <c r="A694" t="s">
        <v>2770</v>
      </c>
      <c r="B694" t="s">
        <v>2771</v>
      </c>
      <c r="C694">
        <v>2011</v>
      </c>
      <c r="D694" t="s">
        <v>125</v>
      </c>
      <c r="E694">
        <v>8</v>
      </c>
      <c r="F694">
        <v>5</v>
      </c>
      <c r="H694">
        <v>1153</v>
      </c>
      <c r="I694">
        <v>1168</v>
      </c>
      <c r="K694" s="2" t="s">
        <v>2772</v>
      </c>
      <c r="L694" s="2" t="s">
        <v>2773</v>
      </c>
      <c r="M694" t="s">
        <v>5021</v>
      </c>
      <c r="O694" t="s">
        <v>26</v>
      </c>
      <c r="P694" t="s">
        <v>27</v>
      </c>
      <c r="Q694" t="s">
        <v>28</v>
      </c>
      <c r="R694" t="s">
        <v>28</v>
      </c>
      <c r="S694" t="s">
        <v>28</v>
      </c>
      <c r="T694" t="s">
        <v>28</v>
      </c>
      <c r="U694" t="s">
        <v>28</v>
      </c>
      <c r="V694" t="s">
        <v>28</v>
      </c>
      <c r="W694" s="16" t="s">
        <v>5629</v>
      </c>
      <c r="X694" t="s">
        <v>5624</v>
      </c>
    </row>
    <row r="695" spans="1:24" x14ac:dyDescent="0.55000000000000004">
      <c r="A695" t="s">
        <v>2774</v>
      </c>
      <c r="B695" t="s">
        <v>2775</v>
      </c>
      <c r="C695">
        <v>2011</v>
      </c>
      <c r="D695" t="s">
        <v>2776</v>
      </c>
      <c r="E695">
        <v>19</v>
      </c>
      <c r="F695">
        <v>2</v>
      </c>
      <c r="H695">
        <v>75</v>
      </c>
      <c r="I695">
        <v>84</v>
      </c>
      <c r="K695" s="2" t="s">
        <v>2777</v>
      </c>
      <c r="L695" s="2" t="s">
        <v>2778</v>
      </c>
      <c r="M695" t="s">
        <v>5022</v>
      </c>
      <c r="O695" t="s">
        <v>143</v>
      </c>
      <c r="P695" t="s">
        <v>27</v>
      </c>
      <c r="Q695" t="s">
        <v>28</v>
      </c>
      <c r="R695" t="s">
        <v>28</v>
      </c>
      <c r="S695" t="s">
        <v>28</v>
      </c>
      <c r="T695" t="s">
        <v>28</v>
      </c>
      <c r="U695" t="s">
        <v>28</v>
      </c>
      <c r="V695" t="s">
        <v>28</v>
      </c>
      <c r="W695" s="16" t="s">
        <v>5629</v>
      </c>
      <c r="X695" t="s">
        <v>5624</v>
      </c>
    </row>
    <row r="696" spans="1:24" x14ac:dyDescent="0.55000000000000004">
      <c r="A696" t="s">
        <v>2779</v>
      </c>
      <c r="B696" t="s">
        <v>2780</v>
      </c>
      <c r="C696">
        <v>2011</v>
      </c>
      <c r="D696" t="s">
        <v>288</v>
      </c>
      <c r="E696">
        <v>99</v>
      </c>
      <c r="F696">
        <v>1</v>
      </c>
      <c r="H696">
        <v>186</v>
      </c>
      <c r="I696">
        <v>193</v>
      </c>
      <c r="K696" s="2" t="s">
        <v>2781</v>
      </c>
      <c r="L696" s="2" t="s">
        <v>2782</v>
      </c>
      <c r="M696" t="s">
        <v>5023</v>
      </c>
      <c r="N696" t="s">
        <v>2783</v>
      </c>
      <c r="O696" t="s">
        <v>26</v>
      </c>
      <c r="P696" t="s">
        <v>27</v>
      </c>
      <c r="Q696" t="s">
        <v>28</v>
      </c>
      <c r="R696" t="s">
        <v>28</v>
      </c>
      <c r="S696" t="s">
        <v>28</v>
      </c>
      <c r="T696" t="s">
        <v>28</v>
      </c>
      <c r="U696" t="s">
        <v>28</v>
      </c>
      <c r="V696" t="s">
        <v>28</v>
      </c>
      <c r="W696" s="16" t="s">
        <v>5629</v>
      </c>
      <c r="X696" t="s">
        <v>5624</v>
      </c>
    </row>
    <row r="697" spans="1:24" x14ac:dyDescent="0.55000000000000004">
      <c r="A697" t="s">
        <v>2784</v>
      </c>
      <c r="B697" t="s">
        <v>2785</v>
      </c>
      <c r="C697">
        <v>2010</v>
      </c>
      <c r="D697" t="s">
        <v>2786</v>
      </c>
      <c r="E697">
        <v>36</v>
      </c>
      <c r="F697">
        <v>4</v>
      </c>
      <c r="H697">
        <v>233</v>
      </c>
      <c r="I697">
        <v>243</v>
      </c>
      <c r="L697" s="2" t="s">
        <v>2787</v>
      </c>
      <c r="M697" t="s">
        <v>5024</v>
      </c>
      <c r="N697" t="s">
        <v>2788</v>
      </c>
      <c r="O697" t="s">
        <v>26</v>
      </c>
      <c r="P697" t="s">
        <v>27</v>
      </c>
      <c r="Q697" t="s">
        <v>28</v>
      </c>
      <c r="R697" t="s">
        <v>28</v>
      </c>
      <c r="S697" t="s">
        <v>28</v>
      </c>
      <c r="T697" t="s">
        <v>28</v>
      </c>
      <c r="U697" t="s">
        <v>28</v>
      </c>
      <c r="V697" t="s">
        <v>28</v>
      </c>
      <c r="W697" s="16" t="s">
        <v>5629</v>
      </c>
      <c r="X697" t="s">
        <v>5624</v>
      </c>
    </row>
    <row r="698" spans="1:24" x14ac:dyDescent="0.55000000000000004">
      <c r="A698" t="s">
        <v>2789</v>
      </c>
      <c r="B698" t="s">
        <v>2790</v>
      </c>
      <c r="C698">
        <v>2010</v>
      </c>
      <c r="D698" t="s">
        <v>53</v>
      </c>
      <c r="E698">
        <v>42</v>
      </c>
      <c r="F698">
        <v>12</v>
      </c>
      <c r="H698">
        <v>2316</v>
      </c>
      <c r="I698">
        <v>2324</v>
      </c>
      <c r="K698" s="2" t="s">
        <v>2791</v>
      </c>
      <c r="L698" s="2" t="s">
        <v>2792</v>
      </c>
      <c r="M698" t="s">
        <v>5025</v>
      </c>
      <c r="N698" t="s">
        <v>2793</v>
      </c>
      <c r="O698" t="s">
        <v>26</v>
      </c>
      <c r="P698" t="s">
        <v>27</v>
      </c>
      <c r="Q698" t="s">
        <v>28</v>
      </c>
      <c r="R698" t="s">
        <v>28</v>
      </c>
      <c r="S698" t="s">
        <v>28</v>
      </c>
      <c r="T698" t="s">
        <v>28</v>
      </c>
      <c r="U698" t="s">
        <v>28</v>
      </c>
      <c r="V698" t="s">
        <v>28</v>
      </c>
      <c r="W698" s="16" t="s">
        <v>5629</v>
      </c>
      <c r="X698" t="s">
        <v>5624</v>
      </c>
    </row>
    <row r="699" spans="1:24" x14ac:dyDescent="0.55000000000000004">
      <c r="A699" t="s">
        <v>2794</v>
      </c>
      <c r="B699" t="s">
        <v>2795</v>
      </c>
      <c r="C699">
        <v>2010</v>
      </c>
      <c r="D699" t="s">
        <v>186</v>
      </c>
      <c r="E699">
        <v>337</v>
      </c>
      <c r="F699">
        <v>1</v>
      </c>
      <c r="H699">
        <v>1</v>
      </c>
      <c r="I699">
        <v>18</v>
      </c>
      <c r="K699" s="2" t="s">
        <v>2796</v>
      </c>
      <c r="L699" s="2" t="s">
        <v>2797</v>
      </c>
      <c r="M699" t="s">
        <v>5026</v>
      </c>
      <c r="N699" t="s">
        <v>2798</v>
      </c>
      <c r="O699" t="s">
        <v>143</v>
      </c>
      <c r="P699" t="s">
        <v>27</v>
      </c>
      <c r="Q699" t="s">
        <v>28</v>
      </c>
      <c r="R699" t="s">
        <v>28</v>
      </c>
      <c r="S699" t="s">
        <v>28</v>
      </c>
      <c r="T699" t="s">
        <v>28</v>
      </c>
      <c r="U699" t="s">
        <v>28</v>
      </c>
      <c r="V699" t="s">
        <v>28</v>
      </c>
      <c r="W699" s="16" t="s">
        <v>5629</v>
      </c>
      <c r="X699" t="s">
        <v>5624</v>
      </c>
    </row>
    <row r="700" spans="1:24" x14ac:dyDescent="0.55000000000000004">
      <c r="A700" t="s">
        <v>2799</v>
      </c>
      <c r="B700" t="s">
        <v>2800</v>
      </c>
      <c r="C700">
        <v>2010</v>
      </c>
      <c r="D700" t="s">
        <v>433</v>
      </c>
      <c r="E700">
        <v>74</v>
      </c>
      <c r="F700">
        <v>2</v>
      </c>
      <c r="H700">
        <v>336</v>
      </c>
      <c r="I700">
        <v>345</v>
      </c>
      <c r="K700" s="2" t="s">
        <v>2801</v>
      </c>
      <c r="L700" s="2" t="s">
        <v>2802</v>
      </c>
      <c r="M700" t="s">
        <v>5027</v>
      </c>
      <c r="N700" t="s">
        <v>2803</v>
      </c>
      <c r="O700" t="s">
        <v>26</v>
      </c>
      <c r="P700" t="s">
        <v>27</v>
      </c>
      <c r="Q700" t="s">
        <v>28</v>
      </c>
      <c r="R700" t="s">
        <v>28</v>
      </c>
      <c r="S700" t="s">
        <v>28</v>
      </c>
      <c r="T700" t="s">
        <v>28</v>
      </c>
      <c r="U700" t="s">
        <v>28</v>
      </c>
      <c r="V700" t="s">
        <v>28</v>
      </c>
      <c r="W700" s="16" t="s">
        <v>5629</v>
      </c>
      <c r="X700" t="s">
        <v>5624</v>
      </c>
    </row>
    <row r="701" spans="1:24" x14ac:dyDescent="0.55000000000000004">
      <c r="A701" t="s">
        <v>2804</v>
      </c>
      <c r="B701" t="s">
        <v>2805</v>
      </c>
      <c r="C701">
        <v>2010</v>
      </c>
      <c r="D701" t="s">
        <v>1090</v>
      </c>
      <c r="E701">
        <v>3</v>
      </c>
      <c r="F701">
        <v>4</v>
      </c>
      <c r="H701">
        <v>288</v>
      </c>
      <c r="I701">
        <v>294</v>
      </c>
      <c r="K701" s="2" t="s">
        <v>2806</v>
      </c>
      <c r="L701" s="2" t="s">
        <v>2807</v>
      </c>
      <c r="M701" t="s">
        <v>5028</v>
      </c>
      <c r="N701" t="s">
        <v>2808</v>
      </c>
      <c r="O701" t="s">
        <v>26</v>
      </c>
      <c r="P701" t="s">
        <v>27</v>
      </c>
      <c r="Q701" t="s">
        <v>28</v>
      </c>
      <c r="R701" t="s">
        <v>28</v>
      </c>
      <c r="S701" t="s">
        <v>28</v>
      </c>
      <c r="T701" t="s">
        <v>28</v>
      </c>
      <c r="U701" t="s">
        <v>28</v>
      </c>
      <c r="V701" t="s">
        <v>28</v>
      </c>
      <c r="W701" s="16" t="s">
        <v>5629</v>
      </c>
      <c r="X701" t="s">
        <v>5624</v>
      </c>
    </row>
    <row r="702" spans="1:24" x14ac:dyDescent="0.55000000000000004">
      <c r="A702" t="s">
        <v>2809</v>
      </c>
      <c r="B702" t="s">
        <v>2810</v>
      </c>
      <c r="C702">
        <v>2010</v>
      </c>
      <c r="D702" t="s">
        <v>2811</v>
      </c>
      <c r="E702">
        <v>48</v>
      </c>
      <c r="F702" s="4">
        <v>44719</v>
      </c>
      <c r="H702">
        <v>489</v>
      </c>
      <c r="I702">
        <v>500</v>
      </c>
      <c r="K702" s="2" t="s">
        <v>2812</v>
      </c>
      <c r="L702" s="2" t="s">
        <v>2813</v>
      </c>
      <c r="M702" t="s">
        <v>5029</v>
      </c>
      <c r="N702" t="s">
        <v>2814</v>
      </c>
      <c r="O702" t="s">
        <v>1248</v>
      </c>
      <c r="P702" t="s">
        <v>27</v>
      </c>
      <c r="Q702" t="s">
        <v>28</v>
      </c>
      <c r="R702" t="s">
        <v>28</v>
      </c>
      <c r="S702" t="s">
        <v>28</v>
      </c>
      <c r="T702" t="s">
        <v>28</v>
      </c>
      <c r="U702" t="s">
        <v>28</v>
      </c>
      <c r="V702" t="s">
        <v>28</v>
      </c>
      <c r="W702" s="16" t="s">
        <v>5629</v>
      </c>
      <c r="X702" t="s">
        <v>5624</v>
      </c>
    </row>
    <row r="703" spans="1:24" x14ac:dyDescent="0.55000000000000004">
      <c r="A703" t="s">
        <v>2815</v>
      </c>
      <c r="B703" t="s">
        <v>2816</v>
      </c>
      <c r="C703">
        <v>2010</v>
      </c>
      <c r="D703" t="s">
        <v>152</v>
      </c>
      <c r="E703">
        <v>30</v>
      </c>
      <c r="F703">
        <v>10</v>
      </c>
      <c r="H703">
        <v>1299</v>
      </c>
      <c r="I703">
        <v>1310</v>
      </c>
      <c r="K703" s="2" t="s">
        <v>2817</v>
      </c>
      <c r="L703" s="2" t="s">
        <v>2818</v>
      </c>
      <c r="M703" t="s">
        <v>5030</v>
      </c>
      <c r="N703" t="s">
        <v>2819</v>
      </c>
      <c r="O703" t="s">
        <v>26</v>
      </c>
      <c r="P703" t="s">
        <v>27</v>
      </c>
      <c r="Q703" t="s">
        <v>28</v>
      </c>
      <c r="R703" t="s">
        <v>28</v>
      </c>
      <c r="S703" t="s">
        <v>28</v>
      </c>
      <c r="T703" t="s">
        <v>28</v>
      </c>
      <c r="U703" t="s">
        <v>28</v>
      </c>
      <c r="V703" t="s">
        <v>28</v>
      </c>
      <c r="W703" s="16" t="s">
        <v>5629</v>
      </c>
      <c r="X703" t="s">
        <v>5624</v>
      </c>
    </row>
    <row r="704" spans="1:24" x14ac:dyDescent="0.55000000000000004">
      <c r="A704" t="s">
        <v>2820</v>
      </c>
      <c r="B704" t="s">
        <v>2821</v>
      </c>
      <c r="C704">
        <v>2010</v>
      </c>
      <c r="D704" t="s">
        <v>532</v>
      </c>
      <c r="E704">
        <v>106</v>
      </c>
      <c r="F704">
        <v>4</v>
      </c>
      <c r="H704">
        <v>573</v>
      </c>
      <c r="I704">
        <v>581</v>
      </c>
      <c r="K704" s="2" t="s">
        <v>2822</v>
      </c>
      <c r="L704" s="2" t="s">
        <v>2823</v>
      </c>
      <c r="M704" t="s">
        <v>5031</v>
      </c>
      <c r="N704" t="s">
        <v>5032</v>
      </c>
      <c r="O704" t="s">
        <v>26</v>
      </c>
      <c r="P704" t="s">
        <v>27</v>
      </c>
      <c r="Q704" t="s">
        <v>28</v>
      </c>
      <c r="R704" t="s">
        <v>28</v>
      </c>
      <c r="S704" t="s">
        <v>28</v>
      </c>
      <c r="T704" t="s">
        <v>28</v>
      </c>
      <c r="U704" t="s">
        <v>28</v>
      </c>
      <c r="V704" t="s">
        <v>28</v>
      </c>
      <c r="W704" s="16" t="s">
        <v>5629</v>
      </c>
      <c r="X704" t="s">
        <v>5624</v>
      </c>
    </row>
    <row r="705" spans="1:50" x14ac:dyDescent="0.55000000000000004">
      <c r="A705" t="s">
        <v>5033</v>
      </c>
      <c r="B705" t="s">
        <v>2824</v>
      </c>
      <c r="C705">
        <v>2010</v>
      </c>
      <c r="D705" t="s">
        <v>68</v>
      </c>
      <c r="E705">
        <v>188</v>
      </c>
      <c r="F705">
        <v>2</v>
      </c>
      <c r="H705">
        <v>590</v>
      </c>
      <c r="I705">
        <v>596</v>
      </c>
      <c r="K705" s="2" t="s">
        <v>2825</v>
      </c>
      <c r="L705" s="2" t="s">
        <v>2826</v>
      </c>
      <c r="M705" t="s">
        <v>5034</v>
      </c>
      <c r="N705" t="s">
        <v>2827</v>
      </c>
      <c r="O705" t="s">
        <v>26</v>
      </c>
      <c r="P705" t="s">
        <v>27</v>
      </c>
      <c r="Q705" t="s">
        <v>28</v>
      </c>
      <c r="R705" t="s">
        <v>28</v>
      </c>
      <c r="S705" t="s">
        <v>28</v>
      </c>
      <c r="T705" t="s">
        <v>28</v>
      </c>
      <c r="U705" t="s">
        <v>28</v>
      </c>
      <c r="V705" t="s">
        <v>28</v>
      </c>
      <c r="W705" s="16" t="s">
        <v>5629</v>
      </c>
      <c r="X705" t="s">
        <v>5624</v>
      </c>
    </row>
    <row r="706" spans="1:50" x14ac:dyDescent="0.55000000000000004">
      <c r="A706" t="s">
        <v>5035</v>
      </c>
      <c r="B706" t="s">
        <v>2828</v>
      </c>
      <c r="C706">
        <v>2010</v>
      </c>
      <c r="D706" t="s">
        <v>2829</v>
      </c>
      <c r="E706">
        <v>37</v>
      </c>
      <c r="F706">
        <v>9</v>
      </c>
      <c r="H706">
        <v>879</v>
      </c>
      <c r="I706">
        <v>889</v>
      </c>
      <c r="K706" s="2" t="s">
        <v>2830</v>
      </c>
      <c r="L706" s="2" t="s">
        <v>2831</v>
      </c>
      <c r="M706" t="s">
        <v>5036</v>
      </c>
      <c r="N706" t="s">
        <v>2832</v>
      </c>
      <c r="O706" t="s">
        <v>26</v>
      </c>
      <c r="P706" t="s">
        <v>27</v>
      </c>
      <c r="Q706" t="s">
        <v>43</v>
      </c>
      <c r="R706" t="s">
        <v>28</v>
      </c>
      <c r="S706" t="s">
        <v>28</v>
      </c>
      <c r="T706" t="s">
        <v>28</v>
      </c>
      <c r="U706" t="s">
        <v>43</v>
      </c>
      <c r="V706" t="s">
        <v>28</v>
      </c>
      <c r="W706" s="16" t="s">
        <v>5629</v>
      </c>
      <c r="X706" t="s">
        <v>5624</v>
      </c>
    </row>
    <row r="707" spans="1:50" x14ac:dyDescent="0.55000000000000004">
      <c r="A707" t="s">
        <v>5037</v>
      </c>
      <c r="B707" t="s">
        <v>2833</v>
      </c>
      <c r="C707">
        <v>2010</v>
      </c>
      <c r="D707" t="s">
        <v>68</v>
      </c>
      <c r="E707">
        <v>187</v>
      </c>
      <c r="F707">
        <v>4</v>
      </c>
      <c r="H707">
        <v>1124</v>
      </c>
      <c r="I707">
        <v>1134</v>
      </c>
      <c r="K707" s="2" t="s">
        <v>2834</v>
      </c>
      <c r="L707" s="2" t="s">
        <v>2835</v>
      </c>
      <c r="M707" t="s">
        <v>5038</v>
      </c>
      <c r="N707" t="s">
        <v>2836</v>
      </c>
      <c r="O707" t="s">
        <v>26</v>
      </c>
      <c r="P707" t="s">
        <v>27</v>
      </c>
      <c r="Q707" t="s">
        <v>28</v>
      </c>
      <c r="R707" t="s">
        <v>28</v>
      </c>
      <c r="S707" t="s">
        <v>28</v>
      </c>
      <c r="T707" t="s">
        <v>28</v>
      </c>
      <c r="U707" t="s">
        <v>28</v>
      </c>
      <c r="V707" t="s">
        <v>28</v>
      </c>
      <c r="W707" s="16" t="s">
        <v>5629</v>
      </c>
      <c r="X707" t="s">
        <v>5624</v>
      </c>
    </row>
    <row r="708" spans="1:50" x14ac:dyDescent="0.55000000000000004">
      <c r="A708" t="s">
        <v>2837</v>
      </c>
      <c r="B708" t="s">
        <v>2838</v>
      </c>
      <c r="C708">
        <v>2010</v>
      </c>
      <c r="D708" t="s">
        <v>53</v>
      </c>
      <c r="E708">
        <v>42</v>
      </c>
      <c r="F708">
        <v>9</v>
      </c>
      <c r="H708">
        <v>1614</v>
      </c>
      <c r="I708">
        <v>1623</v>
      </c>
      <c r="K708" s="2" t="s">
        <v>2839</v>
      </c>
      <c r="L708" s="2" t="s">
        <v>2840</v>
      </c>
      <c r="M708" t="s">
        <v>5039</v>
      </c>
      <c r="N708" t="s">
        <v>2841</v>
      </c>
      <c r="O708" t="s">
        <v>26</v>
      </c>
      <c r="P708" t="s">
        <v>27</v>
      </c>
      <c r="Q708" t="s">
        <v>43</v>
      </c>
      <c r="R708" t="s">
        <v>43</v>
      </c>
      <c r="S708" t="s">
        <v>43</v>
      </c>
      <c r="T708" t="s">
        <v>28</v>
      </c>
      <c r="U708" t="s">
        <v>28</v>
      </c>
      <c r="V708" t="s">
        <v>28</v>
      </c>
      <c r="W708" s="16" t="s">
        <v>5629</v>
      </c>
      <c r="X708" t="s">
        <v>5624</v>
      </c>
      <c r="Y708" t="s">
        <v>4495</v>
      </c>
      <c r="Z708" t="s">
        <v>4358</v>
      </c>
      <c r="AA708" t="s">
        <v>5369</v>
      </c>
      <c r="AB708" t="s">
        <v>4471</v>
      </c>
      <c r="AC708" t="s">
        <v>4460</v>
      </c>
      <c r="AE708" t="s">
        <v>5709</v>
      </c>
      <c r="AF708" t="s">
        <v>4356</v>
      </c>
      <c r="AG708" t="s">
        <v>4419</v>
      </c>
      <c r="AH708" t="s">
        <v>4420</v>
      </c>
      <c r="AI708" t="s">
        <v>4343</v>
      </c>
      <c r="AJ708">
        <v>24</v>
      </c>
      <c r="AK708">
        <f>24*7</f>
        <v>168</v>
      </c>
      <c r="AL708" t="s">
        <v>5408</v>
      </c>
      <c r="AM708" t="s">
        <v>4334</v>
      </c>
      <c r="AO708">
        <v>13</v>
      </c>
      <c r="AP708">
        <v>60.172612999999998</v>
      </c>
      <c r="AQ708">
        <v>24.950717000000001</v>
      </c>
      <c r="AT708">
        <f>AVERAGE(13,16)</f>
        <v>14.5</v>
      </c>
      <c r="AU708">
        <f>AVERAGE(170,300)</f>
        <v>235</v>
      </c>
      <c r="AV708" s="19">
        <v>5.93</v>
      </c>
      <c r="AW708">
        <v>2.5</v>
      </c>
      <c r="AX708" t="s">
        <v>5659</v>
      </c>
    </row>
    <row r="709" spans="1:50" x14ac:dyDescent="0.55000000000000004">
      <c r="A709" t="s">
        <v>2842</v>
      </c>
      <c r="B709" t="s">
        <v>2843</v>
      </c>
      <c r="C709">
        <v>2010</v>
      </c>
      <c r="D709" t="s">
        <v>1005</v>
      </c>
      <c r="E709">
        <v>40</v>
      </c>
      <c r="F709">
        <v>7</v>
      </c>
      <c r="H709">
        <v>1288</v>
      </c>
      <c r="I709">
        <v>1301</v>
      </c>
      <c r="K709" s="2" t="s">
        <v>2844</v>
      </c>
      <c r="L709" s="2" t="s">
        <v>2845</v>
      </c>
      <c r="M709" t="s">
        <v>2846</v>
      </c>
      <c r="O709" t="s">
        <v>26</v>
      </c>
      <c r="P709" t="s">
        <v>27</v>
      </c>
      <c r="Q709" t="s">
        <v>28</v>
      </c>
      <c r="R709" t="s">
        <v>28</v>
      </c>
      <c r="S709" t="s">
        <v>28</v>
      </c>
      <c r="T709" t="s">
        <v>28</v>
      </c>
      <c r="U709" t="s">
        <v>28</v>
      </c>
      <c r="V709" t="s">
        <v>28</v>
      </c>
      <c r="W709" s="16" t="s">
        <v>5629</v>
      </c>
      <c r="X709" t="s">
        <v>5624</v>
      </c>
    </row>
    <row r="710" spans="1:50" x14ac:dyDescent="0.55000000000000004">
      <c r="A710" t="s">
        <v>2847</v>
      </c>
      <c r="B710" t="s">
        <v>2848</v>
      </c>
      <c r="C710">
        <v>2010</v>
      </c>
      <c r="D710" t="s">
        <v>2612</v>
      </c>
      <c r="E710">
        <v>107</v>
      </c>
      <c r="F710">
        <v>31</v>
      </c>
      <c r="H710">
        <v>13754</v>
      </c>
      <c r="I710">
        <v>13759</v>
      </c>
      <c r="K710" s="2" t="s">
        <v>2849</v>
      </c>
      <c r="L710" s="2" t="s">
        <v>2850</v>
      </c>
      <c r="M710" t="s">
        <v>5040</v>
      </c>
      <c r="N710" t="s">
        <v>2851</v>
      </c>
      <c r="O710" t="s">
        <v>26</v>
      </c>
      <c r="P710" t="s">
        <v>27</v>
      </c>
      <c r="Q710" t="s">
        <v>28</v>
      </c>
      <c r="R710" t="s">
        <v>28</v>
      </c>
      <c r="S710" t="s">
        <v>28</v>
      </c>
      <c r="T710" t="s">
        <v>28</v>
      </c>
      <c r="U710" t="s">
        <v>28</v>
      </c>
      <c r="V710" t="s">
        <v>28</v>
      </c>
      <c r="W710" s="16" t="s">
        <v>5629</v>
      </c>
      <c r="X710" t="s">
        <v>5624</v>
      </c>
    </row>
    <row r="711" spans="1:50" x14ac:dyDescent="0.55000000000000004">
      <c r="A711" t="s">
        <v>5041</v>
      </c>
      <c r="B711" t="s">
        <v>2852</v>
      </c>
      <c r="C711">
        <v>2010</v>
      </c>
      <c r="D711" t="s">
        <v>2853</v>
      </c>
      <c r="E711">
        <v>44</v>
      </c>
      <c r="F711">
        <v>5</v>
      </c>
      <c r="H711">
        <v>517</v>
      </c>
      <c r="I711">
        <v>529</v>
      </c>
      <c r="L711" s="2" t="s">
        <v>2854</v>
      </c>
      <c r="M711" t="s">
        <v>5042</v>
      </c>
      <c r="N711" t="s">
        <v>2855</v>
      </c>
      <c r="O711" t="s">
        <v>26</v>
      </c>
      <c r="P711" t="s">
        <v>27</v>
      </c>
      <c r="Q711" t="s">
        <v>28</v>
      </c>
      <c r="R711" t="s">
        <v>28</v>
      </c>
      <c r="S711" t="s">
        <v>28</v>
      </c>
      <c r="T711" t="s">
        <v>28</v>
      </c>
      <c r="U711" t="s">
        <v>28</v>
      </c>
      <c r="V711" t="s">
        <v>28</v>
      </c>
      <c r="W711" s="16" t="s">
        <v>5629</v>
      </c>
      <c r="X711" t="s">
        <v>5624</v>
      </c>
    </row>
    <row r="712" spans="1:50" x14ac:dyDescent="0.55000000000000004">
      <c r="A712" t="s">
        <v>5043</v>
      </c>
      <c r="B712" t="s">
        <v>2856</v>
      </c>
      <c r="C712">
        <v>2010</v>
      </c>
      <c r="D712" t="s">
        <v>68</v>
      </c>
      <c r="E712">
        <v>187</v>
      </c>
      <c r="F712">
        <v>2</v>
      </c>
      <c r="H712">
        <v>485</v>
      </c>
      <c r="I712">
        <v>493</v>
      </c>
      <c r="K712" s="2" t="s">
        <v>2857</v>
      </c>
      <c r="L712" s="2" t="s">
        <v>2858</v>
      </c>
      <c r="M712" t="s">
        <v>5044</v>
      </c>
      <c r="N712" t="s">
        <v>2859</v>
      </c>
      <c r="O712" t="s">
        <v>26</v>
      </c>
      <c r="P712" t="s">
        <v>27</v>
      </c>
      <c r="Q712" t="s">
        <v>28</v>
      </c>
      <c r="R712" t="s">
        <v>28</v>
      </c>
      <c r="S712" t="s">
        <v>28</v>
      </c>
      <c r="T712" t="s">
        <v>28</v>
      </c>
      <c r="U712" t="s">
        <v>28</v>
      </c>
      <c r="V712" t="s">
        <v>28</v>
      </c>
      <c r="W712" s="16" t="s">
        <v>5629</v>
      </c>
      <c r="X712" t="s">
        <v>5624</v>
      </c>
    </row>
    <row r="713" spans="1:50" x14ac:dyDescent="0.55000000000000004">
      <c r="A713" t="s">
        <v>2860</v>
      </c>
      <c r="B713" t="s">
        <v>2861</v>
      </c>
      <c r="C713">
        <v>2010</v>
      </c>
      <c r="D713" t="s">
        <v>68</v>
      </c>
      <c r="E713">
        <v>186</v>
      </c>
      <c r="F713">
        <v>4</v>
      </c>
      <c r="H713">
        <v>947</v>
      </c>
      <c r="I713">
        <v>956</v>
      </c>
      <c r="K713" s="2" t="s">
        <v>2862</v>
      </c>
      <c r="L713" s="2" t="s">
        <v>2863</v>
      </c>
      <c r="M713" t="s">
        <v>5045</v>
      </c>
      <c r="N713" t="s">
        <v>2864</v>
      </c>
      <c r="O713" t="s">
        <v>26</v>
      </c>
      <c r="P713" t="s">
        <v>27</v>
      </c>
      <c r="Q713" t="s">
        <v>28</v>
      </c>
      <c r="R713" t="s">
        <v>28</v>
      </c>
      <c r="S713" t="s">
        <v>28</v>
      </c>
      <c r="T713" t="s">
        <v>28</v>
      </c>
      <c r="U713" t="s">
        <v>28</v>
      </c>
      <c r="V713" t="s">
        <v>28</v>
      </c>
      <c r="W713" s="16" t="s">
        <v>5629</v>
      </c>
      <c r="X713" t="s">
        <v>5624</v>
      </c>
    </row>
    <row r="714" spans="1:50" x14ac:dyDescent="0.55000000000000004">
      <c r="A714" t="s">
        <v>2865</v>
      </c>
      <c r="B714" t="s">
        <v>2866</v>
      </c>
      <c r="C714">
        <v>2010</v>
      </c>
      <c r="D714" t="s">
        <v>372</v>
      </c>
      <c r="E714">
        <v>259</v>
      </c>
      <c r="F714">
        <v>9</v>
      </c>
      <c r="H714">
        <v>1695</v>
      </c>
      <c r="I714">
        <v>1703</v>
      </c>
      <c r="K714" s="2" t="s">
        <v>2867</v>
      </c>
      <c r="L714" s="2" t="s">
        <v>2868</v>
      </c>
      <c r="M714" t="s">
        <v>2869</v>
      </c>
      <c r="N714" t="s">
        <v>2870</v>
      </c>
      <c r="O714" t="s">
        <v>26</v>
      </c>
      <c r="P714" t="s">
        <v>27</v>
      </c>
      <c r="Q714" t="s">
        <v>28</v>
      </c>
      <c r="R714" t="s">
        <v>28</v>
      </c>
      <c r="S714" t="s">
        <v>28</v>
      </c>
      <c r="T714" t="s">
        <v>28</v>
      </c>
      <c r="U714" t="s">
        <v>28</v>
      </c>
      <c r="V714" t="s">
        <v>28</v>
      </c>
      <c r="W714" s="16" t="s">
        <v>5629</v>
      </c>
      <c r="X714" t="s">
        <v>5624</v>
      </c>
    </row>
    <row r="715" spans="1:50" x14ac:dyDescent="0.55000000000000004">
      <c r="A715" t="s">
        <v>2871</v>
      </c>
      <c r="B715" t="s">
        <v>2872</v>
      </c>
      <c r="C715">
        <v>2010</v>
      </c>
      <c r="D715" t="s">
        <v>68</v>
      </c>
      <c r="E715">
        <v>186</v>
      </c>
      <c r="F715">
        <v>2</v>
      </c>
      <c r="H715">
        <v>346</v>
      </c>
      <c r="I715">
        <v>357</v>
      </c>
      <c r="K715" s="2" t="s">
        <v>2873</v>
      </c>
      <c r="L715" s="2" t="s">
        <v>2874</v>
      </c>
      <c r="M715" t="s">
        <v>5046</v>
      </c>
      <c r="N715" t="s">
        <v>2875</v>
      </c>
      <c r="O715" t="s">
        <v>143</v>
      </c>
      <c r="P715" t="s">
        <v>27</v>
      </c>
      <c r="Q715" t="s">
        <v>28</v>
      </c>
      <c r="R715" t="s">
        <v>28</v>
      </c>
      <c r="S715" t="s">
        <v>28</v>
      </c>
      <c r="T715" t="s">
        <v>28</v>
      </c>
      <c r="U715" t="s">
        <v>28</v>
      </c>
      <c r="V715" t="s">
        <v>28</v>
      </c>
      <c r="W715" s="16" t="s">
        <v>5629</v>
      </c>
      <c r="X715" t="s">
        <v>5624</v>
      </c>
    </row>
    <row r="716" spans="1:50" x14ac:dyDescent="0.55000000000000004">
      <c r="A716" t="s">
        <v>2876</v>
      </c>
      <c r="B716" t="s">
        <v>2877</v>
      </c>
      <c r="C716">
        <v>2010</v>
      </c>
      <c r="D716" t="s">
        <v>433</v>
      </c>
      <c r="E716">
        <v>72</v>
      </c>
      <c r="F716">
        <v>1</v>
      </c>
      <c r="H716">
        <v>125</v>
      </c>
      <c r="I716">
        <v>131</v>
      </c>
      <c r="K716" s="2" t="s">
        <v>2878</v>
      </c>
      <c r="L716" s="2" t="s">
        <v>2879</v>
      </c>
      <c r="M716" t="s">
        <v>5047</v>
      </c>
      <c r="N716" t="s">
        <v>2880</v>
      </c>
      <c r="O716" t="s">
        <v>26</v>
      </c>
      <c r="P716" t="s">
        <v>27</v>
      </c>
      <c r="Q716" t="s">
        <v>28</v>
      </c>
      <c r="R716" t="s">
        <v>28</v>
      </c>
      <c r="S716" t="s">
        <v>28</v>
      </c>
      <c r="T716" t="s">
        <v>28</v>
      </c>
      <c r="U716" t="s">
        <v>28</v>
      </c>
      <c r="V716" t="s">
        <v>28</v>
      </c>
      <c r="W716" s="16" t="s">
        <v>5629</v>
      </c>
      <c r="X716" t="s">
        <v>5624</v>
      </c>
    </row>
    <row r="717" spans="1:50" x14ac:dyDescent="0.55000000000000004">
      <c r="A717" t="s">
        <v>5048</v>
      </c>
      <c r="B717" t="s">
        <v>2881</v>
      </c>
      <c r="C717">
        <v>2010</v>
      </c>
      <c r="D717" t="s">
        <v>2737</v>
      </c>
      <c r="E717">
        <v>12</v>
      </c>
      <c r="F717">
        <v>2</v>
      </c>
      <c r="H717">
        <v>292</v>
      </c>
      <c r="I717">
        <v>301</v>
      </c>
      <c r="K717" s="2" t="s">
        <v>2882</v>
      </c>
      <c r="L717" s="2" t="s">
        <v>2883</v>
      </c>
      <c r="M717" t="s">
        <v>5049</v>
      </c>
      <c r="N717" t="s">
        <v>2884</v>
      </c>
      <c r="O717" t="s">
        <v>143</v>
      </c>
      <c r="P717" t="s">
        <v>27</v>
      </c>
      <c r="Q717" t="s">
        <v>28</v>
      </c>
      <c r="R717" t="s">
        <v>28</v>
      </c>
      <c r="S717" t="s">
        <v>28</v>
      </c>
      <c r="T717" t="s">
        <v>28</v>
      </c>
      <c r="U717" t="s">
        <v>28</v>
      </c>
      <c r="V717" t="s">
        <v>28</v>
      </c>
      <c r="W717" s="16" t="s">
        <v>5629</v>
      </c>
      <c r="X717" t="s">
        <v>5624</v>
      </c>
    </row>
    <row r="718" spans="1:50" x14ac:dyDescent="0.55000000000000004">
      <c r="A718" t="s">
        <v>2885</v>
      </c>
      <c r="B718" t="s">
        <v>2886</v>
      </c>
      <c r="C718">
        <v>2010</v>
      </c>
      <c r="D718" t="s">
        <v>306</v>
      </c>
      <c r="E718">
        <v>13</v>
      </c>
      <c r="F718">
        <v>2</v>
      </c>
      <c r="H718">
        <v>177</v>
      </c>
      <c r="I718">
        <v>193</v>
      </c>
      <c r="K718" s="2" t="s">
        <v>2887</v>
      </c>
      <c r="L718" s="2" t="s">
        <v>2888</v>
      </c>
      <c r="M718" t="s">
        <v>5050</v>
      </c>
      <c r="N718" t="s">
        <v>2889</v>
      </c>
      <c r="O718" t="s">
        <v>26</v>
      </c>
      <c r="P718" t="s">
        <v>27</v>
      </c>
      <c r="Q718" t="s">
        <v>28</v>
      </c>
      <c r="R718" t="s">
        <v>28</v>
      </c>
      <c r="S718" t="s">
        <v>28</v>
      </c>
      <c r="T718" t="s">
        <v>28</v>
      </c>
      <c r="U718" t="s">
        <v>28</v>
      </c>
      <c r="V718" t="s">
        <v>28</v>
      </c>
      <c r="W718" s="16" t="s">
        <v>5629</v>
      </c>
      <c r="X718" t="s">
        <v>5624</v>
      </c>
    </row>
    <row r="719" spans="1:50" x14ac:dyDescent="0.55000000000000004">
      <c r="A719" t="s">
        <v>2890</v>
      </c>
      <c r="B719" t="s">
        <v>2891</v>
      </c>
      <c r="C719">
        <v>2010</v>
      </c>
      <c r="D719" t="s">
        <v>2612</v>
      </c>
      <c r="E719">
        <v>107</v>
      </c>
      <c r="F719">
        <v>5</v>
      </c>
      <c r="H719">
        <v>2093</v>
      </c>
      <c r="I719">
        <v>2098</v>
      </c>
      <c r="K719" s="2" t="s">
        <v>2892</v>
      </c>
      <c r="L719" s="2" t="s">
        <v>2893</v>
      </c>
      <c r="M719" t="s">
        <v>2894</v>
      </c>
      <c r="N719" t="s">
        <v>2895</v>
      </c>
      <c r="O719" t="s">
        <v>26</v>
      </c>
      <c r="P719" t="s">
        <v>27</v>
      </c>
      <c r="Q719" t="s">
        <v>28</v>
      </c>
      <c r="R719" t="s">
        <v>28</v>
      </c>
      <c r="S719" t="s">
        <v>28</v>
      </c>
      <c r="T719" t="s">
        <v>28</v>
      </c>
      <c r="U719" t="s">
        <v>28</v>
      </c>
      <c r="V719" t="s">
        <v>28</v>
      </c>
      <c r="W719" s="16" t="s">
        <v>5629</v>
      </c>
      <c r="X719" t="s">
        <v>5624</v>
      </c>
    </row>
    <row r="720" spans="1:50" x14ac:dyDescent="0.55000000000000004">
      <c r="A720" t="s">
        <v>2901</v>
      </c>
      <c r="B720" t="s">
        <v>2902</v>
      </c>
      <c r="C720">
        <v>2010</v>
      </c>
      <c r="D720" t="s">
        <v>2903</v>
      </c>
      <c r="E720">
        <v>44</v>
      </c>
      <c r="F720">
        <v>3</v>
      </c>
      <c r="H720">
        <v>1112</v>
      </c>
      <c r="I720">
        <v>1115</v>
      </c>
      <c r="K720" s="2" t="s">
        <v>2904</v>
      </c>
      <c r="L720" s="2" t="s">
        <v>2905</v>
      </c>
      <c r="M720" t="s">
        <v>5052</v>
      </c>
      <c r="O720" t="s">
        <v>26</v>
      </c>
      <c r="P720" t="s">
        <v>27</v>
      </c>
      <c r="Q720" t="s">
        <v>28</v>
      </c>
      <c r="R720" t="s">
        <v>28</v>
      </c>
      <c r="S720" t="s">
        <v>28</v>
      </c>
      <c r="T720" t="s">
        <v>28</v>
      </c>
      <c r="U720" t="s">
        <v>28</v>
      </c>
      <c r="V720" t="s">
        <v>28</v>
      </c>
      <c r="W720" s="16" t="s">
        <v>5629</v>
      </c>
      <c r="X720" t="s">
        <v>5624</v>
      </c>
    </row>
    <row r="721" spans="1:24" x14ac:dyDescent="0.55000000000000004">
      <c r="A721" t="s">
        <v>5053</v>
      </c>
      <c r="B721" t="s">
        <v>2906</v>
      </c>
      <c r="C721">
        <v>2010</v>
      </c>
      <c r="D721" t="s">
        <v>781</v>
      </c>
      <c r="E721">
        <v>44</v>
      </c>
      <c r="F721">
        <v>2</v>
      </c>
      <c r="H721">
        <v>124</v>
      </c>
      <c r="I721">
        <v>132</v>
      </c>
      <c r="K721" s="2" t="s">
        <v>2907</v>
      </c>
      <c r="L721" s="2" t="s">
        <v>2908</v>
      </c>
      <c r="M721" t="s">
        <v>5054</v>
      </c>
      <c r="N721" t="s">
        <v>2909</v>
      </c>
      <c r="O721" t="s">
        <v>26</v>
      </c>
      <c r="P721" t="s">
        <v>27</v>
      </c>
      <c r="Q721" t="s">
        <v>28</v>
      </c>
      <c r="R721" t="s">
        <v>28</v>
      </c>
      <c r="S721" t="s">
        <v>28</v>
      </c>
      <c r="T721" t="s">
        <v>28</v>
      </c>
      <c r="U721" t="s">
        <v>28</v>
      </c>
      <c r="V721" t="s">
        <v>28</v>
      </c>
      <c r="W721" s="16" t="s">
        <v>5629</v>
      </c>
      <c r="X721" t="s">
        <v>5624</v>
      </c>
    </row>
    <row r="722" spans="1:24" x14ac:dyDescent="0.55000000000000004">
      <c r="A722" t="s">
        <v>2910</v>
      </c>
      <c r="B722" t="s">
        <v>2911</v>
      </c>
      <c r="C722">
        <v>2010</v>
      </c>
      <c r="D722" t="s">
        <v>2912</v>
      </c>
      <c r="H722">
        <v>157</v>
      </c>
      <c r="I722">
        <v>168</v>
      </c>
      <c r="K722" s="2" t="s">
        <v>2913</v>
      </c>
      <c r="L722" s="2" t="s">
        <v>2914</v>
      </c>
      <c r="M722" t="s">
        <v>5055</v>
      </c>
      <c r="O722" t="s">
        <v>198</v>
      </c>
      <c r="P722" t="s">
        <v>27</v>
      </c>
      <c r="Q722" t="s">
        <v>28</v>
      </c>
      <c r="R722" t="s">
        <v>28</v>
      </c>
      <c r="S722" t="s">
        <v>28</v>
      </c>
      <c r="T722" t="s">
        <v>28</v>
      </c>
      <c r="U722" t="s">
        <v>28</v>
      </c>
      <c r="V722" t="s">
        <v>28</v>
      </c>
      <c r="W722" s="16" t="s">
        <v>5629</v>
      </c>
      <c r="X722" t="s">
        <v>5624</v>
      </c>
    </row>
    <row r="723" spans="1:24" x14ac:dyDescent="0.55000000000000004">
      <c r="A723" t="s">
        <v>2915</v>
      </c>
      <c r="B723" t="s">
        <v>2916</v>
      </c>
      <c r="C723">
        <v>2010</v>
      </c>
      <c r="D723" t="s">
        <v>2917</v>
      </c>
      <c r="H723">
        <v>121</v>
      </c>
      <c r="I723">
        <v>134</v>
      </c>
      <c r="K723" s="2" t="s">
        <v>2918</v>
      </c>
      <c r="L723" s="2" t="s">
        <v>2919</v>
      </c>
      <c r="M723" t="s">
        <v>5056</v>
      </c>
      <c r="O723" t="s">
        <v>198</v>
      </c>
      <c r="P723" t="s">
        <v>27</v>
      </c>
      <c r="Q723" t="s">
        <v>28</v>
      </c>
      <c r="R723" t="s">
        <v>28</v>
      </c>
      <c r="S723" t="s">
        <v>28</v>
      </c>
      <c r="T723" t="s">
        <v>28</v>
      </c>
      <c r="U723" t="s">
        <v>28</v>
      </c>
      <c r="V723" t="s">
        <v>28</v>
      </c>
      <c r="W723" s="16" t="s">
        <v>5629</v>
      </c>
      <c r="X723" t="s">
        <v>5624</v>
      </c>
    </row>
    <row r="724" spans="1:24" x14ac:dyDescent="0.55000000000000004">
      <c r="A724" t="s">
        <v>2920</v>
      </c>
      <c r="B724" t="s">
        <v>2921</v>
      </c>
      <c r="C724">
        <v>2010</v>
      </c>
      <c r="D724" t="s">
        <v>2922</v>
      </c>
      <c r="E724">
        <v>30</v>
      </c>
      <c r="F724">
        <v>9</v>
      </c>
      <c r="H724">
        <v>2499</v>
      </c>
      <c r="I724">
        <v>2506</v>
      </c>
      <c r="L724" s="2" t="s">
        <v>2923</v>
      </c>
      <c r="M724" t="s">
        <v>5057</v>
      </c>
      <c r="N724" t="s">
        <v>2924</v>
      </c>
      <c r="O724" t="s">
        <v>26</v>
      </c>
      <c r="P724" t="s">
        <v>27</v>
      </c>
      <c r="Q724" t="s">
        <v>28</v>
      </c>
      <c r="R724" t="s">
        <v>28</v>
      </c>
      <c r="S724" t="s">
        <v>28</v>
      </c>
      <c r="T724" t="s">
        <v>28</v>
      </c>
      <c r="U724" t="s">
        <v>28</v>
      </c>
      <c r="V724" t="s">
        <v>28</v>
      </c>
      <c r="W724" s="16" t="s">
        <v>5629</v>
      </c>
      <c r="X724" t="s">
        <v>5624</v>
      </c>
    </row>
    <row r="725" spans="1:24" x14ac:dyDescent="0.55000000000000004">
      <c r="A725" t="s">
        <v>2925</v>
      </c>
      <c r="B725" t="s">
        <v>2926</v>
      </c>
      <c r="C725">
        <v>2010</v>
      </c>
      <c r="D725" t="s">
        <v>1052</v>
      </c>
      <c r="E725">
        <v>3</v>
      </c>
      <c r="F725">
        <v>1</v>
      </c>
      <c r="H725">
        <v>13</v>
      </c>
      <c r="I725">
        <v>17</v>
      </c>
      <c r="K725" s="2" t="s">
        <v>2927</v>
      </c>
      <c r="L725" s="2" t="s">
        <v>2928</v>
      </c>
      <c r="M725" t="s">
        <v>5058</v>
      </c>
      <c r="O725" t="s">
        <v>26</v>
      </c>
      <c r="P725" t="s">
        <v>27</v>
      </c>
      <c r="Q725" t="s">
        <v>28</v>
      </c>
      <c r="R725" t="s">
        <v>28</v>
      </c>
      <c r="S725" t="s">
        <v>28</v>
      </c>
      <c r="T725" t="s">
        <v>28</v>
      </c>
      <c r="U725" t="s">
        <v>28</v>
      </c>
      <c r="V725" t="s">
        <v>28</v>
      </c>
      <c r="W725" s="16" t="s">
        <v>5629</v>
      </c>
      <c r="X725" t="s">
        <v>5624</v>
      </c>
    </row>
    <row r="726" spans="1:24" x14ac:dyDescent="0.55000000000000004">
      <c r="A726" t="s">
        <v>5059</v>
      </c>
      <c r="B726" t="s">
        <v>2929</v>
      </c>
      <c r="C726">
        <v>2010</v>
      </c>
      <c r="D726" t="s">
        <v>53</v>
      </c>
      <c r="E726">
        <v>42</v>
      </c>
      <c r="F726">
        <v>1</v>
      </c>
      <c r="H726">
        <v>48</v>
      </c>
      <c r="I726">
        <v>55</v>
      </c>
      <c r="K726" s="2" t="s">
        <v>2930</v>
      </c>
      <c r="L726" s="2" t="s">
        <v>2931</v>
      </c>
      <c r="M726" t="s">
        <v>5060</v>
      </c>
      <c r="N726" t="s">
        <v>2932</v>
      </c>
      <c r="O726" t="s">
        <v>26</v>
      </c>
      <c r="P726" t="s">
        <v>27</v>
      </c>
      <c r="Q726" t="s">
        <v>43</v>
      </c>
      <c r="R726" t="s">
        <v>28</v>
      </c>
      <c r="S726" t="s">
        <v>28</v>
      </c>
      <c r="T726" t="s">
        <v>28</v>
      </c>
      <c r="U726" t="s">
        <v>43</v>
      </c>
      <c r="V726" t="s">
        <v>28</v>
      </c>
      <c r="W726" s="16" t="s">
        <v>5629</v>
      </c>
      <c r="X726" t="s">
        <v>5624</v>
      </c>
    </row>
    <row r="727" spans="1:24" x14ac:dyDescent="0.55000000000000004">
      <c r="A727" t="s">
        <v>2933</v>
      </c>
      <c r="B727" t="s">
        <v>2934</v>
      </c>
      <c r="C727">
        <v>2009</v>
      </c>
      <c r="D727" t="s">
        <v>2935</v>
      </c>
      <c r="E727">
        <v>59</v>
      </c>
      <c r="F727">
        <v>3</v>
      </c>
      <c r="H727">
        <v>183</v>
      </c>
      <c r="I727">
        <v>196</v>
      </c>
      <c r="L727" s="2" t="s">
        <v>2936</v>
      </c>
      <c r="M727" t="s">
        <v>2937</v>
      </c>
      <c r="N727" t="s">
        <v>2938</v>
      </c>
      <c r="O727" t="s">
        <v>26</v>
      </c>
      <c r="P727" t="s">
        <v>27</v>
      </c>
      <c r="Q727" t="s">
        <v>28</v>
      </c>
      <c r="R727" t="s">
        <v>28</v>
      </c>
      <c r="S727" t="s">
        <v>28</v>
      </c>
      <c r="T727" t="s">
        <v>28</v>
      </c>
      <c r="U727" t="s">
        <v>28</v>
      </c>
      <c r="V727" t="s">
        <v>28</v>
      </c>
      <c r="W727" s="16" t="s">
        <v>5629</v>
      </c>
      <c r="X727" t="s">
        <v>5624</v>
      </c>
    </row>
    <row r="728" spans="1:24" x14ac:dyDescent="0.55000000000000004">
      <c r="A728" t="s">
        <v>2939</v>
      </c>
      <c r="B728" t="s">
        <v>2940</v>
      </c>
      <c r="C728">
        <v>2009</v>
      </c>
      <c r="D728" t="s">
        <v>1255</v>
      </c>
      <c r="E728">
        <v>11</v>
      </c>
      <c r="F728">
        <v>12</v>
      </c>
      <c r="H728">
        <v>3087</v>
      </c>
      <c r="I728">
        <v>3095</v>
      </c>
      <c r="K728" s="2" t="s">
        <v>2941</v>
      </c>
      <c r="L728" s="2" t="s">
        <v>2942</v>
      </c>
      <c r="M728" t="s">
        <v>5061</v>
      </c>
      <c r="O728" t="s">
        <v>26</v>
      </c>
      <c r="P728" t="s">
        <v>27</v>
      </c>
      <c r="Q728" t="s">
        <v>28</v>
      </c>
      <c r="R728" t="s">
        <v>28</v>
      </c>
      <c r="S728" t="s">
        <v>28</v>
      </c>
      <c r="T728" t="s">
        <v>28</v>
      </c>
      <c r="U728" t="s">
        <v>28</v>
      </c>
      <c r="V728" t="s">
        <v>28</v>
      </c>
      <c r="W728" s="16" t="s">
        <v>5629</v>
      </c>
      <c r="X728" t="s">
        <v>5624</v>
      </c>
    </row>
    <row r="729" spans="1:24" x14ac:dyDescent="0.55000000000000004">
      <c r="A729" t="s">
        <v>2943</v>
      </c>
      <c r="B729" t="s">
        <v>2944</v>
      </c>
      <c r="C729">
        <v>2009</v>
      </c>
      <c r="D729" t="s">
        <v>68</v>
      </c>
      <c r="E729">
        <v>184</v>
      </c>
      <c r="F729">
        <v>3</v>
      </c>
      <c r="H729">
        <v>668</v>
      </c>
      <c r="I729">
        <v>681</v>
      </c>
      <c r="K729" s="2" t="s">
        <v>2945</v>
      </c>
      <c r="L729" s="2" t="s">
        <v>2946</v>
      </c>
      <c r="M729" t="s">
        <v>5062</v>
      </c>
      <c r="N729" t="s">
        <v>2947</v>
      </c>
      <c r="O729" t="s">
        <v>26</v>
      </c>
      <c r="P729" t="s">
        <v>27</v>
      </c>
      <c r="Q729" t="s">
        <v>28</v>
      </c>
      <c r="R729" t="s">
        <v>28</v>
      </c>
      <c r="S729" t="s">
        <v>28</v>
      </c>
      <c r="T729" t="s">
        <v>28</v>
      </c>
      <c r="U729" t="s">
        <v>28</v>
      </c>
      <c r="V729" t="s">
        <v>28</v>
      </c>
      <c r="W729" s="16" t="s">
        <v>5629</v>
      </c>
      <c r="X729" t="s">
        <v>5624</v>
      </c>
    </row>
    <row r="730" spans="1:24" x14ac:dyDescent="0.55000000000000004">
      <c r="A730" t="s">
        <v>2948</v>
      </c>
      <c r="B730" t="s">
        <v>2949</v>
      </c>
      <c r="C730">
        <v>2009</v>
      </c>
      <c r="D730" t="s">
        <v>372</v>
      </c>
      <c r="E730">
        <v>258</v>
      </c>
      <c r="F730">
        <v>10</v>
      </c>
      <c r="H730">
        <v>2224</v>
      </c>
      <c r="I730">
        <v>2232</v>
      </c>
      <c r="K730" s="2" t="s">
        <v>2950</v>
      </c>
      <c r="L730" s="2" t="s">
        <v>2951</v>
      </c>
      <c r="M730" t="s">
        <v>5063</v>
      </c>
      <c r="N730" t="s">
        <v>2952</v>
      </c>
      <c r="O730" t="s">
        <v>26</v>
      </c>
      <c r="P730" t="s">
        <v>27</v>
      </c>
      <c r="Q730" t="s">
        <v>28</v>
      </c>
      <c r="R730" t="s">
        <v>28</v>
      </c>
      <c r="S730" t="s">
        <v>28</v>
      </c>
      <c r="T730" t="s">
        <v>28</v>
      </c>
      <c r="U730" t="s">
        <v>28</v>
      </c>
      <c r="V730" t="s">
        <v>28</v>
      </c>
      <c r="W730" s="16" t="s">
        <v>5629</v>
      </c>
      <c r="X730" t="s">
        <v>5624</v>
      </c>
    </row>
    <row r="731" spans="1:24" x14ac:dyDescent="0.55000000000000004">
      <c r="A731" t="s">
        <v>2953</v>
      </c>
      <c r="B731" t="s">
        <v>2954</v>
      </c>
      <c r="C731">
        <v>2009</v>
      </c>
      <c r="D731" t="s">
        <v>2955</v>
      </c>
      <c r="E731">
        <v>28</v>
      </c>
      <c r="F731">
        <v>5</v>
      </c>
      <c r="H731">
        <v>359</v>
      </c>
      <c r="I731">
        <v>367</v>
      </c>
      <c r="K731" s="2" t="s">
        <v>2956</v>
      </c>
      <c r="L731" s="2" t="s">
        <v>2957</v>
      </c>
      <c r="M731" t="s">
        <v>5064</v>
      </c>
      <c r="N731" t="s">
        <v>2958</v>
      </c>
      <c r="O731" t="s">
        <v>26</v>
      </c>
      <c r="P731" t="s">
        <v>27</v>
      </c>
      <c r="Q731" t="s">
        <v>28</v>
      </c>
      <c r="R731" t="s">
        <v>28</v>
      </c>
      <c r="S731" t="s">
        <v>28</v>
      </c>
      <c r="T731" t="s">
        <v>28</v>
      </c>
      <c r="U731" t="s">
        <v>28</v>
      </c>
      <c r="V731" t="s">
        <v>28</v>
      </c>
      <c r="W731" s="16" t="s">
        <v>5629</v>
      </c>
      <c r="X731" t="s">
        <v>5624</v>
      </c>
    </row>
    <row r="732" spans="1:24" x14ac:dyDescent="0.55000000000000004">
      <c r="A732" t="s">
        <v>2959</v>
      </c>
      <c r="B732" t="s">
        <v>2960</v>
      </c>
      <c r="C732">
        <v>2009</v>
      </c>
      <c r="D732" t="s">
        <v>53</v>
      </c>
      <c r="E732">
        <v>41</v>
      </c>
      <c r="F732">
        <v>9</v>
      </c>
      <c r="H732">
        <v>1951</v>
      </c>
      <c r="I732">
        <v>1956</v>
      </c>
      <c r="K732" s="2" t="s">
        <v>2961</v>
      </c>
      <c r="L732" s="2" t="s">
        <v>2962</v>
      </c>
      <c r="M732" t="s">
        <v>5065</v>
      </c>
      <c r="N732" t="s">
        <v>2963</v>
      </c>
      <c r="O732" t="s">
        <v>26</v>
      </c>
      <c r="P732" t="s">
        <v>27</v>
      </c>
      <c r="Q732" t="s">
        <v>28</v>
      </c>
      <c r="R732" t="s">
        <v>28</v>
      </c>
      <c r="S732" t="s">
        <v>28</v>
      </c>
      <c r="T732" t="s">
        <v>28</v>
      </c>
      <c r="U732" t="s">
        <v>28</v>
      </c>
      <c r="V732" t="s">
        <v>28</v>
      </c>
      <c r="W732" s="16" t="s">
        <v>5629</v>
      </c>
      <c r="X732" t="s">
        <v>5624</v>
      </c>
    </row>
    <row r="733" spans="1:24" x14ac:dyDescent="0.55000000000000004">
      <c r="A733" t="s">
        <v>2964</v>
      </c>
      <c r="B733" t="s">
        <v>2965</v>
      </c>
      <c r="C733">
        <v>2009</v>
      </c>
      <c r="D733" t="s">
        <v>288</v>
      </c>
      <c r="E733">
        <v>97</v>
      </c>
      <c r="F733">
        <v>5</v>
      </c>
      <c r="H733">
        <v>840</v>
      </c>
      <c r="I733">
        <v>850</v>
      </c>
      <c r="K733" s="2" t="s">
        <v>2966</v>
      </c>
      <c r="L733" s="2" t="s">
        <v>2967</v>
      </c>
      <c r="M733" t="s">
        <v>5066</v>
      </c>
      <c r="N733" t="s">
        <v>2968</v>
      </c>
      <c r="O733" t="s">
        <v>26</v>
      </c>
      <c r="P733" t="s">
        <v>27</v>
      </c>
      <c r="Q733" t="s">
        <v>28</v>
      </c>
      <c r="R733" t="s">
        <v>28</v>
      </c>
      <c r="S733" t="s">
        <v>28</v>
      </c>
      <c r="T733" t="s">
        <v>28</v>
      </c>
      <c r="U733" t="s">
        <v>28</v>
      </c>
      <c r="V733" t="s">
        <v>28</v>
      </c>
      <c r="W733" s="16" t="s">
        <v>5629</v>
      </c>
      <c r="X733" t="s">
        <v>5624</v>
      </c>
    </row>
    <row r="734" spans="1:24" x14ac:dyDescent="0.55000000000000004">
      <c r="A734" t="s">
        <v>5067</v>
      </c>
      <c r="B734" t="s">
        <v>2969</v>
      </c>
      <c r="C734">
        <v>2009</v>
      </c>
      <c r="D734" t="s">
        <v>53</v>
      </c>
      <c r="E734">
        <v>41</v>
      </c>
      <c r="F734">
        <v>9</v>
      </c>
      <c r="H734">
        <v>1976</v>
      </c>
      <c r="I734">
        <v>1985</v>
      </c>
      <c r="K734" s="2" t="s">
        <v>2970</v>
      </c>
      <c r="L734" s="2" t="s">
        <v>2971</v>
      </c>
      <c r="M734" t="s">
        <v>5068</v>
      </c>
      <c r="N734" t="s">
        <v>2972</v>
      </c>
      <c r="O734" t="s">
        <v>26</v>
      </c>
      <c r="P734" t="s">
        <v>27</v>
      </c>
      <c r="Q734" t="s">
        <v>28</v>
      </c>
      <c r="R734" t="s">
        <v>28</v>
      </c>
      <c r="S734" t="s">
        <v>28</v>
      </c>
      <c r="T734" t="s">
        <v>28</v>
      </c>
      <c r="U734" t="s">
        <v>28</v>
      </c>
      <c r="V734" t="s">
        <v>28</v>
      </c>
      <c r="W734" s="16" t="s">
        <v>5629</v>
      </c>
      <c r="X734" t="s">
        <v>5624</v>
      </c>
    </row>
    <row r="735" spans="1:24" x14ac:dyDescent="0.55000000000000004">
      <c r="A735" t="s">
        <v>2973</v>
      </c>
      <c r="B735" t="s">
        <v>2974</v>
      </c>
      <c r="C735">
        <v>2009</v>
      </c>
      <c r="D735" t="s">
        <v>2975</v>
      </c>
      <c r="E735">
        <v>7</v>
      </c>
      <c r="G735">
        <v>51</v>
      </c>
      <c r="H735">
        <v>51</v>
      </c>
      <c r="K735" s="2" t="s">
        <v>2976</v>
      </c>
      <c r="L735" s="2" t="s">
        <v>2977</v>
      </c>
      <c r="M735" t="s">
        <v>5069</v>
      </c>
      <c r="O735" t="s">
        <v>26</v>
      </c>
      <c r="P735" t="s">
        <v>27</v>
      </c>
      <c r="Q735" t="s">
        <v>28</v>
      </c>
      <c r="R735" t="s">
        <v>28</v>
      </c>
      <c r="S735" t="s">
        <v>28</v>
      </c>
      <c r="T735" t="s">
        <v>28</v>
      </c>
      <c r="U735" t="s">
        <v>28</v>
      </c>
      <c r="V735" t="s">
        <v>28</v>
      </c>
      <c r="W735" s="16" t="s">
        <v>5629</v>
      </c>
      <c r="X735" t="s">
        <v>5624</v>
      </c>
    </row>
    <row r="736" spans="1:24" x14ac:dyDescent="0.55000000000000004">
      <c r="A736" t="s">
        <v>2978</v>
      </c>
      <c r="B736" t="s">
        <v>5070</v>
      </c>
      <c r="C736">
        <v>2009</v>
      </c>
      <c r="D736" t="s">
        <v>2979</v>
      </c>
      <c r="E736">
        <v>67</v>
      </c>
      <c r="F736">
        <v>2</v>
      </c>
      <c r="H736">
        <v>138</v>
      </c>
      <c r="I736">
        <v>143</v>
      </c>
      <c r="L736" s="2" t="s">
        <v>2980</v>
      </c>
      <c r="M736" t="s">
        <v>2981</v>
      </c>
      <c r="O736" t="s">
        <v>26</v>
      </c>
      <c r="P736" t="s">
        <v>27</v>
      </c>
      <c r="Q736" t="s">
        <v>28</v>
      </c>
      <c r="R736" t="s">
        <v>28</v>
      </c>
      <c r="S736" t="s">
        <v>28</v>
      </c>
      <c r="T736" t="s">
        <v>28</v>
      </c>
      <c r="U736" t="s">
        <v>28</v>
      </c>
      <c r="V736" t="s">
        <v>28</v>
      </c>
      <c r="W736" s="16" t="s">
        <v>5629</v>
      </c>
      <c r="X736" t="s">
        <v>5624</v>
      </c>
    </row>
    <row r="737" spans="1:24" x14ac:dyDescent="0.55000000000000004">
      <c r="A737" t="s">
        <v>2982</v>
      </c>
      <c r="B737" t="s">
        <v>2983</v>
      </c>
      <c r="C737">
        <v>2009</v>
      </c>
      <c r="D737" t="s">
        <v>2584</v>
      </c>
      <c r="E737">
        <v>32</v>
      </c>
      <c r="F737">
        <v>8</v>
      </c>
      <c r="H737">
        <v>992</v>
      </c>
      <c r="I737">
        <v>1003</v>
      </c>
      <c r="K737" s="2" t="s">
        <v>2984</v>
      </c>
      <c r="L737" s="2" t="s">
        <v>2985</v>
      </c>
      <c r="M737" t="s">
        <v>5071</v>
      </c>
      <c r="N737" t="s">
        <v>2986</v>
      </c>
      <c r="O737" t="s">
        <v>26</v>
      </c>
      <c r="P737" t="s">
        <v>27</v>
      </c>
      <c r="Q737" t="s">
        <v>43</v>
      </c>
      <c r="R737" t="s">
        <v>28</v>
      </c>
      <c r="S737" t="s">
        <v>43</v>
      </c>
      <c r="T737" t="s">
        <v>43</v>
      </c>
      <c r="U737" t="s">
        <v>28</v>
      </c>
      <c r="V737" t="s">
        <v>28</v>
      </c>
      <c r="W737" s="16" t="s">
        <v>5629</v>
      </c>
      <c r="X737" t="s">
        <v>5624</v>
      </c>
    </row>
    <row r="738" spans="1:24" x14ac:dyDescent="0.55000000000000004">
      <c r="A738" t="s">
        <v>2987</v>
      </c>
      <c r="B738" t="s">
        <v>2988</v>
      </c>
      <c r="C738">
        <v>2009</v>
      </c>
      <c r="D738" t="s">
        <v>68</v>
      </c>
      <c r="E738">
        <v>183</v>
      </c>
      <c r="F738">
        <v>2</v>
      </c>
      <c r="H738">
        <v>358</v>
      </c>
      <c r="I738">
        <v>364</v>
      </c>
      <c r="K738" s="2" t="s">
        <v>2989</v>
      </c>
      <c r="L738" s="2" t="s">
        <v>2990</v>
      </c>
      <c r="M738" t="s">
        <v>5072</v>
      </c>
      <c r="N738" t="s">
        <v>2991</v>
      </c>
      <c r="O738" t="s">
        <v>26</v>
      </c>
      <c r="P738" t="s">
        <v>27</v>
      </c>
      <c r="Q738" t="s">
        <v>28</v>
      </c>
      <c r="R738" t="s">
        <v>28</v>
      </c>
      <c r="S738" t="s">
        <v>28</v>
      </c>
      <c r="T738" t="s">
        <v>28</v>
      </c>
      <c r="U738" t="s">
        <v>28</v>
      </c>
      <c r="V738" t="s">
        <v>28</v>
      </c>
      <c r="W738" s="16" t="s">
        <v>5629</v>
      </c>
      <c r="X738" t="s">
        <v>5624</v>
      </c>
    </row>
    <row r="739" spans="1:24" x14ac:dyDescent="0.55000000000000004">
      <c r="A739" t="s">
        <v>2997</v>
      </c>
      <c r="B739" t="s">
        <v>2998</v>
      </c>
      <c r="C739">
        <v>2009</v>
      </c>
      <c r="D739" t="s">
        <v>2145</v>
      </c>
      <c r="E739">
        <v>87</v>
      </c>
      <c r="F739">
        <v>5</v>
      </c>
      <c r="H739">
        <v>463</v>
      </c>
      <c r="I739">
        <v>474</v>
      </c>
      <c r="K739" s="2" t="s">
        <v>2999</v>
      </c>
      <c r="L739" s="2" t="s">
        <v>3000</v>
      </c>
      <c r="M739" t="s">
        <v>3001</v>
      </c>
      <c r="N739" t="s">
        <v>3002</v>
      </c>
      <c r="O739" t="s">
        <v>26</v>
      </c>
      <c r="P739" t="s">
        <v>27</v>
      </c>
      <c r="Q739" t="s">
        <v>28</v>
      </c>
      <c r="R739" t="s">
        <v>28</v>
      </c>
      <c r="S739" t="s">
        <v>28</v>
      </c>
      <c r="T739" t="s">
        <v>28</v>
      </c>
      <c r="U739" t="s">
        <v>28</v>
      </c>
      <c r="V739" t="s">
        <v>28</v>
      </c>
      <c r="W739" s="16" t="s">
        <v>5629</v>
      </c>
      <c r="X739" t="s">
        <v>5624</v>
      </c>
    </row>
    <row r="740" spans="1:24" x14ac:dyDescent="0.55000000000000004">
      <c r="A740" t="s">
        <v>3003</v>
      </c>
      <c r="B740" t="s">
        <v>3004</v>
      </c>
      <c r="C740">
        <v>2009</v>
      </c>
      <c r="D740" t="s">
        <v>68</v>
      </c>
      <c r="E740">
        <v>182</v>
      </c>
      <c r="F740">
        <v>3</v>
      </c>
      <c r="H740">
        <v>719</v>
      </c>
      <c r="I740">
        <v>726</v>
      </c>
      <c r="K740" s="2" t="s">
        <v>3005</v>
      </c>
      <c r="L740" s="2" t="s">
        <v>3006</v>
      </c>
      <c r="M740" t="s">
        <v>5074</v>
      </c>
      <c r="N740" t="s">
        <v>3007</v>
      </c>
      <c r="O740" t="s">
        <v>26</v>
      </c>
      <c r="P740" t="s">
        <v>27</v>
      </c>
      <c r="Q740" t="s">
        <v>28</v>
      </c>
      <c r="R740" t="s">
        <v>28</v>
      </c>
      <c r="S740" t="s">
        <v>28</v>
      </c>
      <c r="T740" t="s">
        <v>28</v>
      </c>
      <c r="U740" t="s">
        <v>28</v>
      </c>
      <c r="V740" t="s">
        <v>28</v>
      </c>
      <c r="W740" s="16" t="s">
        <v>5629</v>
      </c>
      <c r="X740" t="s">
        <v>5624</v>
      </c>
    </row>
    <row r="741" spans="1:24" x14ac:dyDescent="0.55000000000000004">
      <c r="A741" t="s">
        <v>3008</v>
      </c>
      <c r="B741" t="s">
        <v>3009</v>
      </c>
      <c r="C741">
        <v>2009</v>
      </c>
      <c r="D741" t="s">
        <v>466</v>
      </c>
      <c r="E741">
        <v>12</v>
      </c>
      <c r="F741">
        <v>5</v>
      </c>
      <c r="H741">
        <v>452</v>
      </c>
      <c r="I741">
        <v>461</v>
      </c>
      <c r="K741" s="2" t="s">
        <v>3010</v>
      </c>
      <c r="L741" s="2" t="s">
        <v>3011</v>
      </c>
      <c r="M741" t="s">
        <v>5075</v>
      </c>
      <c r="N741" t="s">
        <v>3012</v>
      </c>
      <c r="O741" t="s">
        <v>26</v>
      </c>
      <c r="P741" t="s">
        <v>27</v>
      </c>
      <c r="Q741" t="s">
        <v>28</v>
      </c>
      <c r="R741" t="s">
        <v>28</v>
      </c>
      <c r="S741" t="s">
        <v>28</v>
      </c>
      <c r="T741" t="s">
        <v>28</v>
      </c>
      <c r="U741" t="s">
        <v>28</v>
      </c>
      <c r="V741" t="s">
        <v>28</v>
      </c>
      <c r="W741" s="16" t="s">
        <v>5629</v>
      </c>
      <c r="X741" t="s">
        <v>5624</v>
      </c>
    </row>
    <row r="742" spans="1:24" x14ac:dyDescent="0.55000000000000004">
      <c r="A742" t="s">
        <v>3013</v>
      </c>
      <c r="B742" t="s">
        <v>3014</v>
      </c>
      <c r="C742">
        <v>2009</v>
      </c>
      <c r="D742" t="s">
        <v>681</v>
      </c>
      <c r="E742">
        <v>157</v>
      </c>
      <c r="F742">
        <v>5</v>
      </c>
      <c r="H742">
        <v>1613</v>
      </c>
      <c r="I742">
        <v>1618</v>
      </c>
      <c r="K742" s="2" t="s">
        <v>3015</v>
      </c>
      <c r="L742" s="2" t="s">
        <v>3016</v>
      </c>
      <c r="M742" t="s">
        <v>5076</v>
      </c>
      <c r="N742" t="s">
        <v>3017</v>
      </c>
      <c r="O742" t="s">
        <v>26</v>
      </c>
      <c r="P742" t="s">
        <v>27</v>
      </c>
      <c r="Q742" t="s">
        <v>28</v>
      </c>
      <c r="R742" t="s">
        <v>28</v>
      </c>
      <c r="S742" t="s">
        <v>28</v>
      </c>
      <c r="T742" t="s">
        <v>28</v>
      </c>
      <c r="U742" t="s">
        <v>28</v>
      </c>
      <c r="V742" t="s">
        <v>28</v>
      </c>
      <c r="W742" s="16" t="s">
        <v>5629</v>
      </c>
      <c r="X742" t="s">
        <v>5624</v>
      </c>
    </row>
    <row r="743" spans="1:24" x14ac:dyDescent="0.55000000000000004">
      <c r="A743" t="s">
        <v>3018</v>
      </c>
      <c r="B743" t="s">
        <v>3019</v>
      </c>
      <c r="C743">
        <v>2009</v>
      </c>
      <c r="D743" t="s">
        <v>3020</v>
      </c>
      <c r="E743">
        <v>52</v>
      </c>
      <c r="F743">
        <v>4</v>
      </c>
      <c r="H743">
        <v>381</v>
      </c>
      <c r="I743">
        <v>389</v>
      </c>
      <c r="K743" s="2" t="s">
        <v>3021</v>
      </c>
      <c r="L743" s="2" t="s">
        <v>3022</v>
      </c>
      <c r="M743" t="s">
        <v>5077</v>
      </c>
      <c r="N743" t="s">
        <v>3023</v>
      </c>
      <c r="O743" t="s">
        <v>26</v>
      </c>
      <c r="P743" t="s">
        <v>27</v>
      </c>
      <c r="Q743" t="s">
        <v>28</v>
      </c>
      <c r="R743" t="s">
        <v>28</v>
      </c>
      <c r="S743" t="s">
        <v>28</v>
      </c>
      <c r="T743" t="s">
        <v>28</v>
      </c>
      <c r="U743" t="s">
        <v>28</v>
      </c>
      <c r="V743" t="s">
        <v>28</v>
      </c>
      <c r="W743" s="16" t="s">
        <v>5629</v>
      </c>
      <c r="X743" t="s">
        <v>5624</v>
      </c>
    </row>
    <row r="744" spans="1:24" x14ac:dyDescent="0.55000000000000004">
      <c r="A744" t="s">
        <v>3024</v>
      </c>
      <c r="B744" t="s">
        <v>3025</v>
      </c>
      <c r="C744">
        <v>2009</v>
      </c>
      <c r="D744" t="s">
        <v>68</v>
      </c>
      <c r="E744">
        <v>182</v>
      </c>
      <c r="F744">
        <v>2</v>
      </c>
      <c r="H744">
        <v>359</v>
      </c>
      <c r="I744">
        <v>366</v>
      </c>
      <c r="K744" s="2" t="s">
        <v>3026</v>
      </c>
      <c r="L744" s="2" t="s">
        <v>3027</v>
      </c>
      <c r="M744" t="s">
        <v>5078</v>
      </c>
      <c r="N744" t="s">
        <v>3028</v>
      </c>
      <c r="O744" t="s">
        <v>26</v>
      </c>
      <c r="P744" t="s">
        <v>27</v>
      </c>
      <c r="Q744" t="s">
        <v>43</v>
      </c>
      <c r="R744" t="s">
        <v>28</v>
      </c>
      <c r="S744" t="s">
        <v>28</v>
      </c>
      <c r="T744" t="s">
        <v>28</v>
      </c>
      <c r="U744" t="s">
        <v>28</v>
      </c>
      <c r="V744" t="s">
        <v>28</v>
      </c>
      <c r="W744" s="16" t="s">
        <v>5629</v>
      </c>
      <c r="X744" t="s">
        <v>5624</v>
      </c>
    </row>
    <row r="745" spans="1:24" x14ac:dyDescent="0.55000000000000004">
      <c r="A745" t="s">
        <v>5079</v>
      </c>
      <c r="B745" t="s">
        <v>3029</v>
      </c>
      <c r="C745">
        <v>2009</v>
      </c>
      <c r="D745" t="s">
        <v>53</v>
      </c>
      <c r="E745">
        <v>41</v>
      </c>
      <c r="F745">
        <v>4</v>
      </c>
      <c r="H745">
        <v>858</v>
      </c>
      <c r="I745">
        <v>861</v>
      </c>
      <c r="K745" s="2" t="s">
        <v>3030</v>
      </c>
      <c r="L745" s="2" t="s">
        <v>3031</v>
      </c>
      <c r="M745" t="s">
        <v>5080</v>
      </c>
      <c r="N745" t="s">
        <v>5081</v>
      </c>
      <c r="O745" t="s">
        <v>26</v>
      </c>
      <c r="P745" t="s">
        <v>27</v>
      </c>
      <c r="Q745" t="s">
        <v>28</v>
      </c>
      <c r="R745" t="s">
        <v>28</v>
      </c>
      <c r="S745" t="s">
        <v>28</v>
      </c>
      <c r="T745" t="s">
        <v>28</v>
      </c>
      <c r="U745" t="s">
        <v>28</v>
      </c>
      <c r="V745" t="s">
        <v>28</v>
      </c>
      <c r="W745" s="16" t="s">
        <v>5629</v>
      </c>
      <c r="X745" t="s">
        <v>5624</v>
      </c>
    </row>
    <row r="746" spans="1:24" x14ac:dyDescent="0.55000000000000004">
      <c r="A746" t="s">
        <v>3032</v>
      </c>
      <c r="B746" t="s">
        <v>3033</v>
      </c>
      <c r="C746">
        <v>2009</v>
      </c>
      <c r="D746" t="s">
        <v>807</v>
      </c>
      <c r="E746">
        <v>15</v>
      </c>
      <c r="F746">
        <v>4</v>
      </c>
      <c r="H746">
        <v>914</v>
      </c>
      <c r="I746">
        <v>929</v>
      </c>
      <c r="K746" s="2" t="s">
        <v>3034</v>
      </c>
      <c r="L746" s="2" t="s">
        <v>3035</v>
      </c>
      <c r="M746" t="s">
        <v>5082</v>
      </c>
      <c r="N746" t="s">
        <v>3036</v>
      </c>
      <c r="O746" t="s">
        <v>26</v>
      </c>
      <c r="P746" t="s">
        <v>27</v>
      </c>
      <c r="Q746" t="s">
        <v>28</v>
      </c>
      <c r="R746" t="s">
        <v>28</v>
      </c>
      <c r="S746" t="s">
        <v>28</v>
      </c>
      <c r="T746" t="s">
        <v>28</v>
      </c>
      <c r="U746" t="s">
        <v>28</v>
      </c>
      <c r="V746" t="s">
        <v>28</v>
      </c>
      <c r="W746" s="16" t="s">
        <v>5629</v>
      </c>
      <c r="X746" t="s">
        <v>5624</v>
      </c>
    </row>
    <row r="747" spans="1:24" x14ac:dyDescent="0.55000000000000004">
      <c r="A747" t="s">
        <v>3037</v>
      </c>
      <c r="B747" t="s">
        <v>3038</v>
      </c>
      <c r="C747">
        <v>2009</v>
      </c>
      <c r="D747" t="s">
        <v>3039</v>
      </c>
      <c r="H747">
        <v>225</v>
      </c>
      <c r="I747">
        <v>239</v>
      </c>
      <c r="L747" s="2" t="s">
        <v>3040</v>
      </c>
      <c r="M747" t="s">
        <v>5083</v>
      </c>
      <c r="N747" t="s">
        <v>3041</v>
      </c>
      <c r="O747" t="s">
        <v>198</v>
      </c>
      <c r="P747" t="s">
        <v>27</v>
      </c>
      <c r="Q747" t="s">
        <v>28</v>
      </c>
      <c r="R747" t="s">
        <v>28</v>
      </c>
      <c r="S747" t="s">
        <v>28</v>
      </c>
      <c r="T747" t="s">
        <v>28</v>
      </c>
      <c r="U747" t="s">
        <v>28</v>
      </c>
      <c r="V747" t="s">
        <v>28</v>
      </c>
      <c r="W747" s="16" t="s">
        <v>5629</v>
      </c>
      <c r="X747" t="s">
        <v>5624</v>
      </c>
    </row>
    <row r="748" spans="1:24" x14ac:dyDescent="0.55000000000000004">
      <c r="A748" t="s">
        <v>3042</v>
      </c>
      <c r="B748" t="s">
        <v>3043</v>
      </c>
      <c r="C748">
        <v>2009</v>
      </c>
      <c r="D748" t="s">
        <v>1964</v>
      </c>
      <c r="E748">
        <v>276</v>
      </c>
      <c r="F748">
        <v>1657</v>
      </c>
      <c r="H748">
        <v>761</v>
      </c>
      <c r="I748">
        <v>767</v>
      </c>
      <c r="K748" s="2" t="s">
        <v>3044</v>
      </c>
      <c r="L748" s="2" t="s">
        <v>3045</v>
      </c>
      <c r="M748" t="s">
        <v>5084</v>
      </c>
      <c r="N748" t="s">
        <v>3046</v>
      </c>
      <c r="O748" t="s">
        <v>26</v>
      </c>
      <c r="P748" t="s">
        <v>27</v>
      </c>
      <c r="Q748" t="s">
        <v>28</v>
      </c>
      <c r="R748" t="s">
        <v>28</v>
      </c>
      <c r="S748" t="s">
        <v>28</v>
      </c>
      <c r="T748" t="s">
        <v>28</v>
      </c>
      <c r="U748" t="s">
        <v>28</v>
      </c>
      <c r="V748" t="s">
        <v>28</v>
      </c>
      <c r="W748" s="16" t="s">
        <v>5629</v>
      </c>
      <c r="X748" t="s">
        <v>5624</v>
      </c>
    </row>
    <row r="749" spans="1:24" x14ac:dyDescent="0.55000000000000004">
      <c r="A749" t="s">
        <v>3047</v>
      </c>
      <c r="B749" t="s">
        <v>3048</v>
      </c>
      <c r="C749">
        <v>2009</v>
      </c>
      <c r="D749" t="s">
        <v>3049</v>
      </c>
      <c r="E749">
        <v>82</v>
      </c>
      <c r="F749">
        <v>2</v>
      </c>
      <c r="H749">
        <v>184</v>
      </c>
      <c r="I749">
        <v>195</v>
      </c>
      <c r="L749" s="2" t="s">
        <v>3050</v>
      </c>
      <c r="M749" t="s">
        <v>5085</v>
      </c>
      <c r="N749" t="s">
        <v>3051</v>
      </c>
      <c r="O749" t="s">
        <v>26</v>
      </c>
      <c r="P749" t="s">
        <v>27</v>
      </c>
      <c r="Q749" t="s">
        <v>28</v>
      </c>
      <c r="R749" t="s">
        <v>28</v>
      </c>
      <c r="S749" t="s">
        <v>28</v>
      </c>
      <c r="T749" t="s">
        <v>28</v>
      </c>
      <c r="U749" t="s">
        <v>28</v>
      </c>
      <c r="V749" t="s">
        <v>28</v>
      </c>
      <c r="W749" s="16" t="s">
        <v>5629</v>
      </c>
      <c r="X749" t="s">
        <v>5624</v>
      </c>
    </row>
    <row r="750" spans="1:24" x14ac:dyDescent="0.55000000000000004">
      <c r="A750" t="s">
        <v>3052</v>
      </c>
      <c r="B750" t="s">
        <v>3053</v>
      </c>
      <c r="C750">
        <v>2009</v>
      </c>
      <c r="D750" t="s">
        <v>68</v>
      </c>
      <c r="E750">
        <v>181</v>
      </c>
      <c r="F750">
        <v>1</v>
      </c>
      <c r="H750">
        <v>187</v>
      </c>
      <c r="I750">
        <v>198</v>
      </c>
      <c r="K750" s="2" t="s">
        <v>3054</v>
      </c>
      <c r="L750" s="2" t="s">
        <v>3055</v>
      </c>
      <c r="M750" t="s">
        <v>5086</v>
      </c>
      <c r="N750" t="s">
        <v>3056</v>
      </c>
      <c r="O750" t="s">
        <v>26</v>
      </c>
      <c r="P750" t="s">
        <v>27</v>
      </c>
      <c r="Q750" t="s">
        <v>28</v>
      </c>
      <c r="R750" t="s">
        <v>28</v>
      </c>
      <c r="S750" t="s">
        <v>28</v>
      </c>
      <c r="T750" t="s">
        <v>28</v>
      </c>
      <c r="U750" t="s">
        <v>28</v>
      </c>
      <c r="V750" t="s">
        <v>28</v>
      </c>
      <c r="W750" s="16" t="s">
        <v>5629</v>
      </c>
      <c r="X750" t="s">
        <v>5624</v>
      </c>
    </row>
    <row r="751" spans="1:24" x14ac:dyDescent="0.55000000000000004">
      <c r="A751" t="s">
        <v>3057</v>
      </c>
      <c r="B751" t="s">
        <v>3058</v>
      </c>
      <c r="C751">
        <v>2009</v>
      </c>
      <c r="D751" t="s">
        <v>53</v>
      </c>
      <c r="E751">
        <v>41</v>
      </c>
      <c r="F751">
        <v>1</v>
      </c>
      <c r="H751">
        <v>144</v>
      </c>
      <c r="I751">
        <v>153</v>
      </c>
      <c r="K751" s="2" t="s">
        <v>3059</v>
      </c>
      <c r="L751" s="2" t="s">
        <v>3060</v>
      </c>
      <c r="M751" t="s">
        <v>5087</v>
      </c>
      <c r="N751" t="s">
        <v>3061</v>
      </c>
      <c r="O751" t="s">
        <v>26</v>
      </c>
      <c r="P751" t="s">
        <v>27</v>
      </c>
      <c r="Q751" t="s">
        <v>28</v>
      </c>
      <c r="R751" t="s">
        <v>28</v>
      </c>
      <c r="S751" t="s">
        <v>28</v>
      </c>
      <c r="T751" t="s">
        <v>28</v>
      </c>
      <c r="U751" t="s">
        <v>28</v>
      </c>
      <c r="V751" t="s">
        <v>28</v>
      </c>
      <c r="W751" s="16" t="s">
        <v>5629</v>
      </c>
      <c r="X751" t="s">
        <v>5624</v>
      </c>
    </row>
    <row r="752" spans="1:24" x14ac:dyDescent="0.55000000000000004">
      <c r="A752" t="s">
        <v>3062</v>
      </c>
      <c r="B752" t="s">
        <v>3063</v>
      </c>
      <c r="C752">
        <v>2008</v>
      </c>
      <c r="D752" t="s">
        <v>3064</v>
      </c>
      <c r="E752">
        <v>44</v>
      </c>
      <c r="F752">
        <v>4</v>
      </c>
      <c r="H752">
        <v>393</v>
      </c>
      <c r="I752">
        <v>401</v>
      </c>
      <c r="K752" s="2" t="s">
        <v>3065</v>
      </c>
      <c r="L752" s="2" t="s">
        <v>3066</v>
      </c>
      <c r="M752" t="s">
        <v>5088</v>
      </c>
      <c r="N752" t="s">
        <v>3067</v>
      </c>
      <c r="O752" t="s">
        <v>1248</v>
      </c>
      <c r="P752" t="s">
        <v>27</v>
      </c>
      <c r="Q752" t="s">
        <v>28</v>
      </c>
      <c r="R752" t="s">
        <v>28</v>
      </c>
      <c r="S752" t="s">
        <v>28</v>
      </c>
      <c r="T752" t="s">
        <v>28</v>
      </c>
      <c r="U752" t="s">
        <v>28</v>
      </c>
      <c r="V752" t="s">
        <v>28</v>
      </c>
      <c r="W752" s="16" t="s">
        <v>5629</v>
      </c>
      <c r="X752" t="s">
        <v>5624</v>
      </c>
    </row>
    <row r="753" spans="1:24" x14ac:dyDescent="0.55000000000000004">
      <c r="A753" t="s">
        <v>5089</v>
      </c>
      <c r="B753" t="s">
        <v>3068</v>
      </c>
      <c r="C753">
        <v>2008</v>
      </c>
      <c r="D753" t="s">
        <v>3069</v>
      </c>
      <c r="E753">
        <v>9</v>
      </c>
      <c r="F753" t="s">
        <v>3070</v>
      </c>
      <c r="H753">
        <v>161</v>
      </c>
      <c r="I753">
        <v>166</v>
      </c>
      <c r="K753" s="2" t="s">
        <v>3071</v>
      </c>
      <c r="L753" s="2" t="s">
        <v>3072</v>
      </c>
      <c r="M753" t="s">
        <v>5090</v>
      </c>
      <c r="N753" t="s">
        <v>3073</v>
      </c>
      <c r="O753" t="s">
        <v>1248</v>
      </c>
      <c r="P753" t="s">
        <v>27</v>
      </c>
      <c r="Q753" t="s">
        <v>28</v>
      </c>
      <c r="R753" t="s">
        <v>28</v>
      </c>
      <c r="S753" t="s">
        <v>28</v>
      </c>
      <c r="T753" t="s">
        <v>28</v>
      </c>
      <c r="U753" t="s">
        <v>28</v>
      </c>
      <c r="V753" t="s">
        <v>28</v>
      </c>
      <c r="W753" s="16" t="s">
        <v>5629</v>
      </c>
      <c r="X753" t="s">
        <v>5624</v>
      </c>
    </row>
    <row r="754" spans="1:24" x14ac:dyDescent="0.55000000000000004">
      <c r="A754" t="s">
        <v>5091</v>
      </c>
      <c r="B754" t="s">
        <v>3074</v>
      </c>
      <c r="C754">
        <v>2008</v>
      </c>
      <c r="D754" t="s">
        <v>53</v>
      </c>
      <c r="E754">
        <v>40</v>
      </c>
      <c r="F754">
        <v>10</v>
      </c>
      <c r="H754">
        <v>2530</v>
      </c>
      <c r="I754">
        <v>2539</v>
      </c>
      <c r="K754" s="2" t="s">
        <v>3075</v>
      </c>
      <c r="L754" s="2" t="s">
        <v>3076</v>
      </c>
      <c r="M754" t="s">
        <v>5092</v>
      </c>
      <c r="N754" t="s">
        <v>3077</v>
      </c>
      <c r="O754" t="s">
        <v>26</v>
      </c>
      <c r="P754" t="s">
        <v>27</v>
      </c>
      <c r="Q754" t="s">
        <v>28</v>
      </c>
      <c r="R754" t="s">
        <v>28</v>
      </c>
      <c r="S754" t="s">
        <v>28</v>
      </c>
      <c r="T754" t="s">
        <v>28</v>
      </c>
      <c r="U754" t="s">
        <v>28</v>
      </c>
      <c r="V754" t="s">
        <v>28</v>
      </c>
      <c r="W754" s="16" t="s">
        <v>5629</v>
      </c>
      <c r="X754" t="s">
        <v>5624</v>
      </c>
    </row>
    <row r="755" spans="1:24" x14ac:dyDescent="0.55000000000000004">
      <c r="A755" t="s">
        <v>3083</v>
      </c>
      <c r="B755" t="s">
        <v>5094</v>
      </c>
      <c r="C755">
        <v>2008</v>
      </c>
      <c r="D755" t="s">
        <v>3084</v>
      </c>
      <c r="E755">
        <v>29</v>
      </c>
      <c r="F755">
        <v>1</v>
      </c>
      <c r="H755">
        <v>11</v>
      </c>
      <c r="I755">
        <v>22</v>
      </c>
      <c r="L755" s="2" t="s">
        <v>3085</v>
      </c>
      <c r="M755" t="s">
        <v>5095</v>
      </c>
      <c r="N755" t="s">
        <v>3086</v>
      </c>
      <c r="O755" t="s">
        <v>26</v>
      </c>
      <c r="P755" t="s">
        <v>27</v>
      </c>
      <c r="Q755" t="s">
        <v>28</v>
      </c>
      <c r="R755" t="s">
        <v>28</v>
      </c>
      <c r="S755" t="s">
        <v>28</v>
      </c>
      <c r="T755" t="s">
        <v>28</v>
      </c>
      <c r="U755" t="s">
        <v>28</v>
      </c>
      <c r="V755" t="s">
        <v>28</v>
      </c>
      <c r="W755" s="16" t="s">
        <v>5629</v>
      </c>
      <c r="X755" t="s">
        <v>5624</v>
      </c>
    </row>
    <row r="756" spans="1:24" x14ac:dyDescent="0.55000000000000004">
      <c r="A756" t="s">
        <v>3087</v>
      </c>
      <c r="B756" t="s">
        <v>3088</v>
      </c>
      <c r="C756">
        <v>2008</v>
      </c>
      <c r="D756" t="s">
        <v>288</v>
      </c>
      <c r="E756">
        <v>96</v>
      </c>
      <c r="F756">
        <v>5</v>
      </c>
      <c r="H756">
        <v>1076</v>
      </c>
      <c r="I756">
        <v>1085</v>
      </c>
      <c r="K756" s="2" t="s">
        <v>3089</v>
      </c>
      <c r="L756" s="2" t="s">
        <v>3090</v>
      </c>
      <c r="M756" t="s">
        <v>5096</v>
      </c>
      <c r="N756" t="s">
        <v>3091</v>
      </c>
      <c r="O756" t="s">
        <v>26</v>
      </c>
      <c r="P756" t="s">
        <v>27</v>
      </c>
      <c r="Q756" t="s">
        <v>28</v>
      </c>
      <c r="R756" t="s">
        <v>28</v>
      </c>
      <c r="S756" t="s">
        <v>28</v>
      </c>
      <c r="T756" t="s">
        <v>28</v>
      </c>
      <c r="U756" t="s">
        <v>28</v>
      </c>
      <c r="V756" t="s">
        <v>28</v>
      </c>
      <c r="W756" s="16" t="s">
        <v>5629</v>
      </c>
      <c r="X756" t="s">
        <v>5624</v>
      </c>
    </row>
    <row r="757" spans="1:24" x14ac:dyDescent="0.55000000000000004">
      <c r="A757" t="s">
        <v>3092</v>
      </c>
      <c r="B757" t="s">
        <v>3093</v>
      </c>
      <c r="C757">
        <v>2008</v>
      </c>
      <c r="D757" t="s">
        <v>433</v>
      </c>
      <c r="E757">
        <v>65</v>
      </c>
      <c r="F757">
        <v>2</v>
      </c>
      <c r="H757">
        <v>350</v>
      </c>
      <c r="I757">
        <v>360</v>
      </c>
      <c r="K757" s="2" t="s">
        <v>3094</v>
      </c>
      <c r="L757" s="2" t="s">
        <v>3095</v>
      </c>
      <c r="M757" t="s">
        <v>5097</v>
      </c>
      <c r="N757" t="s">
        <v>3096</v>
      </c>
      <c r="O757" t="s">
        <v>1248</v>
      </c>
      <c r="P757" t="s">
        <v>27</v>
      </c>
      <c r="Q757" t="s">
        <v>28</v>
      </c>
      <c r="R757" t="s">
        <v>28</v>
      </c>
      <c r="S757" t="s">
        <v>28</v>
      </c>
      <c r="T757" t="s">
        <v>28</v>
      </c>
      <c r="U757" t="s">
        <v>28</v>
      </c>
      <c r="V757" t="s">
        <v>28</v>
      </c>
      <c r="W757" s="16" t="s">
        <v>5629</v>
      </c>
      <c r="X757" t="s">
        <v>5624</v>
      </c>
    </row>
    <row r="758" spans="1:24" x14ac:dyDescent="0.55000000000000004">
      <c r="A758" t="s">
        <v>3097</v>
      </c>
      <c r="B758" t="s">
        <v>3098</v>
      </c>
      <c r="C758">
        <v>2008</v>
      </c>
      <c r="D758" t="s">
        <v>53</v>
      </c>
      <c r="E758">
        <v>40</v>
      </c>
      <c r="F758">
        <v>7</v>
      </c>
      <c r="H758">
        <v>1964</v>
      </c>
      <c r="I758">
        <v>1966</v>
      </c>
      <c r="K758" s="2" t="s">
        <v>3099</v>
      </c>
      <c r="L758" s="2" t="s">
        <v>3100</v>
      </c>
      <c r="M758" t="s">
        <v>5098</v>
      </c>
      <c r="N758" t="s">
        <v>3101</v>
      </c>
      <c r="O758" t="s">
        <v>26</v>
      </c>
      <c r="P758" t="s">
        <v>27</v>
      </c>
      <c r="Q758" t="s">
        <v>28</v>
      </c>
      <c r="R758" t="s">
        <v>28</v>
      </c>
      <c r="S758" t="s">
        <v>28</v>
      </c>
      <c r="T758" t="s">
        <v>28</v>
      </c>
      <c r="U758" t="s">
        <v>28</v>
      </c>
      <c r="V758" t="s">
        <v>28</v>
      </c>
      <c r="W758" s="16" t="s">
        <v>5629</v>
      </c>
      <c r="X758" t="s">
        <v>5624</v>
      </c>
    </row>
    <row r="759" spans="1:24" x14ac:dyDescent="0.55000000000000004">
      <c r="A759" t="s">
        <v>3102</v>
      </c>
      <c r="B759" t="s">
        <v>3103</v>
      </c>
      <c r="C759">
        <v>2008</v>
      </c>
      <c r="D759" t="s">
        <v>807</v>
      </c>
      <c r="E759">
        <v>14</v>
      </c>
      <c r="F759">
        <v>6</v>
      </c>
      <c r="H759">
        <v>1252</v>
      </c>
      <c r="I759">
        <v>1264</v>
      </c>
      <c r="K759" s="2" t="s">
        <v>3104</v>
      </c>
      <c r="L759" s="2" t="s">
        <v>3105</v>
      </c>
      <c r="M759" t="s">
        <v>5099</v>
      </c>
      <c r="N759" t="s">
        <v>3106</v>
      </c>
      <c r="O759" t="s">
        <v>26</v>
      </c>
      <c r="P759" t="s">
        <v>27</v>
      </c>
      <c r="Q759" t="s">
        <v>28</v>
      </c>
      <c r="R759" t="s">
        <v>28</v>
      </c>
      <c r="S759" t="s">
        <v>28</v>
      </c>
      <c r="T759" t="s">
        <v>28</v>
      </c>
      <c r="U759" t="s">
        <v>43</v>
      </c>
      <c r="V759" t="s">
        <v>28</v>
      </c>
      <c r="W759" s="16" t="s">
        <v>5629</v>
      </c>
      <c r="X759" t="s">
        <v>5624</v>
      </c>
    </row>
    <row r="760" spans="1:24" x14ac:dyDescent="0.55000000000000004">
      <c r="A760" t="s">
        <v>3107</v>
      </c>
      <c r="B760" t="s">
        <v>3108</v>
      </c>
      <c r="C760">
        <v>2008</v>
      </c>
      <c r="D760" t="s">
        <v>807</v>
      </c>
      <c r="E760">
        <v>14</v>
      </c>
      <c r="F760">
        <v>5</v>
      </c>
      <c r="H760">
        <v>1181</v>
      </c>
      <c r="I760">
        <v>1190</v>
      </c>
      <c r="K760" s="2" t="s">
        <v>3109</v>
      </c>
      <c r="L760" s="2" t="s">
        <v>3110</v>
      </c>
      <c r="M760" t="s">
        <v>5100</v>
      </c>
      <c r="N760" t="s">
        <v>3111</v>
      </c>
      <c r="O760" t="s">
        <v>26</v>
      </c>
      <c r="P760" t="s">
        <v>27</v>
      </c>
      <c r="Q760" t="s">
        <v>28</v>
      </c>
      <c r="R760" t="s">
        <v>28</v>
      </c>
      <c r="S760" t="s">
        <v>28</v>
      </c>
      <c r="T760" t="s">
        <v>28</v>
      </c>
      <c r="U760" t="s">
        <v>28</v>
      </c>
      <c r="V760" t="s">
        <v>28</v>
      </c>
      <c r="W760" s="16" t="s">
        <v>5629</v>
      </c>
      <c r="X760" t="s">
        <v>5624</v>
      </c>
    </row>
    <row r="761" spans="1:24" x14ac:dyDescent="0.55000000000000004">
      <c r="A761" t="s">
        <v>3112</v>
      </c>
      <c r="B761" t="s">
        <v>3113</v>
      </c>
      <c r="C761">
        <v>2008</v>
      </c>
      <c r="D761" t="s">
        <v>53</v>
      </c>
      <c r="E761">
        <v>40</v>
      </c>
      <c r="F761">
        <v>5</v>
      </c>
      <c r="H761">
        <v>1103</v>
      </c>
      <c r="I761">
        <v>1113</v>
      </c>
      <c r="K761" s="2" t="s">
        <v>3114</v>
      </c>
      <c r="L761" s="2" t="s">
        <v>3115</v>
      </c>
      <c r="M761" t="s">
        <v>5101</v>
      </c>
      <c r="N761" t="s">
        <v>3116</v>
      </c>
      <c r="O761" t="s">
        <v>26</v>
      </c>
      <c r="P761" t="s">
        <v>27</v>
      </c>
      <c r="Q761" t="s">
        <v>28</v>
      </c>
      <c r="R761" t="s">
        <v>28</v>
      </c>
      <c r="S761" t="s">
        <v>28</v>
      </c>
      <c r="T761" t="s">
        <v>28</v>
      </c>
      <c r="U761" t="s">
        <v>28</v>
      </c>
      <c r="V761" t="s">
        <v>28</v>
      </c>
      <c r="W761" s="16" t="s">
        <v>5629</v>
      </c>
      <c r="X761" t="s">
        <v>5624</v>
      </c>
    </row>
    <row r="762" spans="1:24" x14ac:dyDescent="0.55000000000000004">
      <c r="A762" t="s">
        <v>3117</v>
      </c>
      <c r="B762" t="s">
        <v>3118</v>
      </c>
      <c r="C762">
        <v>2008</v>
      </c>
      <c r="D762" t="s">
        <v>68</v>
      </c>
      <c r="E762">
        <v>178</v>
      </c>
      <c r="F762">
        <v>2</v>
      </c>
      <c r="H762">
        <v>395</v>
      </c>
      <c r="I762">
        <v>400</v>
      </c>
      <c r="K762" s="2" t="s">
        <v>3119</v>
      </c>
      <c r="L762" s="2" t="s">
        <v>3120</v>
      </c>
      <c r="M762" t="s">
        <v>5102</v>
      </c>
      <c r="N762" t="s">
        <v>3121</v>
      </c>
      <c r="O762" t="s">
        <v>26</v>
      </c>
      <c r="P762" t="s">
        <v>27</v>
      </c>
      <c r="Q762" t="s">
        <v>28</v>
      </c>
      <c r="R762" t="s">
        <v>28</v>
      </c>
      <c r="S762" t="s">
        <v>28</v>
      </c>
      <c r="T762" t="s">
        <v>28</v>
      </c>
      <c r="U762" t="s">
        <v>28</v>
      </c>
      <c r="V762" t="s">
        <v>28</v>
      </c>
      <c r="W762" s="16" t="s">
        <v>5629</v>
      </c>
      <c r="X762" t="s">
        <v>5624</v>
      </c>
    </row>
    <row r="763" spans="1:24" x14ac:dyDescent="0.55000000000000004">
      <c r="A763" t="s">
        <v>5103</v>
      </c>
      <c r="B763" t="s">
        <v>3122</v>
      </c>
      <c r="C763">
        <v>2008</v>
      </c>
      <c r="D763" t="s">
        <v>923</v>
      </c>
      <c r="E763">
        <v>155</v>
      </c>
      <c r="F763">
        <v>4</v>
      </c>
      <c r="H763">
        <v>771</v>
      </c>
      <c r="I763">
        <v>783</v>
      </c>
      <c r="K763" s="2" t="s">
        <v>3123</v>
      </c>
      <c r="L763" s="2" t="s">
        <v>3124</v>
      </c>
      <c r="M763" t="s">
        <v>5104</v>
      </c>
      <c r="N763" t="s">
        <v>3125</v>
      </c>
      <c r="O763" t="s">
        <v>26</v>
      </c>
      <c r="P763" t="s">
        <v>27</v>
      </c>
      <c r="Q763" t="s">
        <v>28</v>
      </c>
      <c r="R763" t="s">
        <v>28</v>
      </c>
      <c r="S763" t="s">
        <v>28</v>
      </c>
      <c r="T763" t="s">
        <v>28</v>
      </c>
      <c r="U763" t="s">
        <v>28</v>
      </c>
      <c r="V763" t="s">
        <v>28</v>
      </c>
      <c r="W763" s="16" t="s">
        <v>5629</v>
      </c>
      <c r="X763" t="s">
        <v>5624</v>
      </c>
    </row>
    <row r="764" spans="1:24" x14ac:dyDescent="0.55000000000000004">
      <c r="A764" t="s">
        <v>5105</v>
      </c>
      <c r="B764" t="s">
        <v>3126</v>
      </c>
      <c r="C764">
        <v>2008</v>
      </c>
      <c r="D764" t="s">
        <v>433</v>
      </c>
      <c r="E764">
        <v>64</v>
      </c>
      <c r="F764">
        <v>1</v>
      </c>
      <c r="H764">
        <v>78</v>
      </c>
      <c r="I764">
        <v>89</v>
      </c>
      <c r="K764" s="2" t="s">
        <v>3127</v>
      </c>
      <c r="L764" s="2" t="s">
        <v>3128</v>
      </c>
      <c r="M764" t="s">
        <v>5106</v>
      </c>
      <c r="N764" t="s">
        <v>3129</v>
      </c>
      <c r="O764" t="s">
        <v>26</v>
      </c>
      <c r="P764" t="s">
        <v>27</v>
      </c>
      <c r="Q764" t="s">
        <v>28</v>
      </c>
      <c r="R764" t="s">
        <v>28</v>
      </c>
      <c r="S764" t="s">
        <v>28</v>
      </c>
      <c r="T764" t="s">
        <v>28</v>
      </c>
      <c r="U764" t="s">
        <v>28</v>
      </c>
      <c r="V764" t="s">
        <v>28</v>
      </c>
      <c r="W764" s="16" t="s">
        <v>5629</v>
      </c>
      <c r="X764" t="s">
        <v>5624</v>
      </c>
    </row>
    <row r="765" spans="1:24" x14ac:dyDescent="0.55000000000000004">
      <c r="A765" t="s">
        <v>5107</v>
      </c>
      <c r="B765" t="s">
        <v>3130</v>
      </c>
      <c r="C765">
        <v>2008</v>
      </c>
      <c r="D765" t="s">
        <v>53</v>
      </c>
      <c r="E765">
        <v>40</v>
      </c>
      <c r="F765">
        <v>4</v>
      </c>
      <c r="H765">
        <v>887</v>
      </c>
      <c r="I765">
        <v>893</v>
      </c>
      <c r="K765" s="2" t="s">
        <v>3131</v>
      </c>
      <c r="L765" s="2" t="s">
        <v>3132</v>
      </c>
      <c r="M765" t="s">
        <v>5108</v>
      </c>
      <c r="N765" t="s">
        <v>3133</v>
      </c>
      <c r="O765" t="s">
        <v>26</v>
      </c>
      <c r="P765" t="s">
        <v>27</v>
      </c>
      <c r="Q765" t="s">
        <v>28</v>
      </c>
      <c r="R765" t="s">
        <v>28</v>
      </c>
      <c r="S765" t="s">
        <v>28</v>
      </c>
      <c r="T765" t="s">
        <v>28</v>
      </c>
      <c r="U765" t="s">
        <v>28</v>
      </c>
      <c r="V765" t="s">
        <v>28</v>
      </c>
      <c r="W765" s="16" t="s">
        <v>5629</v>
      </c>
      <c r="X765" t="s">
        <v>5624</v>
      </c>
    </row>
    <row r="766" spans="1:24" x14ac:dyDescent="0.55000000000000004">
      <c r="A766" t="s">
        <v>3134</v>
      </c>
      <c r="B766" t="s">
        <v>3135</v>
      </c>
      <c r="C766">
        <v>2008</v>
      </c>
      <c r="D766" t="s">
        <v>186</v>
      </c>
      <c r="E766">
        <v>303</v>
      </c>
      <c r="F766" s="4">
        <v>44563</v>
      </c>
      <c r="H766">
        <v>301</v>
      </c>
      <c r="I766">
        <v>310</v>
      </c>
      <c r="K766" s="2" t="s">
        <v>3136</v>
      </c>
      <c r="L766" s="2" t="s">
        <v>3137</v>
      </c>
      <c r="M766" t="s">
        <v>5109</v>
      </c>
      <c r="N766" t="s">
        <v>3138</v>
      </c>
      <c r="O766" t="s">
        <v>26</v>
      </c>
      <c r="P766" t="s">
        <v>27</v>
      </c>
      <c r="Q766" t="s">
        <v>43</v>
      </c>
      <c r="R766" t="s">
        <v>28</v>
      </c>
      <c r="S766" t="s">
        <v>43</v>
      </c>
      <c r="T766" t="s">
        <v>28</v>
      </c>
      <c r="U766" t="s">
        <v>28</v>
      </c>
      <c r="V766" t="s">
        <v>28</v>
      </c>
      <c r="W766" s="16" t="s">
        <v>5629</v>
      </c>
      <c r="X766" t="s">
        <v>5624</v>
      </c>
    </row>
    <row r="767" spans="1:24" x14ac:dyDescent="0.55000000000000004">
      <c r="A767" t="s">
        <v>1389</v>
      </c>
      <c r="B767" t="s">
        <v>3139</v>
      </c>
      <c r="C767">
        <v>2008</v>
      </c>
      <c r="D767" t="s">
        <v>3140</v>
      </c>
      <c r="H767">
        <v>3277</v>
      </c>
      <c r="I767">
        <v>3283</v>
      </c>
      <c r="K767" s="2" t="s">
        <v>3141</v>
      </c>
      <c r="L767" s="2" t="s">
        <v>3142</v>
      </c>
      <c r="M767" t="s">
        <v>4691</v>
      </c>
      <c r="N767" t="s">
        <v>1394</v>
      </c>
      <c r="O767" t="s">
        <v>198</v>
      </c>
      <c r="P767" t="s">
        <v>27</v>
      </c>
      <c r="Q767" t="s">
        <v>28</v>
      </c>
      <c r="R767" t="s">
        <v>28</v>
      </c>
      <c r="S767" t="s">
        <v>28</v>
      </c>
      <c r="T767" t="s">
        <v>28</v>
      </c>
      <c r="U767" t="s">
        <v>28</v>
      </c>
      <c r="V767" t="s">
        <v>28</v>
      </c>
      <c r="W767" s="16" t="s">
        <v>5629</v>
      </c>
      <c r="X767" t="s">
        <v>5624</v>
      </c>
    </row>
    <row r="768" spans="1:24" x14ac:dyDescent="0.55000000000000004">
      <c r="A768" t="s">
        <v>3143</v>
      </c>
      <c r="B768" t="s">
        <v>5110</v>
      </c>
      <c r="C768">
        <v>2008</v>
      </c>
      <c r="D768" t="s">
        <v>3144</v>
      </c>
      <c r="E768">
        <v>773</v>
      </c>
      <c r="H768">
        <v>267</v>
      </c>
      <c r="I768">
        <v>270</v>
      </c>
      <c r="K768" s="2" t="s">
        <v>3145</v>
      </c>
      <c r="L768" s="2" t="s">
        <v>3146</v>
      </c>
      <c r="M768" t="s">
        <v>3147</v>
      </c>
      <c r="N768" t="s">
        <v>3148</v>
      </c>
      <c r="O768" t="s">
        <v>26</v>
      </c>
      <c r="P768" t="s">
        <v>27</v>
      </c>
      <c r="Q768" t="s">
        <v>28</v>
      </c>
      <c r="R768" t="s">
        <v>28</v>
      </c>
      <c r="S768" t="s">
        <v>28</v>
      </c>
      <c r="T768" t="s">
        <v>28</v>
      </c>
      <c r="U768" t="s">
        <v>28</v>
      </c>
      <c r="V768" t="s">
        <v>28</v>
      </c>
      <c r="W768" s="16" t="s">
        <v>5629</v>
      </c>
      <c r="X768" t="s">
        <v>5624</v>
      </c>
    </row>
    <row r="769" spans="1:24" x14ac:dyDescent="0.55000000000000004">
      <c r="A769" t="s">
        <v>5111</v>
      </c>
      <c r="B769" t="s">
        <v>3149</v>
      </c>
      <c r="C769">
        <v>2008</v>
      </c>
      <c r="D769" t="s">
        <v>3150</v>
      </c>
      <c r="E769">
        <v>65</v>
      </c>
      <c r="F769">
        <v>6</v>
      </c>
      <c r="H769">
        <v>607</v>
      </c>
      <c r="I769">
        <v>607</v>
      </c>
      <c r="K769" s="2" t="s">
        <v>3151</v>
      </c>
      <c r="L769" s="2" t="s">
        <v>3152</v>
      </c>
      <c r="M769" t="s">
        <v>5112</v>
      </c>
      <c r="N769" t="s">
        <v>3153</v>
      </c>
      <c r="O769" t="s">
        <v>26</v>
      </c>
      <c r="P769" t="s">
        <v>27</v>
      </c>
      <c r="Q769" t="s">
        <v>28</v>
      </c>
      <c r="R769" t="s">
        <v>28</v>
      </c>
      <c r="S769" t="s">
        <v>28</v>
      </c>
      <c r="T769" t="s">
        <v>28</v>
      </c>
      <c r="U769" t="s">
        <v>28</v>
      </c>
      <c r="V769" t="s">
        <v>28</v>
      </c>
      <c r="W769" s="16" t="s">
        <v>5629</v>
      </c>
      <c r="X769" t="s">
        <v>5624</v>
      </c>
    </row>
    <row r="770" spans="1:24" x14ac:dyDescent="0.55000000000000004">
      <c r="A770" t="s">
        <v>5113</v>
      </c>
      <c r="B770" t="s">
        <v>3154</v>
      </c>
      <c r="C770">
        <v>2008</v>
      </c>
      <c r="D770" t="s">
        <v>3155</v>
      </c>
      <c r="E770">
        <v>72</v>
      </c>
      <c r="F770">
        <v>4</v>
      </c>
      <c r="H770">
        <v>546</v>
      </c>
      <c r="I770">
        <v>556</v>
      </c>
      <c r="K770" s="2" t="s">
        <v>3156</v>
      </c>
      <c r="L770" s="2" t="s">
        <v>3157</v>
      </c>
      <c r="M770" t="s">
        <v>5114</v>
      </c>
      <c r="N770" t="s">
        <v>3158</v>
      </c>
      <c r="O770" t="s">
        <v>26</v>
      </c>
      <c r="P770" t="s">
        <v>27</v>
      </c>
      <c r="Q770" t="s">
        <v>28</v>
      </c>
      <c r="R770" t="s">
        <v>28</v>
      </c>
      <c r="S770" t="s">
        <v>28</v>
      </c>
      <c r="T770" t="s">
        <v>28</v>
      </c>
      <c r="U770" t="s">
        <v>28</v>
      </c>
      <c r="V770" t="s">
        <v>28</v>
      </c>
      <c r="W770" s="16" t="s">
        <v>5629</v>
      </c>
      <c r="X770" t="s">
        <v>5624</v>
      </c>
    </row>
    <row r="771" spans="1:24" x14ac:dyDescent="0.55000000000000004">
      <c r="A771" t="s">
        <v>3159</v>
      </c>
      <c r="B771" t="s">
        <v>3160</v>
      </c>
      <c r="C771">
        <v>2007</v>
      </c>
      <c r="D771" t="s">
        <v>186</v>
      </c>
      <c r="E771">
        <v>300</v>
      </c>
      <c r="F771" s="4">
        <v>44563</v>
      </c>
      <c r="H771">
        <v>9</v>
      </c>
      <c r="I771">
        <v>20</v>
      </c>
      <c r="K771" s="2" t="s">
        <v>3161</v>
      </c>
      <c r="L771" s="2" t="s">
        <v>3162</v>
      </c>
      <c r="M771" t="s">
        <v>5115</v>
      </c>
      <c r="N771" t="s">
        <v>3163</v>
      </c>
      <c r="O771" t="s">
        <v>143</v>
      </c>
      <c r="P771" t="s">
        <v>27</v>
      </c>
      <c r="Q771" t="s">
        <v>28</v>
      </c>
      <c r="R771" t="s">
        <v>28</v>
      </c>
      <c r="S771" t="s">
        <v>28</v>
      </c>
      <c r="T771" t="s">
        <v>28</v>
      </c>
      <c r="U771" t="s">
        <v>28</v>
      </c>
      <c r="V771" t="s">
        <v>28</v>
      </c>
      <c r="W771" s="16" t="s">
        <v>5629</v>
      </c>
      <c r="X771" t="s">
        <v>5624</v>
      </c>
    </row>
    <row r="772" spans="1:24" x14ac:dyDescent="0.55000000000000004">
      <c r="A772" t="s">
        <v>3164</v>
      </c>
      <c r="B772" t="s">
        <v>3165</v>
      </c>
      <c r="C772">
        <v>2007</v>
      </c>
      <c r="D772" t="s">
        <v>68</v>
      </c>
      <c r="E772">
        <v>176</v>
      </c>
      <c r="F772">
        <v>3</v>
      </c>
      <c r="H772">
        <v>655</v>
      </c>
      <c r="I772">
        <v>664</v>
      </c>
      <c r="K772" s="2" t="s">
        <v>3166</v>
      </c>
      <c r="L772" s="2" t="s">
        <v>3167</v>
      </c>
      <c r="M772" t="s">
        <v>5116</v>
      </c>
      <c r="N772" t="s">
        <v>3168</v>
      </c>
      <c r="O772" t="s">
        <v>26</v>
      </c>
      <c r="P772" t="s">
        <v>27</v>
      </c>
      <c r="Q772" t="s">
        <v>28</v>
      </c>
      <c r="R772" t="s">
        <v>28</v>
      </c>
      <c r="S772" t="s">
        <v>28</v>
      </c>
      <c r="T772" t="s">
        <v>28</v>
      </c>
      <c r="U772" t="s">
        <v>28</v>
      </c>
      <c r="V772" t="s">
        <v>28</v>
      </c>
      <c r="W772" s="16" t="s">
        <v>5629</v>
      </c>
      <c r="X772" t="s">
        <v>5624</v>
      </c>
    </row>
    <row r="773" spans="1:24" x14ac:dyDescent="0.55000000000000004">
      <c r="A773" t="s">
        <v>5117</v>
      </c>
      <c r="B773" t="s">
        <v>3169</v>
      </c>
      <c r="C773">
        <v>2007</v>
      </c>
      <c r="D773" t="s">
        <v>2612</v>
      </c>
      <c r="E773">
        <v>104</v>
      </c>
      <c r="F773">
        <v>43</v>
      </c>
      <c r="H773">
        <v>16970</v>
      </c>
      <c r="I773">
        <v>16975</v>
      </c>
      <c r="K773" s="2" t="s">
        <v>3170</v>
      </c>
      <c r="L773" s="2" t="s">
        <v>3171</v>
      </c>
      <c r="M773" t="s">
        <v>5118</v>
      </c>
      <c r="N773" t="s">
        <v>3172</v>
      </c>
      <c r="O773" t="s">
        <v>26</v>
      </c>
      <c r="P773" t="s">
        <v>27</v>
      </c>
      <c r="Q773" t="s">
        <v>28</v>
      </c>
      <c r="R773" t="s">
        <v>28</v>
      </c>
      <c r="S773" t="s">
        <v>28</v>
      </c>
      <c r="T773" t="s">
        <v>28</v>
      </c>
      <c r="U773" t="s">
        <v>28</v>
      </c>
      <c r="V773" t="s">
        <v>28</v>
      </c>
      <c r="W773" s="16" t="s">
        <v>5629</v>
      </c>
      <c r="X773" t="s">
        <v>5624</v>
      </c>
    </row>
    <row r="774" spans="1:24" x14ac:dyDescent="0.55000000000000004">
      <c r="A774" t="s">
        <v>3173</v>
      </c>
      <c r="B774" t="s">
        <v>3174</v>
      </c>
      <c r="C774">
        <v>2007</v>
      </c>
      <c r="D774" t="s">
        <v>1222</v>
      </c>
      <c r="E774">
        <v>54</v>
      </c>
      <c r="F774">
        <v>3</v>
      </c>
      <c r="H774">
        <v>508</v>
      </c>
      <c r="I774">
        <v>522</v>
      </c>
      <c r="K774" s="2" t="s">
        <v>3175</v>
      </c>
      <c r="L774" s="2" t="s">
        <v>3176</v>
      </c>
      <c r="M774" t="s">
        <v>5119</v>
      </c>
      <c r="O774" t="s">
        <v>26</v>
      </c>
      <c r="P774" t="s">
        <v>27</v>
      </c>
      <c r="Q774" t="s">
        <v>28</v>
      </c>
      <c r="R774" t="s">
        <v>28</v>
      </c>
      <c r="S774" t="s">
        <v>28</v>
      </c>
      <c r="T774" t="s">
        <v>28</v>
      </c>
      <c r="U774" t="s">
        <v>28</v>
      </c>
      <c r="V774" t="s">
        <v>28</v>
      </c>
      <c r="W774" s="16" t="s">
        <v>5629</v>
      </c>
      <c r="X774" t="s">
        <v>5624</v>
      </c>
    </row>
    <row r="775" spans="1:24" x14ac:dyDescent="0.55000000000000004">
      <c r="A775" t="s">
        <v>3177</v>
      </c>
      <c r="B775" t="s">
        <v>3178</v>
      </c>
      <c r="C775">
        <v>2007</v>
      </c>
      <c r="D775" t="s">
        <v>2612</v>
      </c>
      <c r="E775">
        <v>104</v>
      </c>
      <c r="F775">
        <v>35</v>
      </c>
      <c r="H775">
        <v>14014</v>
      </c>
      <c r="I775">
        <v>14019</v>
      </c>
      <c r="K775" s="2" t="s">
        <v>3179</v>
      </c>
      <c r="L775" s="2" t="s">
        <v>3180</v>
      </c>
      <c r="M775" t="s">
        <v>5120</v>
      </c>
      <c r="N775" t="s">
        <v>3181</v>
      </c>
      <c r="O775" t="s">
        <v>26</v>
      </c>
      <c r="P775" t="s">
        <v>27</v>
      </c>
      <c r="Q775" t="s">
        <v>28</v>
      </c>
      <c r="R775" t="s">
        <v>28</v>
      </c>
      <c r="S775" t="s">
        <v>28</v>
      </c>
      <c r="T775" t="s">
        <v>28</v>
      </c>
      <c r="U775" t="s">
        <v>28</v>
      </c>
      <c r="V775" t="s">
        <v>28</v>
      </c>
      <c r="W775" s="16" t="s">
        <v>5629</v>
      </c>
      <c r="X775" t="s">
        <v>5624</v>
      </c>
    </row>
    <row r="776" spans="1:24" x14ac:dyDescent="0.55000000000000004">
      <c r="A776" t="s">
        <v>3182</v>
      </c>
      <c r="B776" t="s">
        <v>3183</v>
      </c>
      <c r="C776">
        <v>2007</v>
      </c>
      <c r="D776" t="s">
        <v>807</v>
      </c>
      <c r="E776">
        <v>13</v>
      </c>
      <c r="F776">
        <v>8</v>
      </c>
      <c r="H776">
        <v>1786</v>
      </c>
      <c r="I776">
        <v>1797</v>
      </c>
      <c r="K776" s="2" t="s">
        <v>3184</v>
      </c>
      <c r="L776" s="2" t="s">
        <v>3185</v>
      </c>
      <c r="M776" t="s">
        <v>5121</v>
      </c>
      <c r="N776" t="s">
        <v>3186</v>
      </c>
      <c r="O776" t="s">
        <v>26</v>
      </c>
      <c r="P776" t="s">
        <v>27</v>
      </c>
      <c r="Q776" t="s">
        <v>28</v>
      </c>
      <c r="R776" t="s">
        <v>28</v>
      </c>
      <c r="S776" t="s">
        <v>28</v>
      </c>
      <c r="T776" t="s">
        <v>28</v>
      </c>
      <c r="U776" t="s">
        <v>28</v>
      </c>
      <c r="V776" t="s">
        <v>28</v>
      </c>
      <c r="W776" s="16" t="s">
        <v>5629</v>
      </c>
      <c r="X776" t="s">
        <v>5624</v>
      </c>
    </row>
    <row r="777" spans="1:24" x14ac:dyDescent="0.55000000000000004">
      <c r="A777" t="s">
        <v>5122</v>
      </c>
      <c r="B777" t="s">
        <v>3187</v>
      </c>
      <c r="C777">
        <v>2007</v>
      </c>
      <c r="D777" t="s">
        <v>466</v>
      </c>
      <c r="E777">
        <v>10</v>
      </c>
      <c r="F777">
        <v>8</v>
      </c>
      <c r="H777">
        <v>729</v>
      </c>
      <c r="I777">
        <v>736</v>
      </c>
      <c r="K777" s="2" t="s">
        <v>3188</v>
      </c>
      <c r="L777" s="2" t="s">
        <v>3189</v>
      </c>
      <c r="M777" t="s">
        <v>5123</v>
      </c>
      <c r="N777" t="s">
        <v>3190</v>
      </c>
      <c r="O777" t="s">
        <v>26</v>
      </c>
      <c r="P777" t="s">
        <v>27</v>
      </c>
      <c r="Q777" t="s">
        <v>28</v>
      </c>
      <c r="R777" t="s">
        <v>28</v>
      </c>
      <c r="S777" t="s">
        <v>28</v>
      </c>
      <c r="T777" t="s">
        <v>28</v>
      </c>
      <c r="U777" t="s">
        <v>28</v>
      </c>
      <c r="V777" t="s">
        <v>28</v>
      </c>
      <c r="W777" s="16" t="s">
        <v>5629</v>
      </c>
      <c r="X777" t="s">
        <v>5624</v>
      </c>
    </row>
    <row r="778" spans="1:24" x14ac:dyDescent="0.55000000000000004">
      <c r="A778" t="s">
        <v>3191</v>
      </c>
      <c r="B778" t="s">
        <v>3192</v>
      </c>
      <c r="C778">
        <v>2007</v>
      </c>
      <c r="D778" t="s">
        <v>807</v>
      </c>
      <c r="E778">
        <v>13</v>
      </c>
      <c r="F778">
        <v>7</v>
      </c>
      <c r="H778">
        <v>1386</v>
      </c>
      <c r="I778">
        <v>1397</v>
      </c>
      <c r="K778" s="2" t="s">
        <v>3193</v>
      </c>
      <c r="L778" s="2" t="s">
        <v>3194</v>
      </c>
      <c r="M778" t="s">
        <v>5124</v>
      </c>
      <c r="N778" t="s">
        <v>3195</v>
      </c>
      <c r="O778" t="s">
        <v>26</v>
      </c>
      <c r="P778" t="s">
        <v>27</v>
      </c>
      <c r="Q778" t="s">
        <v>28</v>
      </c>
      <c r="R778" t="s">
        <v>28</v>
      </c>
      <c r="S778" t="s">
        <v>28</v>
      </c>
      <c r="T778" t="s">
        <v>28</v>
      </c>
      <c r="U778" t="s">
        <v>28</v>
      </c>
      <c r="V778" t="s">
        <v>28</v>
      </c>
      <c r="W778" s="16" t="s">
        <v>5629</v>
      </c>
      <c r="X778" t="s">
        <v>5624</v>
      </c>
    </row>
    <row r="779" spans="1:24" x14ac:dyDescent="0.55000000000000004">
      <c r="A779" t="s">
        <v>3196</v>
      </c>
      <c r="B779" t="s">
        <v>3197</v>
      </c>
      <c r="C779">
        <v>2007</v>
      </c>
      <c r="D779" t="s">
        <v>1586</v>
      </c>
      <c r="E779">
        <v>71</v>
      </c>
      <c r="F779">
        <v>4</v>
      </c>
      <c r="H779">
        <v>1257</v>
      </c>
      <c r="I779">
        <v>1266</v>
      </c>
      <c r="K779" s="2" t="s">
        <v>3198</v>
      </c>
      <c r="L779" s="2" t="s">
        <v>3199</v>
      </c>
      <c r="M779" t="s">
        <v>5125</v>
      </c>
      <c r="O779" t="s">
        <v>26</v>
      </c>
      <c r="P779" t="s">
        <v>27</v>
      </c>
      <c r="Q779" t="s">
        <v>28</v>
      </c>
      <c r="R779" t="s">
        <v>28</v>
      </c>
      <c r="S779" t="s">
        <v>28</v>
      </c>
      <c r="T779" t="s">
        <v>28</v>
      </c>
      <c r="U779" t="s">
        <v>28</v>
      </c>
      <c r="V779" t="s">
        <v>28</v>
      </c>
      <c r="W779" s="16" t="s">
        <v>5629</v>
      </c>
      <c r="X779" t="s">
        <v>5624</v>
      </c>
    </row>
    <row r="780" spans="1:24" x14ac:dyDescent="0.55000000000000004">
      <c r="A780" t="s">
        <v>3205</v>
      </c>
      <c r="B780" t="s">
        <v>3206</v>
      </c>
      <c r="C780">
        <v>2007</v>
      </c>
      <c r="D780" t="s">
        <v>68</v>
      </c>
      <c r="E780">
        <v>175</v>
      </c>
      <c r="F780">
        <v>1</v>
      </c>
      <c r="H780">
        <v>11</v>
      </c>
      <c r="I780">
        <v>28</v>
      </c>
      <c r="K780" s="2" t="s">
        <v>3207</v>
      </c>
      <c r="L780" s="2" t="s">
        <v>3208</v>
      </c>
      <c r="M780" t="s">
        <v>5127</v>
      </c>
      <c r="N780" t="s">
        <v>3209</v>
      </c>
      <c r="O780" t="s">
        <v>143</v>
      </c>
      <c r="P780" t="s">
        <v>27</v>
      </c>
      <c r="Q780" t="s">
        <v>28</v>
      </c>
      <c r="R780" t="s">
        <v>28</v>
      </c>
      <c r="S780" t="s">
        <v>28</v>
      </c>
      <c r="T780" t="s">
        <v>28</v>
      </c>
      <c r="U780" t="s">
        <v>28</v>
      </c>
      <c r="V780" t="s">
        <v>28</v>
      </c>
      <c r="W780" s="16" t="s">
        <v>5629</v>
      </c>
      <c r="X780" t="s">
        <v>5624</v>
      </c>
    </row>
    <row r="781" spans="1:24" x14ac:dyDescent="0.55000000000000004">
      <c r="A781" t="s">
        <v>3210</v>
      </c>
      <c r="B781" t="s">
        <v>3211</v>
      </c>
      <c r="C781">
        <v>2007</v>
      </c>
      <c r="D781" t="s">
        <v>68</v>
      </c>
      <c r="E781">
        <v>175</v>
      </c>
      <c r="F781">
        <v>1</v>
      </c>
      <c r="H781">
        <v>166</v>
      </c>
      <c r="I781">
        <v>175</v>
      </c>
      <c r="K781" s="2" t="s">
        <v>3212</v>
      </c>
      <c r="L781" s="2" t="s">
        <v>3213</v>
      </c>
      <c r="M781" t="s">
        <v>5128</v>
      </c>
      <c r="N781" t="s">
        <v>3214</v>
      </c>
      <c r="O781" t="s">
        <v>26</v>
      </c>
      <c r="P781" t="s">
        <v>27</v>
      </c>
      <c r="Q781" t="s">
        <v>28</v>
      </c>
      <c r="R781" t="s">
        <v>28</v>
      </c>
      <c r="S781" t="s">
        <v>28</v>
      </c>
      <c r="T781" t="s">
        <v>28</v>
      </c>
      <c r="U781" t="s">
        <v>28</v>
      </c>
      <c r="V781" t="s">
        <v>28</v>
      </c>
      <c r="W781" s="16" t="s">
        <v>5629</v>
      </c>
      <c r="X781" t="s">
        <v>5624</v>
      </c>
    </row>
    <row r="782" spans="1:24" x14ac:dyDescent="0.55000000000000004">
      <c r="A782" t="s">
        <v>3215</v>
      </c>
      <c r="B782" t="s">
        <v>3216</v>
      </c>
      <c r="C782">
        <v>2007</v>
      </c>
      <c r="D782" t="s">
        <v>53</v>
      </c>
      <c r="E782">
        <v>39</v>
      </c>
      <c r="F782">
        <v>7</v>
      </c>
      <c r="H782">
        <v>1450</v>
      </c>
      <c r="I782">
        <v>1458</v>
      </c>
      <c r="K782" s="2" t="s">
        <v>3217</v>
      </c>
      <c r="L782" s="2" t="s">
        <v>3218</v>
      </c>
      <c r="M782" t="s">
        <v>5129</v>
      </c>
      <c r="N782" t="s">
        <v>3219</v>
      </c>
      <c r="O782" t="s">
        <v>26</v>
      </c>
      <c r="P782" t="s">
        <v>27</v>
      </c>
      <c r="Q782" t="s">
        <v>28</v>
      </c>
      <c r="R782" t="s">
        <v>28</v>
      </c>
      <c r="S782" t="s">
        <v>28</v>
      </c>
      <c r="T782" t="s">
        <v>28</v>
      </c>
      <c r="U782" t="s">
        <v>28</v>
      </c>
      <c r="V782" t="s">
        <v>28</v>
      </c>
      <c r="W782" s="16" t="s">
        <v>5629</v>
      </c>
      <c r="X782" t="s">
        <v>5624</v>
      </c>
    </row>
    <row r="783" spans="1:24" x14ac:dyDescent="0.55000000000000004">
      <c r="A783" t="s">
        <v>3220</v>
      </c>
      <c r="B783" t="s">
        <v>3221</v>
      </c>
      <c r="C783">
        <v>2007</v>
      </c>
      <c r="D783" t="s">
        <v>3150</v>
      </c>
      <c r="E783">
        <v>64</v>
      </c>
      <c r="F783">
        <v>4</v>
      </c>
      <c r="H783">
        <v>419</v>
      </c>
      <c r="I783">
        <v>429</v>
      </c>
      <c r="K783" s="2" t="s">
        <v>3222</v>
      </c>
      <c r="L783" s="2" t="s">
        <v>3223</v>
      </c>
      <c r="M783" t="s">
        <v>5130</v>
      </c>
      <c r="N783" t="s">
        <v>3224</v>
      </c>
      <c r="O783" t="s">
        <v>26</v>
      </c>
      <c r="P783" t="s">
        <v>27</v>
      </c>
      <c r="Q783" t="s">
        <v>28</v>
      </c>
      <c r="R783" t="s">
        <v>28</v>
      </c>
      <c r="S783" t="s">
        <v>28</v>
      </c>
      <c r="T783" t="s">
        <v>28</v>
      </c>
      <c r="U783" t="s">
        <v>28</v>
      </c>
      <c r="V783" t="s">
        <v>28</v>
      </c>
      <c r="W783" s="16" t="s">
        <v>5629</v>
      </c>
      <c r="X783" t="s">
        <v>5624</v>
      </c>
    </row>
    <row r="784" spans="1:24" x14ac:dyDescent="0.55000000000000004">
      <c r="A784" t="s">
        <v>3225</v>
      </c>
      <c r="B784" t="s">
        <v>3226</v>
      </c>
      <c r="C784">
        <v>2007</v>
      </c>
      <c r="D784" t="s">
        <v>53</v>
      </c>
      <c r="E784">
        <v>39</v>
      </c>
      <c r="F784">
        <v>5</v>
      </c>
      <c r="H784">
        <v>1078</v>
      </c>
      <c r="I784">
        <v>1086</v>
      </c>
      <c r="K784" s="2" t="s">
        <v>3227</v>
      </c>
      <c r="L784" s="2" t="s">
        <v>3228</v>
      </c>
      <c r="M784" t="s">
        <v>5131</v>
      </c>
      <c r="N784" t="s">
        <v>3229</v>
      </c>
      <c r="O784" t="s">
        <v>26</v>
      </c>
      <c r="P784" t="s">
        <v>27</v>
      </c>
      <c r="Q784" t="s">
        <v>28</v>
      </c>
      <c r="R784" t="s">
        <v>28</v>
      </c>
      <c r="S784" t="s">
        <v>28</v>
      </c>
      <c r="T784" t="s">
        <v>28</v>
      </c>
      <c r="U784" t="s">
        <v>28</v>
      </c>
      <c r="V784" t="s">
        <v>28</v>
      </c>
      <c r="W784" s="16" t="s">
        <v>5629</v>
      </c>
      <c r="X784" t="s">
        <v>5624</v>
      </c>
    </row>
    <row r="785" spans="1:24" x14ac:dyDescent="0.55000000000000004">
      <c r="A785" t="s">
        <v>5132</v>
      </c>
      <c r="B785" t="s">
        <v>3230</v>
      </c>
      <c r="C785">
        <v>2007</v>
      </c>
      <c r="D785" t="s">
        <v>3231</v>
      </c>
      <c r="E785">
        <v>93</v>
      </c>
      <c r="F785">
        <v>2</v>
      </c>
      <c r="H785">
        <v>273</v>
      </c>
      <c r="I785">
        <v>282</v>
      </c>
      <c r="K785" s="2" t="s">
        <v>3232</v>
      </c>
      <c r="L785" s="2" t="s">
        <v>3233</v>
      </c>
      <c r="M785" t="s">
        <v>5133</v>
      </c>
      <c r="N785" t="s">
        <v>3234</v>
      </c>
      <c r="O785" t="s">
        <v>26</v>
      </c>
      <c r="P785" t="s">
        <v>27</v>
      </c>
      <c r="Q785" t="s">
        <v>28</v>
      </c>
      <c r="R785" t="s">
        <v>28</v>
      </c>
      <c r="S785" t="s">
        <v>28</v>
      </c>
      <c r="T785" t="s">
        <v>28</v>
      </c>
      <c r="U785" t="s">
        <v>28</v>
      </c>
      <c r="V785" t="s">
        <v>28</v>
      </c>
      <c r="W785" s="16" t="s">
        <v>5629</v>
      </c>
      <c r="X785" t="s">
        <v>5624</v>
      </c>
    </row>
    <row r="786" spans="1:24" x14ac:dyDescent="0.55000000000000004">
      <c r="A786" t="s">
        <v>3235</v>
      </c>
      <c r="B786" t="s">
        <v>3236</v>
      </c>
      <c r="C786">
        <v>2007</v>
      </c>
      <c r="D786" t="s">
        <v>3237</v>
      </c>
      <c r="E786">
        <v>99</v>
      </c>
      <c r="F786">
        <v>2</v>
      </c>
      <c r="H786">
        <v>175</v>
      </c>
      <c r="I786">
        <v>184</v>
      </c>
      <c r="K786" s="2" t="s">
        <v>3238</v>
      </c>
      <c r="L786" s="2" t="s">
        <v>3239</v>
      </c>
      <c r="M786" t="s">
        <v>5134</v>
      </c>
      <c r="N786" t="s">
        <v>3240</v>
      </c>
      <c r="O786" t="s">
        <v>26</v>
      </c>
      <c r="P786" t="s">
        <v>27</v>
      </c>
      <c r="Q786" t="s">
        <v>28</v>
      </c>
      <c r="R786" t="s">
        <v>28</v>
      </c>
      <c r="S786" t="s">
        <v>28</v>
      </c>
      <c r="T786" t="s">
        <v>28</v>
      </c>
      <c r="U786" t="s">
        <v>28</v>
      </c>
      <c r="V786" t="s">
        <v>28</v>
      </c>
      <c r="W786" s="16" t="s">
        <v>5629</v>
      </c>
      <c r="X786" t="s">
        <v>5624</v>
      </c>
    </row>
    <row r="787" spans="1:24" x14ac:dyDescent="0.55000000000000004">
      <c r="A787" t="s">
        <v>3246</v>
      </c>
      <c r="B787" t="s">
        <v>3247</v>
      </c>
      <c r="C787">
        <v>2007</v>
      </c>
      <c r="D787" t="s">
        <v>3248</v>
      </c>
      <c r="H787">
        <v>161</v>
      </c>
      <c r="I787">
        <v>184</v>
      </c>
      <c r="K787" s="2" t="s">
        <v>3249</v>
      </c>
      <c r="L787" s="2" t="s">
        <v>3250</v>
      </c>
      <c r="M787" t="s">
        <v>5136</v>
      </c>
      <c r="O787" t="s">
        <v>198</v>
      </c>
      <c r="P787" t="s">
        <v>27</v>
      </c>
      <c r="Q787" t="s">
        <v>28</v>
      </c>
      <c r="R787" t="s">
        <v>28</v>
      </c>
      <c r="S787" t="s">
        <v>28</v>
      </c>
      <c r="T787" t="s">
        <v>28</v>
      </c>
      <c r="U787" t="s">
        <v>28</v>
      </c>
      <c r="V787" t="s">
        <v>28</v>
      </c>
      <c r="W787" s="16" t="s">
        <v>5629</v>
      </c>
      <c r="X787" t="s">
        <v>5624</v>
      </c>
    </row>
    <row r="788" spans="1:24" x14ac:dyDescent="0.55000000000000004">
      <c r="A788" t="s">
        <v>5137</v>
      </c>
      <c r="B788" t="s">
        <v>3251</v>
      </c>
      <c r="C788">
        <v>2007</v>
      </c>
      <c r="D788" t="s">
        <v>125</v>
      </c>
      <c r="E788">
        <v>4</v>
      </c>
      <c r="F788">
        <v>5</v>
      </c>
      <c r="H788">
        <v>769</v>
      </c>
      <c r="I788">
        <v>779</v>
      </c>
      <c r="K788" s="2" t="s">
        <v>3252</v>
      </c>
      <c r="L788" s="2" t="s">
        <v>3253</v>
      </c>
      <c r="M788" t="s">
        <v>5138</v>
      </c>
      <c r="O788" t="s">
        <v>26</v>
      </c>
      <c r="P788" t="s">
        <v>27</v>
      </c>
      <c r="Q788" t="s">
        <v>43</v>
      </c>
      <c r="R788" t="s">
        <v>28</v>
      </c>
      <c r="S788" t="s">
        <v>28</v>
      </c>
      <c r="T788" t="s">
        <v>28</v>
      </c>
      <c r="U788" t="s">
        <v>28</v>
      </c>
      <c r="V788" t="s">
        <v>28</v>
      </c>
      <c r="W788" s="16" t="s">
        <v>5629</v>
      </c>
      <c r="X788" t="s">
        <v>5624</v>
      </c>
    </row>
    <row r="789" spans="1:24" x14ac:dyDescent="0.55000000000000004">
      <c r="A789" t="s">
        <v>3254</v>
      </c>
      <c r="B789" t="s">
        <v>3255</v>
      </c>
      <c r="C789">
        <v>2007</v>
      </c>
      <c r="D789" t="s">
        <v>152</v>
      </c>
      <c r="E789">
        <v>27</v>
      </c>
      <c r="F789">
        <v>3</v>
      </c>
      <c r="H789">
        <v>375</v>
      </c>
      <c r="I789">
        <v>383</v>
      </c>
      <c r="K789" s="2" t="s">
        <v>3256</v>
      </c>
      <c r="L789" s="2" t="s">
        <v>3257</v>
      </c>
      <c r="M789" t="s">
        <v>5139</v>
      </c>
      <c r="N789" t="s">
        <v>3258</v>
      </c>
      <c r="O789" t="s">
        <v>26</v>
      </c>
      <c r="P789" t="s">
        <v>27</v>
      </c>
      <c r="Q789" t="s">
        <v>28</v>
      </c>
      <c r="R789" t="s">
        <v>28</v>
      </c>
      <c r="S789" t="s">
        <v>28</v>
      </c>
      <c r="T789" t="s">
        <v>28</v>
      </c>
      <c r="U789" t="s">
        <v>28</v>
      </c>
      <c r="V789" t="s">
        <v>28</v>
      </c>
      <c r="W789" s="16" t="s">
        <v>5629</v>
      </c>
      <c r="X789" t="s">
        <v>5624</v>
      </c>
    </row>
    <row r="790" spans="1:24" x14ac:dyDescent="0.55000000000000004">
      <c r="A790" t="s">
        <v>3259</v>
      </c>
      <c r="B790" t="s">
        <v>3260</v>
      </c>
      <c r="C790">
        <v>2007</v>
      </c>
      <c r="D790" t="s">
        <v>807</v>
      </c>
      <c r="E790">
        <v>13</v>
      </c>
      <c r="F790">
        <v>1</v>
      </c>
      <c r="H790">
        <v>78</v>
      </c>
      <c r="I790">
        <v>88</v>
      </c>
      <c r="K790" s="2" t="s">
        <v>3261</v>
      </c>
      <c r="L790" s="2" t="s">
        <v>3262</v>
      </c>
      <c r="M790" t="s">
        <v>5140</v>
      </c>
      <c r="N790" t="s">
        <v>3263</v>
      </c>
      <c r="O790" t="s">
        <v>143</v>
      </c>
      <c r="P790" t="s">
        <v>27</v>
      </c>
      <c r="Q790" t="s">
        <v>28</v>
      </c>
      <c r="R790" t="s">
        <v>28</v>
      </c>
      <c r="S790" t="s">
        <v>28</v>
      </c>
      <c r="T790" t="s">
        <v>28</v>
      </c>
      <c r="U790" t="s">
        <v>28</v>
      </c>
      <c r="V790" t="s">
        <v>28</v>
      </c>
      <c r="W790" s="16" t="s">
        <v>5629</v>
      </c>
      <c r="X790" t="s">
        <v>5624</v>
      </c>
    </row>
    <row r="791" spans="1:24" x14ac:dyDescent="0.55000000000000004">
      <c r="A791" t="s">
        <v>5141</v>
      </c>
      <c r="B791" t="s">
        <v>3264</v>
      </c>
      <c r="C791">
        <v>2007</v>
      </c>
      <c r="D791" t="s">
        <v>68</v>
      </c>
      <c r="E791">
        <v>173</v>
      </c>
      <c r="F791">
        <v>3</v>
      </c>
      <c r="H791">
        <v>611</v>
      </c>
      <c r="I791">
        <v>620</v>
      </c>
      <c r="K791" s="2" t="s">
        <v>3265</v>
      </c>
      <c r="L791" s="2" t="s">
        <v>3266</v>
      </c>
      <c r="M791" t="s">
        <v>5142</v>
      </c>
      <c r="N791" t="s">
        <v>3267</v>
      </c>
      <c r="O791" t="s">
        <v>26</v>
      </c>
      <c r="P791" t="s">
        <v>27</v>
      </c>
      <c r="Q791" t="s">
        <v>43</v>
      </c>
      <c r="R791" t="s">
        <v>28</v>
      </c>
      <c r="S791" t="s">
        <v>43</v>
      </c>
      <c r="T791" t="s">
        <v>28</v>
      </c>
      <c r="U791" t="s">
        <v>28</v>
      </c>
      <c r="V791" t="s">
        <v>28</v>
      </c>
      <c r="W791" s="16" t="s">
        <v>5629</v>
      </c>
      <c r="X791" t="s">
        <v>5624</v>
      </c>
    </row>
    <row r="792" spans="1:24" x14ac:dyDescent="0.55000000000000004">
      <c r="A792" t="s">
        <v>3268</v>
      </c>
      <c r="B792" t="s">
        <v>3269</v>
      </c>
      <c r="C792">
        <v>2007</v>
      </c>
      <c r="D792" t="s">
        <v>53</v>
      </c>
      <c r="E792">
        <v>39</v>
      </c>
      <c r="F792">
        <v>1</v>
      </c>
      <c r="H792">
        <v>320</v>
      </c>
      <c r="I792">
        <v>329</v>
      </c>
      <c r="K792" s="2" t="s">
        <v>3270</v>
      </c>
      <c r="L792" s="2" t="s">
        <v>3271</v>
      </c>
      <c r="M792" t="s">
        <v>5143</v>
      </c>
      <c r="N792" t="s">
        <v>3272</v>
      </c>
      <c r="O792" t="s">
        <v>26</v>
      </c>
      <c r="P792" t="s">
        <v>27</v>
      </c>
      <c r="Q792" t="s">
        <v>28</v>
      </c>
      <c r="R792" t="s">
        <v>28</v>
      </c>
      <c r="S792" t="s">
        <v>28</v>
      </c>
      <c r="T792" t="s">
        <v>28</v>
      </c>
      <c r="U792" t="s">
        <v>28</v>
      </c>
      <c r="V792" t="s">
        <v>28</v>
      </c>
      <c r="W792" s="16" t="s">
        <v>5629</v>
      </c>
      <c r="X792" t="s">
        <v>5624</v>
      </c>
    </row>
    <row r="793" spans="1:24" x14ac:dyDescent="0.55000000000000004">
      <c r="A793" t="s">
        <v>5144</v>
      </c>
      <c r="B793" t="s">
        <v>3273</v>
      </c>
      <c r="C793">
        <v>2006</v>
      </c>
      <c r="D793" t="s">
        <v>68</v>
      </c>
      <c r="E793">
        <v>172</v>
      </c>
      <c r="F793">
        <v>2</v>
      </c>
      <c r="H793">
        <v>319</v>
      </c>
      <c r="I793">
        <v>329</v>
      </c>
      <c r="K793" s="2" t="s">
        <v>3274</v>
      </c>
      <c r="L793" s="2" t="s">
        <v>3275</v>
      </c>
      <c r="M793" t="s">
        <v>5145</v>
      </c>
      <c r="N793" t="s">
        <v>3276</v>
      </c>
      <c r="O793" t="s">
        <v>26</v>
      </c>
      <c r="P793" t="s">
        <v>27</v>
      </c>
      <c r="Q793" t="s">
        <v>28</v>
      </c>
      <c r="R793" t="s">
        <v>28</v>
      </c>
      <c r="S793" t="s">
        <v>28</v>
      </c>
      <c r="T793" t="s">
        <v>28</v>
      </c>
      <c r="U793" t="s">
        <v>28</v>
      </c>
      <c r="V793" t="s">
        <v>28</v>
      </c>
      <c r="W793" s="16" t="s">
        <v>5629</v>
      </c>
      <c r="X793" t="s">
        <v>5624</v>
      </c>
    </row>
    <row r="794" spans="1:24" x14ac:dyDescent="0.55000000000000004">
      <c r="A794" t="s">
        <v>3277</v>
      </c>
      <c r="B794" t="s">
        <v>3278</v>
      </c>
      <c r="C794">
        <v>2006</v>
      </c>
      <c r="D794" t="s">
        <v>466</v>
      </c>
      <c r="E794">
        <v>9</v>
      </c>
      <c r="F794">
        <v>9</v>
      </c>
      <c r="H794">
        <v>1015</v>
      </c>
      <c r="I794">
        <v>1024</v>
      </c>
      <c r="K794" s="2" t="s">
        <v>3279</v>
      </c>
      <c r="L794" s="2" t="s">
        <v>3280</v>
      </c>
      <c r="M794" t="s">
        <v>5146</v>
      </c>
      <c r="N794" t="s">
        <v>3281</v>
      </c>
      <c r="O794" t="s">
        <v>26</v>
      </c>
      <c r="P794" t="s">
        <v>27</v>
      </c>
      <c r="Q794" t="s">
        <v>28</v>
      </c>
      <c r="R794" t="s">
        <v>28</v>
      </c>
      <c r="S794" t="s">
        <v>28</v>
      </c>
      <c r="T794" t="s">
        <v>28</v>
      </c>
      <c r="U794" t="s">
        <v>28</v>
      </c>
      <c r="V794" t="s">
        <v>28</v>
      </c>
      <c r="W794" s="16" t="s">
        <v>5629</v>
      </c>
      <c r="X794" t="s">
        <v>5624</v>
      </c>
    </row>
    <row r="795" spans="1:24" x14ac:dyDescent="0.55000000000000004">
      <c r="A795" t="s">
        <v>3282</v>
      </c>
      <c r="B795" t="s">
        <v>3283</v>
      </c>
      <c r="C795">
        <v>2006</v>
      </c>
      <c r="D795" t="s">
        <v>781</v>
      </c>
      <c r="E795">
        <v>33</v>
      </c>
      <c r="F795">
        <v>2</v>
      </c>
      <c r="H795">
        <v>152</v>
      </c>
      <c r="I795">
        <v>175</v>
      </c>
      <c r="K795" s="2" t="s">
        <v>3284</v>
      </c>
      <c r="L795" s="2" t="s">
        <v>3285</v>
      </c>
      <c r="M795" t="s">
        <v>5147</v>
      </c>
      <c r="N795" t="s">
        <v>3286</v>
      </c>
      <c r="O795" t="s">
        <v>26</v>
      </c>
      <c r="P795" t="s">
        <v>27</v>
      </c>
      <c r="Q795" t="s">
        <v>28</v>
      </c>
      <c r="R795" t="s">
        <v>28</v>
      </c>
      <c r="S795" t="s">
        <v>28</v>
      </c>
      <c r="T795" t="s">
        <v>28</v>
      </c>
      <c r="U795" t="s">
        <v>28</v>
      </c>
      <c r="V795" t="s">
        <v>28</v>
      </c>
      <c r="W795" s="16" t="s">
        <v>5629</v>
      </c>
      <c r="X795" t="s">
        <v>5624</v>
      </c>
    </row>
    <row r="796" spans="1:24" x14ac:dyDescent="0.55000000000000004">
      <c r="A796" t="s">
        <v>3287</v>
      </c>
      <c r="B796" t="s">
        <v>3288</v>
      </c>
      <c r="C796">
        <v>2006</v>
      </c>
      <c r="D796" t="s">
        <v>68</v>
      </c>
      <c r="E796">
        <v>171</v>
      </c>
      <c r="F796">
        <v>2</v>
      </c>
      <c r="H796">
        <v>391</v>
      </c>
      <c r="I796">
        <v>404</v>
      </c>
      <c r="K796" s="2" t="s">
        <v>3289</v>
      </c>
      <c r="L796" s="2" t="s">
        <v>3290</v>
      </c>
      <c r="M796" t="s">
        <v>5148</v>
      </c>
      <c r="N796" t="s">
        <v>3291</v>
      </c>
      <c r="O796" t="s">
        <v>26</v>
      </c>
      <c r="P796" t="s">
        <v>27</v>
      </c>
      <c r="Q796" t="s">
        <v>28</v>
      </c>
      <c r="R796" t="s">
        <v>28</v>
      </c>
      <c r="S796" t="s">
        <v>28</v>
      </c>
      <c r="T796" t="s">
        <v>28</v>
      </c>
      <c r="U796" t="s">
        <v>28</v>
      </c>
      <c r="V796" t="s">
        <v>28</v>
      </c>
      <c r="W796" s="16" t="s">
        <v>5629</v>
      </c>
      <c r="X796" t="s">
        <v>5624</v>
      </c>
    </row>
    <row r="797" spans="1:24" x14ac:dyDescent="0.55000000000000004">
      <c r="A797" t="s">
        <v>3297</v>
      </c>
      <c r="B797" t="s">
        <v>3298</v>
      </c>
      <c r="C797">
        <v>2006</v>
      </c>
      <c r="D797" t="s">
        <v>68</v>
      </c>
      <c r="E797">
        <v>171</v>
      </c>
      <c r="F797">
        <v>1</v>
      </c>
      <c r="H797">
        <v>159</v>
      </c>
      <c r="I797">
        <v>170</v>
      </c>
      <c r="K797" s="2" t="s">
        <v>3299</v>
      </c>
      <c r="L797" s="2" t="s">
        <v>3300</v>
      </c>
      <c r="M797" t="s">
        <v>5150</v>
      </c>
      <c r="N797" t="s">
        <v>3301</v>
      </c>
      <c r="O797" t="s">
        <v>26</v>
      </c>
      <c r="P797" t="s">
        <v>27</v>
      </c>
      <c r="Q797" t="s">
        <v>28</v>
      </c>
      <c r="R797" t="s">
        <v>28</v>
      </c>
      <c r="S797" t="s">
        <v>28</v>
      </c>
      <c r="T797" t="s">
        <v>28</v>
      </c>
      <c r="U797" t="s">
        <v>28</v>
      </c>
      <c r="V797" t="s">
        <v>28</v>
      </c>
      <c r="W797" s="16" t="s">
        <v>5629</v>
      </c>
      <c r="X797" t="s">
        <v>5624</v>
      </c>
    </row>
    <row r="798" spans="1:24" x14ac:dyDescent="0.55000000000000004">
      <c r="A798" t="s">
        <v>3302</v>
      </c>
      <c r="B798" t="s">
        <v>3303</v>
      </c>
      <c r="C798">
        <v>2006</v>
      </c>
      <c r="D798" t="s">
        <v>807</v>
      </c>
      <c r="E798">
        <v>12</v>
      </c>
      <c r="F798">
        <v>5</v>
      </c>
      <c r="H798">
        <v>793</v>
      </c>
      <c r="I798">
        <v>803</v>
      </c>
      <c r="K798" s="2" t="s">
        <v>3304</v>
      </c>
      <c r="L798" s="2" t="s">
        <v>3305</v>
      </c>
      <c r="M798" t="s">
        <v>5151</v>
      </c>
      <c r="N798" t="s">
        <v>3306</v>
      </c>
      <c r="O798" t="s">
        <v>26</v>
      </c>
      <c r="P798" t="s">
        <v>27</v>
      </c>
      <c r="Q798" t="s">
        <v>28</v>
      </c>
      <c r="R798" t="s">
        <v>28</v>
      </c>
      <c r="S798" t="s">
        <v>28</v>
      </c>
      <c r="T798" t="s">
        <v>28</v>
      </c>
      <c r="U798" t="s">
        <v>28</v>
      </c>
      <c r="V798" t="s">
        <v>28</v>
      </c>
      <c r="W798" s="16" t="s">
        <v>5629</v>
      </c>
      <c r="X798" t="s">
        <v>5624</v>
      </c>
    </row>
    <row r="799" spans="1:24" x14ac:dyDescent="0.55000000000000004">
      <c r="A799" t="s">
        <v>3307</v>
      </c>
      <c r="B799" t="s">
        <v>3308</v>
      </c>
      <c r="C799">
        <v>2006</v>
      </c>
      <c r="D799" t="s">
        <v>60</v>
      </c>
      <c r="E799">
        <v>87</v>
      </c>
      <c r="F799">
        <v>3</v>
      </c>
      <c r="H799">
        <v>563</v>
      </c>
      <c r="I799">
        <v>569</v>
      </c>
      <c r="K799" s="2" t="s">
        <v>3309</v>
      </c>
      <c r="L799" s="2" t="s">
        <v>3310</v>
      </c>
      <c r="M799" t="s">
        <v>5152</v>
      </c>
      <c r="N799" t="s">
        <v>3311</v>
      </c>
      <c r="O799" t="s">
        <v>26</v>
      </c>
      <c r="P799" t="s">
        <v>27</v>
      </c>
      <c r="Q799" t="s">
        <v>28</v>
      </c>
      <c r="R799" t="s">
        <v>28</v>
      </c>
      <c r="S799" t="s">
        <v>28</v>
      </c>
      <c r="T799" t="s">
        <v>28</v>
      </c>
      <c r="U799" t="s">
        <v>28</v>
      </c>
      <c r="V799" t="s">
        <v>28</v>
      </c>
      <c r="W799" s="16" t="s">
        <v>5629</v>
      </c>
      <c r="X799" t="s">
        <v>5624</v>
      </c>
    </row>
    <row r="800" spans="1:24" x14ac:dyDescent="0.55000000000000004">
      <c r="A800" t="s">
        <v>5153</v>
      </c>
      <c r="B800" t="s">
        <v>3312</v>
      </c>
      <c r="C800">
        <v>2006</v>
      </c>
      <c r="D800" t="s">
        <v>3313</v>
      </c>
      <c r="E800">
        <v>43</v>
      </c>
      <c r="F800">
        <v>2</v>
      </c>
      <c r="H800">
        <v>102</v>
      </c>
      <c r="I800">
        <v>110</v>
      </c>
      <c r="K800" s="2" t="s">
        <v>3314</v>
      </c>
      <c r="L800" s="2" t="s">
        <v>3315</v>
      </c>
      <c r="M800" t="s">
        <v>5154</v>
      </c>
      <c r="N800" t="s">
        <v>3316</v>
      </c>
      <c r="O800" t="s">
        <v>26</v>
      </c>
      <c r="P800" t="s">
        <v>27</v>
      </c>
      <c r="Q800" t="s">
        <v>28</v>
      </c>
      <c r="R800" t="s">
        <v>28</v>
      </c>
      <c r="S800" t="s">
        <v>28</v>
      </c>
      <c r="T800" t="s">
        <v>28</v>
      </c>
      <c r="U800" t="s">
        <v>28</v>
      </c>
      <c r="V800" t="s">
        <v>28</v>
      </c>
      <c r="W800" s="16" t="s">
        <v>5629</v>
      </c>
      <c r="X800" t="s">
        <v>5624</v>
      </c>
    </row>
    <row r="801" spans="1:24" x14ac:dyDescent="0.55000000000000004">
      <c r="A801" t="s">
        <v>3317</v>
      </c>
      <c r="B801" t="s">
        <v>3318</v>
      </c>
      <c r="C801">
        <v>2006</v>
      </c>
      <c r="D801" t="s">
        <v>53</v>
      </c>
      <c r="E801">
        <v>38</v>
      </c>
      <c r="F801">
        <v>9</v>
      </c>
      <c r="H801">
        <v>2665</v>
      </c>
      <c r="I801">
        <v>2675</v>
      </c>
      <c r="K801" s="2" t="s">
        <v>3319</v>
      </c>
      <c r="L801" s="2" t="s">
        <v>3320</v>
      </c>
      <c r="M801" t="s">
        <v>3321</v>
      </c>
      <c r="N801" t="s">
        <v>3322</v>
      </c>
      <c r="O801" t="s">
        <v>26</v>
      </c>
      <c r="P801" t="s">
        <v>27</v>
      </c>
      <c r="Q801" t="s">
        <v>28</v>
      </c>
      <c r="R801" t="s">
        <v>28</v>
      </c>
      <c r="S801" t="s">
        <v>28</v>
      </c>
      <c r="T801" t="s">
        <v>28</v>
      </c>
      <c r="U801" t="s">
        <v>28</v>
      </c>
      <c r="V801" t="s">
        <v>28</v>
      </c>
      <c r="W801" s="16" t="s">
        <v>5629</v>
      </c>
      <c r="X801" t="s">
        <v>5624</v>
      </c>
    </row>
    <row r="802" spans="1:24" x14ac:dyDescent="0.55000000000000004">
      <c r="A802" t="s">
        <v>3323</v>
      </c>
      <c r="B802" t="s">
        <v>3324</v>
      </c>
      <c r="C802">
        <v>2005</v>
      </c>
      <c r="D802" t="s">
        <v>2903</v>
      </c>
      <c r="E802">
        <v>39</v>
      </c>
      <c r="F802">
        <v>24</v>
      </c>
      <c r="H802">
        <v>9669</v>
      </c>
      <c r="I802">
        <v>9675</v>
      </c>
      <c r="K802" s="2" t="s">
        <v>3325</v>
      </c>
      <c r="L802" s="2" t="s">
        <v>3326</v>
      </c>
      <c r="M802" t="s">
        <v>5155</v>
      </c>
      <c r="O802" t="s">
        <v>26</v>
      </c>
      <c r="P802" t="s">
        <v>27</v>
      </c>
      <c r="Q802" t="s">
        <v>28</v>
      </c>
      <c r="R802" t="s">
        <v>28</v>
      </c>
      <c r="S802" t="s">
        <v>28</v>
      </c>
      <c r="T802" t="s">
        <v>28</v>
      </c>
      <c r="U802" t="s">
        <v>28</v>
      </c>
      <c r="V802" t="s">
        <v>28</v>
      </c>
      <c r="W802" s="16" t="s">
        <v>5629</v>
      </c>
      <c r="X802" t="s">
        <v>5624</v>
      </c>
    </row>
    <row r="803" spans="1:24" x14ac:dyDescent="0.55000000000000004">
      <c r="A803" t="s">
        <v>3327</v>
      </c>
      <c r="B803" t="s">
        <v>3328</v>
      </c>
      <c r="C803">
        <v>2005</v>
      </c>
      <c r="D803" t="s">
        <v>2829</v>
      </c>
      <c r="E803">
        <v>32</v>
      </c>
      <c r="F803">
        <v>12</v>
      </c>
      <c r="H803">
        <v>1143</v>
      </c>
      <c r="I803">
        <v>1152</v>
      </c>
      <c r="K803" s="2" t="s">
        <v>3329</v>
      </c>
      <c r="L803" s="2" t="s">
        <v>3330</v>
      </c>
      <c r="M803" t="s">
        <v>5156</v>
      </c>
      <c r="N803" t="s">
        <v>3331</v>
      </c>
      <c r="O803" t="s">
        <v>26</v>
      </c>
      <c r="P803" t="s">
        <v>27</v>
      </c>
      <c r="Q803" t="s">
        <v>28</v>
      </c>
      <c r="R803" t="s">
        <v>28</v>
      </c>
      <c r="S803" t="s">
        <v>28</v>
      </c>
      <c r="T803" t="s">
        <v>28</v>
      </c>
      <c r="U803" t="s">
        <v>28</v>
      </c>
      <c r="V803" t="s">
        <v>28</v>
      </c>
      <c r="W803" s="16" t="s">
        <v>5629</v>
      </c>
      <c r="X803" t="s">
        <v>5624</v>
      </c>
    </row>
    <row r="804" spans="1:24" x14ac:dyDescent="0.55000000000000004">
      <c r="A804" t="s">
        <v>3337</v>
      </c>
      <c r="B804" t="s">
        <v>3338</v>
      </c>
      <c r="C804">
        <v>2005</v>
      </c>
      <c r="D804" t="s">
        <v>68</v>
      </c>
      <c r="E804">
        <v>168</v>
      </c>
      <c r="F804">
        <v>3</v>
      </c>
      <c r="H804">
        <v>687</v>
      </c>
      <c r="I804">
        <v>696</v>
      </c>
      <c r="K804" s="2" t="s">
        <v>3339</v>
      </c>
      <c r="L804" s="2" t="s">
        <v>3340</v>
      </c>
      <c r="M804" t="s">
        <v>5158</v>
      </c>
      <c r="N804" t="s">
        <v>3341</v>
      </c>
      <c r="O804" t="s">
        <v>26</v>
      </c>
      <c r="P804" t="s">
        <v>27</v>
      </c>
      <c r="Q804" t="s">
        <v>28</v>
      </c>
      <c r="R804" t="s">
        <v>28</v>
      </c>
      <c r="S804" t="s">
        <v>28</v>
      </c>
      <c r="T804" t="s">
        <v>28</v>
      </c>
      <c r="U804" t="s">
        <v>28</v>
      </c>
      <c r="V804" t="s">
        <v>28</v>
      </c>
      <c r="W804" s="16" t="s">
        <v>5629</v>
      </c>
      <c r="X804" t="s">
        <v>5624</v>
      </c>
    </row>
    <row r="805" spans="1:24" x14ac:dyDescent="0.55000000000000004">
      <c r="A805" t="s">
        <v>3342</v>
      </c>
      <c r="B805" t="s">
        <v>3343</v>
      </c>
      <c r="C805">
        <v>2005</v>
      </c>
      <c r="D805" t="s">
        <v>466</v>
      </c>
      <c r="E805">
        <v>8</v>
      </c>
      <c r="F805">
        <v>12</v>
      </c>
      <c r="H805">
        <v>1264</v>
      </c>
      <c r="I805">
        <v>1270</v>
      </c>
      <c r="K805" s="2" t="s">
        <v>3344</v>
      </c>
      <c r="L805" s="2" t="s">
        <v>3345</v>
      </c>
      <c r="M805" t="s">
        <v>5159</v>
      </c>
      <c r="N805" t="s">
        <v>3346</v>
      </c>
      <c r="O805" t="s">
        <v>26</v>
      </c>
      <c r="P805" t="s">
        <v>27</v>
      </c>
      <c r="Q805" t="s">
        <v>28</v>
      </c>
      <c r="R805" t="s">
        <v>28</v>
      </c>
      <c r="S805" t="s">
        <v>28</v>
      </c>
      <c r="T805" t="s">
        <v>28</v>
      </c>
      <c r="U805" t="s">
        <v>28</v>
      </c>
      <c r="V805" t="s">
        <v>28</v>
      </c>
      <c r="W805" s="16" t="s">
        <v>5629</v>
      </c>
      <c r="X805" t="s">
        <v>5624</v>
      </c>
    </row>
    <row r="806" spans="1:24" x14ac:dyDescent="0.55000000000000004">
      <c r="A806" t="s">
        <v>3347</v>
      </c>
      <c r="B806" t="s">
        <v>3348</v>
      </c>
      <c r="C806">
        <v>2005</v>
      </c>
      <c r="D806" t="s">
        <v>923</v>
      </c>
      <c r="E806">
        <v>146</v>
      </c>
      <c r="F806">
        <v>2</v>
      </c>
      <c r="H806">
        <v>318</v>
      </c>
      <c r="I806">
        <v>328</v>
      </c>
      <c r="K806" s="2" t="s">
        <v>3349</v>
      </c>
      <c r="L806" s="2" t="s">
        <v>3350</v>
      </c>
      <c r="M806" t="s">
        <v>5160</v>
      </c>
      <c r="N806" t="s">
        <v>3351</v>
      </c>
      <c r="O806" t="s">
        <v>26</v>
      </c>
      <c r="P806" t="s">
        <v>27</v>
      </c>
      <c r="Q806" t="s">
        <v>28</v>
      </c>
      <c r="R806" t="s">
        <v>28</v>
      </c>
      <c r="S806" t="s">
        <v>28</v>
      </c>
      <c r="T806" t="s">
        <v>28</v>
      </c>
      <c r="U806" t="s">
        <v>28</v>
      </c>
      <c r="V806" t="s">
        <v>28</v>
      </c>
      <c r="W806" s="16" t="s">
        <v>5629</v>
      </c>
      <c r="X806" t="s">
        <v>5624</v>
      </c>
    </row>
    <row r="807" spans="1:24" x14ac:dyDescent="0.55000000000000004">
      <c r="A807" t="s">
        <v>3352</v>
      </c>
      <c r="B807" t="s">
        <v>3353</v>
      </c>
      <c r="C807">
        <v>2005</v>
      </c>
      <c r="D807" t="s">
        <v>3354</v>
      </c>
      <c r="E807">
        <v>25</v>
      </c>
      <c r="F807">
        <v>11</v>
      </c>
      <c r="H807">
        <v>2824</v>
      </c>
      <c r="I807">
        <v>2829</v>
      </c>
      <c r="L807" s="2" t="s">
        <v>3355</v>
      </c>
      <c r="M807" t="s">
        <v>5161</v>
      </c>
      <c r="N807" t="s">
        <v>3356</v>
      </c>
      <c r="O807" t="s">
        <v>26</v>
      </c>
      <c r="P807" t="s">
        <v>27</v>
      </c>
      <c r="Q807" t="s">
        <v>28</v>
      </c>
      <c r="R807" t="s">
        <v>28</v>
      </c>
      <c r="S807" t="s">
        <v>28</v>
      </c>
      <c r="T807" t="s">
        <v>28</v>
      </c>
      <c r="U807" t="s">
        <v>28</v>
      </c>
      <c r="V807" t="s">
        <v>28</v>
      </c>
      <c r="W807" s="16" t="s">
        <v>5629</v>
      </c>
      <c r="X807" t="s">
        <v>5624</v>
      </c>
    </row>
    <row r="808" spans="1:24" x14ac:dyDescent="0.55000000000000004">
      <c r="A808" t="s">
        <v>3357</v>
      </c>
      <c r="B808" t="s">
        <v>3358</v>
      </c>
      <c r="C808">
        <v>2005</v>
      </c>
      <c r="D808" t="s">
        <v>413</v>
      </c>
      <c r="E808">
        <v>19</v>
      </c>
      <c r="F808">
        <v>5</v>
      </c>
      <c r="H808">
        <v>886</v>
      </c>
      <c r="I808">
        <v>896</v>
      </c>
      <c r="K808" s="2" t="s">
        <v>3359</v>
      </c>
      <c r="L808" s="2" t="s">
        <v>3360</v>
      </c>
      <c r="M808" t="s">
        <v>5162</v>
      </c>
      <c r="N808" t="s">
        <v>3361</v>
      </c>
      <c r="O808" t="s">
        <v>26</v>
      </c>
      <c r="P808" t="s">
        <v>27</v>
      </c>
      <c r="Q808" t="s">
        <v>28</v>
      </c>
      <c r="R808" t="s">
        <v>28</v>
      </c>
      <c r="S808" t="s">
        <v>28</v>
      </c>
      <c r="T808" t="s">
        <v>28</v>
      </c>
      <c r="U808" t="s">
        <v>28</v>
      </c>
      <c r="V808" t="s">
        <v>28</v>
      </c>
      <c r="W808" s="16" t="s">
        <v>5629</v>
      </c>
      <c r="X808" t="s">
        <v>5624</v>
      </c>
    </row>
    <row r="809" spans="1:24" x14ac:dyDescent="0.55000000000000004">
      <c r="A809" t="s">
        <v>5163</v>
      </c>
      <c r="B809" t="s">
        <v>3362</v>
      </c>
      <c r="C809">
        <v>2005</v>
      </c>
      <c r="D809" t="s">
        <v>68</v>
      </c>
      <c r="E809">
        <v>168</v>
      </c>
      <c r="F809">
        <v>1</v>
      </c>
      <c r="H809">
        <v>179</v>
      </c>
      <c r="I809">
        <v>188</v>
      </c>
      <c r="K809" s="2" t="s">
        <v>3363</v>
      </c>
      <c r="L809" s="2" t="s">
        <v>3364</v>
      </c>
      <c r="M809" t="s">
        <v>5164</v>
      </c>
      <c r="N809" t="s">
        <v>3365</v>
      </c>
      <c r="O809" t="s">
        <v>26</v>
      </c>
      <c r="P809" t="s">
        <v>27</v>
      </c>
      <c r="Q809" t="s">
        <v>28</v>
      </c>
      <c r="R809" t="s">
        <v>28</v>
      </c>
      <c r="S809" t="s">
        <v>28</v>
      </c>
      <c r="T809" t="s">
        <v>28</v>
      </c>
      <c r="U809" t="s">
        <v>28</v>
      </c>
      <c r="V809" t="s">
        <v>28</v>
      </c>
      <c r="W809" s="16" t="s">
        <v>5629</v>
      </c>
      <c r="X809" t="s">
        <v>5624</v>
      </c>
    </row>
    <row r="810" spans="1:24" x14ac:dyDescent="0.55000000000000004">
      <c r="A810" t="s">
        <v>5165</v>
      </c>
      <c r="B810" t="s">
        <v>3366</v>
      </c>
      <c r="C810">
        <v>2005</v>
      </c>
      <c r="D810" t="s">
        <v>1368</v>
      </c>
      <c r="E810">
        <v>71</v>
      </c>
      <c r="F810">
        <v>9</v>
      </c>
      <c r="H810">
        <v>5341</v>
      </c>
      <c r="I810">
        <v>5347</v>
      </c>
      <c r="K810" s="2" t="s">
        <v>3367</v>
      </c>
      <c r="L810" s="2" t="s">
        <v>3368</v>
      </c>
      <c r="M810" t="s">
        <v>5166</v>
      </c>
      <c r="O810" t="s">
        <v>26</v>
      </c>
      <c r="P810" t="s">
        <v>27</v>
      </c>
      <c r="Q810" t="s">
        <v>28</v>
      </c>
      <c r="R810" t="s">
        <v>28</v>
      </c>
      <c r="S810" t="s">
        <v>28</v>
      </c>
      <c r="T810" t="s">
        <v>28</v>
      </c>
      <c r="U810" t="s">
        <v>28</v>
      </c>
      <c r="V810" t="s">
        <v>28</v>
      </c>
      <c r="W810" s="16" t="s">
        <v>5629</v>
      </c>
      <c r="X810" t="s">
        <v>5624</v>
      </c>
    </row>
    <row r="811" spans="1:24" x14ac:dyDescent="0.55000000000000004">
      <c r="A811" t="s">
        <v>3369</v>
      </c>
      <c r="B811" t="s">
        <v>3370</v>
      </c>
      <c r="C811">
        <v>2005</v>
      </c>
      <c r="D811" t="s">
        <v>3150</v>
      </c>
      <c r="E811">
        <v>62</v>
      </c>
      <c r="F811">
        <v>5</v>
      </c>
      <c r="H811">
        <v>467</v>
      </c>
      <c r="I811">
        <v>474</v>
      </c>
      <c r="K811" s="2" t="s">
        <v>3371</v>
      </c>
      <c r="L811" s="2" t="s">
        <v>3372</v>
      </c>
      <c r="M811" t="s">
        <v>5167</v>
      </c>
      <c r="N811" t="s">
        <v>3373</v>
      </c>
      <c r="O811" t="s">
        <v>26</v>
      </c>
      <c r="P811" t="s">
        <v>27</v>
      </c>
      <c r="Q811" t="s">
        <v>28</v>
      </c>
      <c r="R811" t="s">
        <v>28</v>
      </c>
      <c r="S811" t="s">
        <v>28</v>
      </c>
      <c r="T811" t="s">
        <v>28</v>
      </c>
      <c r="U811" t="s">
        <v>28</v>
      </c>
      <c r="V811" t="s">
        <v>28</v>
      </c>
      <c r="W811" s="16" t="s">
        <v>5629</v>
      </c>
      <c r="X811" t="s">
        <v>5624</v>
      </c>
    </row>
    <row r="812" spans="1:24" x14ac:dyDescent="0.55000000000000004">
      <c r="A812" t="s">
        <v>5168</v>
      </c>
      <c r="B812" t="s">
        <v>3374</v>
      </c>
      <c r="C812">
        <v>2005</v>
      </c>
      <c r="D812" t="s">
        <v>513</v>
      </c>
      <c r="E812">
        <v>15</v>
      </c>
      <c r="F812">
        <v>5</v>
      </c>
      <c r="H812">
        <v>357</v>
      </c>
      <c r="I812">
        <v>364</v>
      </c>
      <c r="K812" s="2" t="s">
        <v>3375</v>
      </c>
      <c r="L812" s="2" t="s">
        <v>3376</v>
      </c>
      <c r="M812" t="s">
        <v>5169</v>
      </c>
      <c r="N812" t="s">
        <v>3377</v>
      </c>
      <c r="O812" t="s">
        <v>26</v>
      </c>
      <c r="P812" t="s">
        <v>27</v>
      </c>
      <c r="Q812" t="s">
        <v>28</v>
      </c>
      <c r="R812" t="s">
        <v>28</v>
      </c>
      <c r="S812" t="s">
        <v>28</v>
      </c>
      <c r="T812" t="s">
        <v>28</v>
      </c>
      <c r="U812" t="s">
        <v>28</v>
      </c>
      <c r="V812" t="s">
        <v>28</v>
      </c>
      <c r="W812" s="16" t="s">
        <v>5629</v>
      </c>
      <c r="X812" t="s">
        <v>5624</v>
      </c>
    </row>
    <row r="813" spans="1:24" x14ac:dyDescent="0.55000000000000004">
      <c r="A813" t="s">
        <v>3378</v>
      </c>
      <c r="B813" t="s">
        <v>3379</v>
      </c>
      <c r="C813">
        <v>2005</v>
      </c>
      <c r="D813" t="s">
        <v>68</v>
      </c>
      <c r="E813">
        <v>167</v>
      </c>
      <c r="F813">
        <v>1</v>
      </c>
      <c r="H813">
        <v>219</v>
      </c>
      <c r="I813">
        <v>228</v>
      </c>
      <c r="K813" s="2" t="s">
        <v>3380</v>
      </c>
      <c r="L813" s="2" t="s">
        <v>3381</v>
      </c>
      <c r="M813" t="s">
        <v>5170</v>
      </c>
      <c r="N813" t="s">
        <v>3382</v>
      </c>
      <c r="O813" t="s">
        <v>26</v>
      </c>
      <c r="P813" t="s">
        <v>27</v>
      </c>
      <c r="Q813" t="s">
        <v>28</v>
      </c>
      <c r="R813" t="s">
        <v>28</v>
      </c>
      <c r="S813" t="s">
        <v>28</v>
      </c>
      <c r="T813" t="s">
        <v>28</v>
      </c>
      <c r="U813" t="s">
        <v>28</v>
      </c>
      <c r="V813" t="s">
        <v>28</v>
      </c>
      <c r="W813" s="16" t="s">
        <v>5629</v>
      </c>
      <c r="X813" t="s">
        <v>5624</v>
      </c>
    </row>
    <row r="814" spans="1:24" x14ac:dyDescent="0.55000000000000004">
      <c r="A814" t="s">
        <v>3164</v>
      </c>
      <c r="B814" t="s">
        <v>3383</v>
      </c>
      <c r="C814">
        <v>2005</v>
      </c>
      <c r="D814" t="s">
        <v>807</v>
      </c>
      <c r="E814">
        <v>11</v>
      </c>
      <c r="F814">
        <v>6</v>
      </c>
      <c r="H814">
        <v>983</v>
      </c>
      <c r="I814">
        <v>995</v>
      </c>
      <c r="K814" s="2" t="s">
        <v>3384</v>
      </c>
      <c r="L814" s="2" t="s">
        <v>3385</v>
      </c>
      <c r="M814" t="s">
        <v>5171</v>
      </c>
      <c r="N814" t="s">
        <v>3386</v>
      </c>
      <c r="O814" t="s">
        <v>26</v>
      </c>
      <c r="P814" t="s">
        <v>27</v>
      </c>
      <c r="Q814" t="s">
        <v>28</v>
      </c>
      <c r="R814" t="s">
        <v>28</v>
      </c>
      <c r="S814" t="s">
        <v>28</v>
      </c>
      <c r="T814" t="s">
        <v>28</v>
      </c>
      <c r="U814" t="s">
        <v>28</v>
      </c>
      <c r="V814" t="s">
        <v>28</v>
      </c>
      <c r="W814" s="16" t="s">
        <v>5629</v>
      </c>
      <c r="X814" t="s">
        <v>5624</v>
      </c>
    </row>
    <row r="815" spans="1:24" x14ac:dyDescent="0.55000000000000004">
      <c r="A815" t="s">
        <v>3387</v>
      </c>
      <c r="B815" t="s">
        <v>3388</v>
      </c>
      <c r="C815">
        <v>2005</v>
      </c>
      <c r="D815" t="s">
        <v>1368</v>
      </c>
      <c r="E815">
        <v>71</v>
      </c>
      <c r="F815">
        <v>5</v>
      </c>
      <c r="H815">
        <v>2592</v>
      </c>
      <c r="I815">
        <v>2599</v>
      </c>
      <c r="K815" s="2" t="s">
        <v>3389</v>
      </c>
      <c r="L815" s="2" t="s">
        <v>3390</v>
      </c>
      <c r="M815" t="s">
        <v>5172</v>
      </c>
      <c r="O815" t="s">
        <v>26</v>
      </c>
      <c r="P815" t="s">
        <v>27</v>
      </c>
      <c r="Q815" t="s">
        <v>28</v>
      </c>
      <c r="R815" t="s">
        <v>28</v>
      </c>
      <c r="S815" t="s">
        <v>28</v>
      </c>
      <c r="T815" t="s">
        <v>28</v>
      </c>
      <c r="U815" t="s">
        <v>28</v>
      </c>
      <c r="V815" t="s">
        <v>28</v>
      </c>
      <c r="W815" s="16" t="s">
        <v>5629</v>
      </c>
      <c r="X815" t="s">
        <v>5624</v>
      </c>
    </row>
    <row r="816" spans="1:24" x14ac:dyDescent="0.55000000000000004">
      <c r="A816" t="s">
        <v>3391</v>
      </c>
      <c r="B816" t="s">
        <v>3392</v>
      </c>
      <c r="C816">
        <v>2005</v>
      </c>
      <c r="D816" t="s">
        <v>68</v>
      </c>
      <c r="E816">
        <v>166</v>
      </c>
      <c r="F816">
        <v>2</v>
      </c>
      <c r="H816">
        <v>639</v>
      </c>
      <c r="I816">
        <v>653</v>
      </c>
      <c r="K816" s="2" t="s">
        <v>3393</v>
      </c>
      <c r="L816" s="2" t="s">
        <v>3394</v>
      </c>
      <c r="M816" t="s">
        <v>5173</v>
      </c>
      <c r="N816" t="s">
        <v>3395</v>
      </c>
      <c r="O816" t="s">
        <v>26</v>
      </c>
      <c r="P816" t="s">
        <v>27</v>
      </c>
      <c r="Q816" t="s">
        <v>28</v>
      </c>
      <c r="R816" t="s">
        <v>28</v>
      </c>
      <c r="S816" t="s">
        <v>28</v>
      </c>
      <c r="T816" t="s">
        <v>28</v>
      </c>
      <c r="U816" t="s">
        <v>28</v>
      </c>
      <c r="V816" t="s">
        <v>28</v>
      </c>
      <c r="W816" s="16" t="s">
        <v>5629</v>
      </c>
      <c r="X816" t="s">
        <v>5624</v>
      </c>
    </row>
    <row r="817" spans="1:24" x14ac:dyDescent="0.55000000000000004">
      <c r="A817" t="s">
        <v>3396</v>
      </c>
      <c r="B817" t="s">
        <v>3397</v>
      </c>
      <c r="C817">
        <v>2005</v>
      </c>
      <c r="D817" t="s">
        <v>1036</v>
      </c>
      <c r="E817">
        <v>41</v>
      </c>
      <c r="F817">
        <v>4</v>
      </c>
      <c r="H817">
        <v>233</v>
      </c>
      <c r="I817">
        <v>239</v>
      </c>
      <c r="K817" s="2" t="s">
        <v>3398</v>
      </c>
      <c r="L817" s="2" t="s">
        <v>3399</v>
      </c>
      <c r="M817" t="s">
        <v>5174</v>
      </c>
      <c r="N817" t="s">
        <v>3400</v>
      </c>
      <c r="O817" t="s">
        <v>26</v>
      </c>
      <c r="P817" t="s">
        <v>27</v>
      </c>
      <c r="Q817" t="s">
        <v>28</v>
      </c>
      <c r="R817" t="s">
        <v>28</v>
      </c>
      <c r="S817" t="s">
        <v>28</v>
      </c>
      <c r="T817" t="s">
        <v>28</v>
      </c>
      <c r="U817" t="s">
        <v>28</v>
      </c>
      <c r="V817" t="s">
        <v>28</v>
      </c>
      <c r="W817" s="16" t="s">
        <v>5629</v>
      </c>
      <c r="X817" t="s">
        <v>5624</v>
      </c>
    </row>
    <row r="818" spans="1:24" x14ac:dyDescent="0.55000000000000004">
      <c r="A818" t="s">
        <v>3401</v>
      </c>
      <c r="B818" t="s">
        <v>3402</v>
      </c>
      <c r="C818">
        <v>2005</v>
      </c>
      <c r="D818" t="s">
        <v>420</v>
      </c>
      <c r="E818">
        <v>73</v>
      </c>
      <c r="F818">
        <v>1</v>
      </c>
      <c r="H818">
        <v>3</v>
      </c>
      <c r="I818">
        <v>27</v>
      </c>
      <c r="K818" s="2" t="s">
        <v>3403</v>
      </c>
      <c r="L818" s="2" t="s">
        <v>3404</v>
      </c>
      <c r="M818" t="s">
        <v>5175</v>
      </c>
      <c r="N818" t="s">
        <v>3405</v>
      </c>
      <c r="O818" t="s">
        <v>143</v>
      </c>
      <c r="P818" t="s">
        <v>27</v>
      </c>
      <c r="Q818" t="s">
        <v>28</v>
      </c>
      <c r="R818" t="s">
        <v>28</v>
      </c>
      <c r="S818" t="s">
        <v>28</v>
      </c>
      <c r="T818" t="s">
        <v>28</v>
      </c>
      <c r="U818" t="s">
        <v>28</v>
      </c>
      <c r="V818" t="s">
        <v>28</v>
      </c>
      <c r="W818" s="16" t="s">
        <v>5629</v>
      </c>
      <c r="X818" t="s">
        <v>5624</v>
      </c>
    </row>
    <row r="819" spans="1:24" x14ac:dyDescent="0.55000000000000004">
      <c r="A819" t="s">
        <v>3406</v>
      </c>
      <c r="B819" t="s">
        <v>3407</v>
      </c>
      <c r="C819">
        <v>2005</v>
      </c>
      <c r="D819" t="s">
        <v>159</v>
      </c>
      <c r="E819">
        <v>124</v>
      </c>
      <c r="F819" s="4">
        <v>44563</v>
      </c>
      <c r="H819">
        <v>3</v>
      </c>
      <c r="I819">
        <v>22</v>
      </c>
      <c r="K819" s="2" t="s">
        <v>3408</v>
      </c>
      <c r="L819" s="2" t="s">
        <v>3409</v>
      </c>
      <c r="M819" t="s">
        <v>5176</v>
      </c>
      <c r="N819" t="s">
        <v>3410</v>
      </c>
      <c r="O819" t="s">
        <v>143</v>
      </c>
      <c r="P819" t="s">
        <v>27</v>
      </c>
      <c r="Q819" t="s">
        <v>28</v>
      </c>
      <c r="R819" t="s">
        <v>28</v>
      </c>
      <c r="S819" t="s">
        <v>28</v>
      </c>
      <c r="T819" t="s">
        <v>28</v>
      </c>
      <c r="U819" t="s">
        <v>28</v>
      </c>
      <c r="V819" t="s">
        <v>28</v>
      </c>
      <c r="W819" s="16" t="s">
        <v>5629</v>
      </c>
      <c r="X819" t="s">
        <v>5624</v>
      </c>
    </row>
    <row r="820" spans="1:24" x14ac:dyDescent="0.55000000000000004">
      <c r="A820" t="s">
        <v>5177</v>
      </c>
      <c r="B820" t="s">
        <v>3411</v>
      </c>
      <c r="C820">
        <v>2005</v>
      </c>
      <c r="D820" t="s">
        <v>3412</v>
      </c>
      <c r="H820">
        <v>308</v>
      </c>
      <c r="I820">
        <v>320</v>
      </c>
      <c r="K820" s="2" t="s">
        <v>3413</v>
      </c>
      <c r="L820" s="2" t="s">
        <v>3414</v>
      </c>
      <c r="M820" t="s">
        <v>5178</v>
      </c>
      <c r="O820" t="s">
        <v>198</v>
      </c>
      <c r="P820" t="s">
        <v>27</v>
      </c>
      <c r="Q820" t="s">
        <v>28</v>
      </c>
      <c r="R820" t="s">
        <v>28</v>
      </c>
      <c r="S820" t="s">
        <v>28</v>
      </c>
      <c r="T820" t="s">
        <v>28</v>
      </c>
      <c r="U820" t="s">
        <v>28</v>
      </c>
      <c r="V820" t="s">
        <v>28</v>
      </c>
      <c r="W820" s="16" t="s">
        <v>5629</v>
      </c>
      <c r="X820" t="s">
        <v>5624</v>
      </c>
    </row>
    <row r="821" spans="1:24" x14ac:dyDescent="0.55000000000000004">
      <c r="A821" t="s">
        <v>5179</v>
      </c>
      <c r="B821" t="s">
        <v>3415</v>
      </c>
      <c r="C821">
        <v>2005</v>
      </c>
      <c r="D821" t="s">
        <v>3416</v>
      </c>
      <c r="H821">
        <v>251</v>
      </c>
      <c r="I821">
        <v>267</v>
      </c>
      <c r="L821" s="2" t="s">
        <v>3417</v>
      </c>
      <c r="M821" t="s">
        <v>3418</v>
      </c>
      <c r="O821" t="s">
        <v>143</v>
      </c>
      <c r="P821" t="s">
        <v>27</v>
      </c>
      <c r="Q821" t="s">
        <v>28</v>
      </c>
      <c r="R821" t="s">
        <v>28</v>
      </c>
      <c r="S821" t="s">
        <v>28</v>
      </c>
      <c r="T821" t="s">
        <v>28</v>
      </c>
      <c r="U821" t="s">
        <v>28</v>
      </c>
      <c r="V821" t="s">
        <v>28</v>
      </c>
      <c r="W821" s="16" t="s">
        <v>5629</v>
      </c>
      <c r="X821" t="s">
        <v>5624</v>
      </c>
    </row>
    <row r="822" spans="1:24" x14ac:dyDescent="0.55000000000000004">
      <c r="A822" t="s">
        <v>3419</v>
      </c>
      <c r="B822" t="s">
        <v>3420</v>
      </c>
      <c r="C822">
        <v>2005</v>
      </c>
      <c r="D822" t="s">
        <v>105</v>
      </c>
      <c r="E822">
        <v>15</v>
      </c>
      <c r="F822">
        <v>5</v>
      </c>
      <c r="H822">
        <v>1701</v>
      </c>
      <c r="I822">
        <v>1711</v>
      </c>
      <c r="K822" s="2" t="s">
        <v>3421</v>
      </c>
      <c r="L822" s="2" t="s">
        <v>3422</v>
      </c>
      <c r="M822" t="s">
        <v>5180</v>
      </c>
      <c r="N822" t="s">
        <v>3423</v>
      </c>
      <c r="O822" t="s">
        <v>26</v>
      </c>
      <c r="P822" t="s">
        <v>27</v>
      </c>
      <c r="Q822" t="s">
        <v>28</v>
      </c>
      <c r="R822" t="s">
        <v>28</v>
      </c>
      <c r="S822" t="s">
        <v>28</v>
      </c>
      <c r="T822" t="s">
        <v>28</v>
      </c>
      <c r="U822" t="s">
        <v>28</v>
      </c>
      <c r="V822" t="s">
        <v>28</v>
      </c>
      <c r="W822" s="16" t="s">
        <v>5629</v>
      </c>
      <c r="X822" t="s">
        <v>5624</v>
      </c>
    </row>
    <row r="823" spans="1:24" x14ac:dyDescent="0.55000000000000004">
      <c r="A823" t="s">
        <v>3424</v>
      </c>
      <c r="B823" t="s">
        <v>3425</v>
      </c>
      <c r="C823">
        <v>2005</v>
      </c>
      <c r="D823" t="s">
        <v>413</v>
      </c>
      <c r="E823">
        <v>19</v>
      </c>
      <c r="F823">
        <v>3</v>
      </c>
      <c r="H823">
        <v>369</v>
      </c>
      <c r="I823">
        <v>377</v>
      </c>
      <c r="K823" s="2" t="s">
        <v>3426</v>
      </c>
      <c r="L823" s="2" t="s">
        <v>3427</v>
      </c>
      <c r="M823" t="s">
        <v>5181</v>
      </c>
      <c r="N823" t="s">
        <v>3428</v>
      </c>
      <c r="O823" t="s">
        <v>143</v>
      </c>
      <c r="P823" t="s">
        <v>27</v>
      </c>
      <c r="Q823" t="s">
        <v>28</v>
      </c>
      <c r="R823" t="s">
        <v>28</v>
      </c>
      <c r="S823" t="s">
        <v>28</v>
      </c>
      <c r="T823" t="s">
        <v>28</v>
      </c>
      <c r="U823" t="s">
        <v>28</v>
      </c>
      <c r="V823" t="s">
        <v>28</v>
      </c>
      <c r="W823" s="16" t="s">
        <v>5629</v>
      </c>
      <c r="X823" t="s">
        <v>5624</v>
      </c>
    </row>
    <row r="824" spans="1:24" x14ac:dyDescent="0.55000000000000004">
      <c r="A824" t="s">
        <v>5660</v>
      </c>
      <c r="B824" t="s">
        <v>3429</v>
      </c>
      <c r="C824">
        <v>2005</v>
      </c>
      <c r="D824" t="s">
        <v>68</v>
      </c>
      <c r="E824">
        <v>165</v>
      </c>
      <c r="F824">
        <v>3</v>
      </c>
      <c r="H824">
        <v>899</v>
      </c>
      <c r="I824">
        <v>912</v>
      </c>
      <c r="K824" s="2" t="s">
        <v>3430</v>
      </c>
      <c r="L824" s="2" t="s">
        <v>3431</v>
      </c>
      <c r="M824" t="s">
        <v>5182</v>
      </c>
      <c r="N824" t="s">
        <v>3432</v>
      </c>
      <c r="O824" t="s">
        <v>26</v>
      </c>
      <c r="P824" t="s">
        <v>27</v>
      </c>
      <c r="Q824" t="s">
        <v>43</v>
      </c>
      <c r="R824" t="s">
        <v>28</v>
      </c>
      <c r="S824" t="s">
        <v>43</v>
      </c>
      <c r="T824" t="s">
        <v>28</v>
      </c>
      <c r="U824" t="s">
        <v>28</v>
      </c>
      <c r="V824" t="s">
        <v>28</v>
      </c>
      <c r="W824" s="16" t="s">
        <v>5629</v>
      </c>
      <c r="X824" t="s">
        <v>5624</v>
      </c>
    </row>
    <row r="825" spans="1:24" x14ac:dyDescent="0.55000000000000004">
      <c r="A825" t="s">
        <v>5183</v>
      </c>
      <c r="B825" t="s">
        <v>3433</v>
      </c>
      <c r="C825">
        <v>2005</v>
      </c>
      <c r="D825" t="s">
        <v>513</v>
      </c>
      <c r="E825">
        <v>15</v>
      </c>
      <c r="F825">
        <v>1</v>
      </c>
      <c r="H825">
        <v>65</v>
      </c>
      <c r="I825">
        <v>70</v>
      </c>
      <c r="K825" s="2" t="s">
        <v>3434</v>
      </c>
      <c r="L825" s="2" t="s">
        <v>3435</v>
      </c>
      <c r="M825" t="s">
        <v>5184</v>
      </c>
      <c r="N825" t="s">
        <v>3436</v>
      </c>
      <c r="O825" t="s">
        <v>26</v>
      </c>
      <c r="P825" t="s">
        <v>27</v>
      </c>
      <c r="Q825" t="s">
        <v>43</v>
      </c>
      <c r="R825" t="s">
        <v>43</v>
      </c>
      <c r="S825" t="s">
        <v>43</v>
      </c>
      <c r="T825" t="s">
        <v>28</v>
      </c>
      <c r="U825" t="s">
        <v>28</v>
      </c>
      <c r="V825" t="s">
        <v>28</v>
      </c>
      <c r="W825" s="16" t="s">
        <v>5629</v>
      </c>
      <c r="X825" t="s">
        <v>5624</v>
      </c>
    </row>
    <row r="826" spans="1:24" x14ac:dyDescent="0.55000000000000004">
      <c r="A826" t="s">
        <v>3437</v>
      </c>
      <c r="B826" t="s">
        <v>3438</v>
      </c>
      <c r="C826">
        <v>2004</v>
      </c>
      <c r="D826" t="s">
        <v>68</v>
      </c>
      <c r="E826">
        <v>164</v>
      </c>
      <c r="F826">
        <v>3</v>
      </c>
      <c r="H826">
        <v>515</v>
      </c>
      <c r="I826">
        <v>525</v>
      </c>
      <c r="K826" s="2" t="s">
        <v>3439</v>
      </c>
      <c r="L826" s="2" t="s">
        <v>3440</v>
      </c>
      <c r="M826" t="s">
        <v>5185</v>
      </c>
      <c r="N826" t="s">
        <v>3441</v>
      </c>
      <c r="O826" t="s">
        <v>26</v>
      </c>
      <c r="P826" t="s">
        <v>27</v>
      </c>
      <c r="Q826" t="s">
        <v>28</v>
      </c>
      <c r="R826" t="s">
        <v>28</v>
      </c>
      <c r="S826" t="s">
        <v>28</v>
      </c>
      <c r="T826" t="s">
        <v>28</v>
      </c>
      <c r="U826" t="s">
        <v>28</v>
      </c>
      <c r="V826" t="s">
        <v>28</v>
      </c>
      <c r="W826" s="16" t="s">
        <v>5629</v>
      </c>
      <c r="X826" t="s">
        <v>5624</v>
      </c>
    </row>
    <row r="827" spans="1:24" x14ac:dyDescent="0.55000000000000004">
      <c r="A827" t="s">
        <v>3442</v>
      </c>
      <c r="B827" t="s">
        <v>3443</v>
      </c>
      <c r="C827">
        <v>2004</v>
      </c>
      <c r="D827" t="s">
        <v>3444</v>
      </c>
      <c r="E827">
        <v>33</v>
      </c>
      <c r="F827" t="s">
        <v>3070</v>
      </c>
      <c r="H827" t="s">
        <v>3445</v>
      </c>
      <c r="I827" t="s">
        <v>3446</v>
      </c>
      <c r="K827" s="2" t="s">
        <v>3447</v>
      </c>
      <c r="L827" s="2" t="s">
        <v>3448</v>
      </c>
      <c r="M827" t="s">
        <v>5186</v>
      </c>
      <c r="N827" t="s">
        <v>3449</v>
      </c>
      <c r="O827" t="s">
        <v>26</v>
      </c>
      <c r="P827" t="s">
        <v>27</v>
      </c>
      <c r="Q827" t="s">
        <v>28</v>
      </c>
      <c r="R827" t="s">
        <v>28</v>
      </c>
      <c r="S827" t="s">
        <v>28</v>
      </c>
      <c r="T827" t="s">
        <v>28</v>
      </c>
      <c r="U827" t="s">
        <v>28</v>
      </c>
      <c r="V827" t="s">
        <v>28</v>
      </c>
      <c r="W827" s="16" t="s">
        <v>5629</v>
      </c>
      <c r="X827" t="s">
        <v>5624</v>
      </c>
    </row>
    <row r="828" spans="1:24" x14ac:dyDescent="0.55000000000000004">
      <c r="A828" t="s">
        <v>3450</v>
      </c>
      <c r="B828" t="s">
        <v>3451</v>
      </c>
      <c r="C828">
        <v>2004</v>
      </c>
      <c r="D828" t="s">
        <v>923</v>
      </c>
      <c r="E828">
        <v>141</v>
      </c>
      <c r="F828">
        <v>3</v>
      </c>
      <c r="H828">
        <v>468</v>
      </c>
      <c r="I828">
        <v>476</v>
      </c>
      <c r="K828" s="2" t="s">
        <v>3452</v>
      </c>
      <c r="L828" s="2" t="s">
        <v>3453</v>
      </c>
      <c r="M828" t="s">
        <v>5187</v>
      </c>
      <c r="N828" t="s">
        <v>3454</v>
      </c>
      <c r="O828" t="s">
        <v>26</v>
      </c>
      <c r="P828" t="s">
        <v>27</v>
      </c>
      <c r="Q828" t="s">
        <v>28</v>
      </c>
      <c r="R828" t="s">
        <v>28</v>
      </c>
      <c r="S828" t="s">
        <v>28</v>
      </c>
      <c r="T828" t="s">
        <v>28</v>
      </c>
      <c r="U828" t="s">
        <v>28</v>
      </c>
      <c r="V828" t="s">
        <v>28</v>
      </c>
      <c r="W828" s="16" t="s">
        <v>5629</v>
      </c>
      <c r="X828" t="s">
        <v>5624</v>
      </c>
    </row>
    <row r="829" spans="1:24" x14ac:dyDescent="0.55000000000000004">
      <c r="A829" t="s">
        <v>3455</v>
      </c>
      <c r="B829" t="s">
        <v>3456</v>
      </c>
      <c r="C829">
        <v>2004</v>
      </c>
      <c r="D829" t="s">
        <v>68</v>
      </c>
      <c r="E829">
        <v>164</v>
      </c>
      <c r="F829">
        <v>2</v>
      </c>
      <c r="H829">
        <v>383</v>
      </c>
      <c r="I829">
        <v>388</v>
      </c>
      <c r="K829" s="2" t="s">
        <v>3457</v>
      </c>
      <c r="L829" s="2" t="s">
        <v>3458</v>
      </c>
      <c r="M829" t="s">
        <v>5188</v>
      </c>
      <c r="N829" t="s">
        <v>3459</v>
      </c>
      <c r="O829" t="s">
        <v>26</v>
      </c>
      <c r="P829" t="s">
        <v>27</v>
      </c>
      <c r="Q829" t="s">
        <v>28</v>
      </c>
      <c r="R829" t="s">
        <v>28</v>
      </c>
      <c r="S829" t="s">
        <v>28</v>
      </c>
      <c r="T829" t="s">
        <v>28</v>
      </c>
      <c r="U829" t="s">
        <v>28</v>
      </c>
      <c r="V829" t="s">
        <v>28</v>
      </c>
      <c r="W829" s="16" t="s">
        <v>5629</v>
      </c>
      <c r="X829" t="s">
        <v>5624</v>
      </c>
    </row>
    <row r="830" spans="1:24" x14ac:dyDescent="0.55000000000000004">
      <c r="A830" t="s">
        <v>3460</v>
      </c>
      <c r="B830" t="s">
        <v>3461</v>
      </c>
      <c r="C830">
        <v>2004</v>
      </c>
      <c r="D830" t="s">
        <v>413</v>
      </c>
      <c r="E830">
        <v>18</v>
      </c>
      <c r="F830">
        <v>5</v>
      </c>
      <c r="H830">
        <v>631</v>
      </c>
      <c r="I830">
        <v>640</v>
      </c>
      <c r="K830" s="2" t="s">
        <v>3462</v>
      </c>
      <c r="L830" s="2" t="s">
        <v>3463</v>
      </c>
      <c r="M830" t="s">
        <v>3464</v>
      </c>
      <c r="N830" t="s">
        <v>3465</v>
      </c>
      <c r="O830" t="s">
        <v>26</v>
      </c>
      <c r="P830" t="s">
        <v>27</v>
      </c>
      <c r="Q830" t="s">
        <v>28</v>
      </c>
      <c r="R830" t="s">
        <v>28</v>
      </c>
      <c r="S830" t="s">
        <v>28</v>
      </c>
      <c r="T830" t="s">
        <v>28</v>
      </c>
      <c r="U830" t="s">
        <v>28</v>
      </c>
      <c r="V830" t="s">
        <v>28</v>
      </c>
      <c r="W830" s="16" t="s">
        <v>5629</v>
      </c>
      <c r="X830" t="s">
        <v>5624</v>
      </c>
    </row>
    <row r="831" spans="1:24" x14ac:dyDescent="0.55000000000000004">
      <c r="A831" t="s">
        <v>3466</v>
      </c>
      <c r="B831" t="s">
        <v>3467</v>
      </c>
      <c r="C831">
        <v>2004</v>
      </c>
      <c r="D831" t="s">
        <v>3155</v>
      </c>
      <c r="E831">
        <v>59</v>
      </c>
      <c r="F831">
        <v>1</v>
      </c>
      <c r="H831">
        <v>1</v>
      </c>
      <c r="I831">
        <v>17</v>
      </c>
      <c r="K831" s="2" t="s">
        <v>3468</v>
      </c>
      <c r="L831" s="2" t="s">
        <v>3469</v>
      </c>
      <c r="M831" t="s">
        <v>5189</v>
      </c>
      <c r="N831" t="s">
        <v>3470</v>
      </c>
      <c r="O831" t="s">
        <v>26</v>
      </c>
      <c r="P831" t="s">
        <v>27</v>
      </c>
      <c r="Q831" t="s">
        <v>28</v>
      </c>
      <c r="R831" t="s">
        <v>28</v>
      </c>
      <c r="S831" t="s">
        <v>28</v>
      </c>
      <c r="T831" t="s">
        <v>28</v>
      </c>
      <c r="U831" t="s">
        <v>28</v>
      </c>
      <c r="V831" t="s">
        <v>28</v>
      </c>
      <c r="W831" s="16" t="s">
        <v>5629</v>
      </c>
      <c r="X831" t="s">
        <v>5624</v>
      </c>
    </row>
    <row r="832" spans="1:24" x14ac:dyDescent="0.55000000000000004">
      <c r="A832" t="s">
        <v>3471</v>
      </c>
      <c r="B832" t="s">
        <v>3472</v>
      </c>
      <c r="C832">
        <v>2004</v>
      </c>
      <c r="D832" t="s">
        <v>655</v>
      </c>
      <c r="E832">
        <v>87</v>
      </c>
      <c r="F832">
        <v>5</v>
      </c>
      <c r="H832">
        <v>674</v>
      </c>
      <c r="I832">
        <v>680</v>
      </c>
      <c r="K832" s="15"/>
      <c r="L832" s="15" t="s">
        <v>5377</v>
      </c>
      <c r="M832" t="s">
        <v>3473</v>
      </c>
      <c r="O832" t="s">
        <v>26</v>
      </c>
      <c r="P832" t="s">
        <v>27</v>
      </c>
      <c r="Q832" t="s">
        <v>43</v>
      </c>
      <c r="R832" t="s">
        <v>43</v>
      </c>
      <c r="S832" t="s">
        <v>28</v>
      </c>
      <c r="T832" t="s">
        <v>28</v>
      </c>
      <c r="U832" t="s">
        <v>28</v>
      </c>
      <c r="V832" t="s">
        <v>28</v>
      </c>
      <c r="W832" s="16" t="s">
        <v>5629</v>
      </c>
      <c r="X832" t="s">
        <v>5624</v>
      </c>
    </row>
    <row r="833" spans="1:50" x14ac:dyDescent="0.55000000000000004">
      <c r="A833" t="s">
        <v>3474</v>
      </c>
      <c r="B833" t="s">
        <v>3475</v>
      </c>
      <c r="C833">
        <v>2004</v>
      </c>
      <c r="D833" t="s">
        <v>2786</v>
      </c>
      <c r="E833">
        <v>30</v>
      </c>
      <c r="F833">
        <v>3</v>
      </c>
      <c r="H833">
        <v>285</v>
      </c>
      <c r="I833">
        <v>298</v>
      </c>
      <c r="L833" s="2" t="s">
        <v>3476</v>
      </c>
      <c r="M833" t="s">
        <v>5190</v>
      </c>
      <c r="N833" t="s">
        <v>3477</v>
      </c>
      <c r="O833" t="s">
        <v>1248</v>
      </c>
      <c r="P833" t="s">
        <v>27</v>
      </c>
      <c r="Q833" t="s">
        <v>28</v>
      </c>
      <c r="R833" t="s">
        <v>28</v>
      </c>
      <c r="S833" t="s">
        <v>28</v>
      </c>
      <c r="T833" t="s">
        <v>28</v>
      </c>
      <c r="U833" t="s">
        <v>28</v>
      </c>
      <c r="V833" t="s">
        <v>28</v>
      </c>
      <c r="W833" s="16" t="s">
        <v>5629</v>
      </c>
      <c r="X833" t="s">
        <v>5624</v>
      </c>
    </row>
    <row r="834" spans="1:50" x14ac:dyDescent="0.55000000000000004">
      <c r="A834" t="s">
        <v>3478</v>
      </c>
      <c r="B834" t="s">
        <v>3479</v>
      </c>
      <c r="C834">
        <v>2004</v>
      </c>
      <c r="D834" t="s">
        <v>68</v>
      </c>
      <c r="E834">
        <v>163</v>
      </c>
      <c r="F834">
        <v>3</v>
      </c>
      <c r="H834">
        <v>641</v>
      </c>
      <c r="I834">
        <v>649</v>
      </c>
      <c r="K834" s="2" t="s">
        <v>3480</v>
      </c>
      <c r="L834" s="2" t="s">
        <v>3481</v>
      </c>
      <c r="M834" t="s">
        <v>5191</v>
      </c>
      <c r="N834" t="s">
        <v>3482</v>
      </c>
      <c r="O834" t="s">
        <v>26</v>
      </c>
      <c r="P834" t="s">
        <v>27</v>
      </c>
      <c r="Q834" t="s">
        <v>28</v>
      </c>
      <c r="R834" t="s">
        <v>28</v>
      </c>
      <c r="S834" t="s">
        <v>28</v>
      </c>
      <c r="T834" t="s">
        <v>28</v>
      </c>
      <c r="U834" t="s">
        <v>28</v>
      </c>
      <c r="V834" t="s">
        <v>28</v>
      </c>
      <c r="W834" s="16" t="s">
        <v>5629</v>
      </c>
      <c r="X834" t="s">
        <v>5624</v>
      </c>
    </row>
    <row r="835" spans="1:50" x14ac:dyDescent="0.55000000000000004">
      <c r="A835" t="s">
        <v>5192</v>
      </c>
      <c r="B835" t="s">
        <v>3483</v>
      </c>
      <c r="C835">
        <v>2004</v>
      </c>
      <c r="D835" t="s">
        <v>68</v>
      </c>
      <c r="E835">
        <v>163</v>
      </c>
      <c r="F835">
        <v>3</v>
      </c>
      <c r="H835">
        <v>617</v>
      </c>
      <c r="I835">
        <v>627</v>
      </c>
      <c r="K835" s="2" t="s">
        <v>3484</v>
      </c>
      <c r="L835" s="2" t="s">
        <v>3485</v>
      </c>
      <c r="M835" t="s">
        <v>5193</v>
      </c>
      <c r="N835" t="s">
        <v>3486</v>
      </c>
      <c r="O835" t="s">
        <v>26</v>
      </c>
      <c r="P835" t="s">
        <v>27</v>
      </c>
      <c r="Q835" t="s">
        <v>43</v>
      </c>
      <c r="R835" t="s">
        <v>43</v>
      </c>
      <c r="S835" t="s">
        <v>28</v>
      </c>
      <c r="T835" t="s">
        <v>28</v>
      </c>
      <c r="U835" t="s">
        <v>28</v>
      </c>
      <c r="V835" t="s">
        <v>28</v>
      </c>
      <c r="W835" s="16" t="s">
        <v>5629</v>
      </c>
      <c r="X835" t="s">
        <v>5624</v>
      </c>
      <c r="Y835" t="s">
        <v>4497</v>
      </c>
      <c r="Z835" t="s">
        <v>5469</v>
      </c>
      <c r="AA835" t="s">
        <v>4360</v>
      </c>
      <c r="AB835" t="s">
        <v>4371</v>
      </c>
      <c r="AC835" t="s">
        <v>4370</v>
      </c>
      <c r="AF835" t="s">
        <v>5710</v>
      </c>
      <c r="AG835" s="9" t="s">
        <v>4393</v>
      </c>
      <c r="AH835" t="s">
        <v>4429</v>
      </c>
      <c r="AI835" t="s">
        <v>4357</v>
      </c>
      <c r="AJ835">
        <f>24*14</f>
        <v>336</v>
      </c>
      <c r="AK835">
        <f>7*24</f>
        <v>168</v>
      </c>
      <c r="AL835" t="s">
        <v>5408</v>
      </c>
      <c r="AM835" t="s">
        <v>4440</v>
      </c>
      <c r="AO835">
        <v>7</v>
      </c>
      <c r="AP835">
        <v>40.077677999999999</v>
      </c>
      <c r="AQ835">
        <v>-75.187703999999997</v>
      </c>
      <c r="AT835">
        <v>24</v>
      </c>
      <c r="AV835" s="19">
        <v>1.58</v>
      </c>
      <c r="AX835" t="s">
        <v>5661</v>
      </c>
    </row>
    <row r="836" spans="1:50" x14ac:dyDescent="0.55000000000000004">
      <c r="A836" t="s">
        <v>3487</v>
      </c>
      <c r="B836" t="s">
        <v>3488</v>
      </c>
      <c r="C836">
        <v>2004</v>
      </c>
      <c r="D836" t="s">
        <v>3489</v>
      </c>
      <c r="E836">
        <v>82</v>
      </c>
      <c r="F836">
        <v>8</v>
      </c>
      <c r="H836">
        <v>1243</v>
      </c>
      <c r="I836">
        <v>1263</v>
      </c>
      <c r="K836" s="2" t="s">
        <v>3490</v>
      </c>
      <c r="L836" s="2" t="s">
        <v>3491</v>
      </c>
      <c r="M836" t="s">
        <v>3492</v>
      </c>
      <c r="N836" t="s">
        <v>3493</v>
      </c>
      <c r="O836" t="s">
        <v>1248</v>
      </c>
      <c r="P836" t="s">
        <v>27</v>
      </c>
      <c r="Q836" t="s">
        <v>28</v>
      </c>
      <c r="R836" t="s">
        <v>28</v>
      </c>
      <c r="S836" t="s">
        <v>28</v>
      </c>
      <c r="T836" t="s">
        <v>28</v>
      </c>
      <c r="U836" t="s">
        <v>28</v>
      </c>
      <c r="V836" t="s">
        <v>28</v>
      </c>
      <c r="W836" s="16" t="s">
        <v>5629</v>
      </c>
      <c r="X836" t="s">
        <v>5624</v>
      </c>
    </row>
    <row r="837" spans="1:50" x14ac:dyDescent="0.55000000000000004">
      <c r="A837" t="s">
        <v>3494</v>
      </c>
      <c r="B837" t="s">
        <v>3495</v>
      </c>
      <c r="C837">
        <v>2004</v>
      </c>
      <c r="D837" t="s">
        <v>466</v>
      </c>
      <c r="E837">
        <v>7</v>
      </c>
      <c r="F837">
        <v>8</v>
      </c>
      <c r="H837">
        <v>740</v>
      </c>
      <c r="I837">
        <v>754</v>
      </c>
      <c r="K837" s="2" t="s">
        <v>3496</v>
      </c>
      <c r="L837" s="2" t="s">
        <v>3497</v>
      </c>
      <c r="M837" t="s">
        <v>3498</v>
      </c>
      <c r="N837" t="s">
        <v>3499</v>
      </c>
      <c r="O837" t="s">
        <v>143</v>
      </c>
      <c r="P837" t="s">
        <v>27</v>
      </c>
      <c r="Q837" t="s">
        <v>28</v>
      </c>
      <c r="R837" t="s">
        <v>28</v>
      </c>
      <c r="S837" t="s">
        <v>28</v>
      </c>
      <c r="T837" t="s">
        <v>28</v>
      </c>
      <c r="U837" t="s">
        <v>28</v>
      </c>
      <c r="V837" t="s">
        <v>28</v>
      </c>
      <c r="W837" s="16" t="s">
        <v>5629</v>
      </c>
      <c r="X837" t="s">
        <v>5624</v>
      </c>
    </row>
    <row r="838" spans="1:50" x14ac:dyDescent="0.55000000000000004">
      <c r="A838" t="s">
        <v>3500</v>
      </c>
      <c r="B838" t="s">
        <v>3501</v>
      </c>
      <c r="C838">
        <v>2004</v>
      </c>
      <c r="D838" t="s">
        <v>923</v>
      </c>
      <c r="E838">
        <v>139</v>
      </c>
      <c r="F838">
        <v>4</v>
      </c>
      <c r="H838">
        <v>545</v>
      </c>
      <c r="I838">
        <v>550</v>
      </c>
      <c r="K838" s="2" t="s">
        <v>3502</v>
      </c>
      <c r="L838" s="2" t="s">
        <v>3503</v>
      </c>
      <c r="M838" t="s">
        <v>5194</v>
      </c>
      <c r="N838" t="s">
        <v>3504</v>
      </c>
      <c r="O838" t="s">
        <v>26</v>
      </c>
      <c r="P838" t="s">
        <v>27</v>
      </c>
      <c r="Q838" t="s">
        <v>28</v>
      </c>
      <c r="R838" t="s">
        <v>28</v>
      </c>
      <c r="S838" t="s">
        <v>28</v>
      </c>
      <c r="T838" t="s">
        <v>28</v>
      </c>
      <c r="U838" t="s">
        <v>28</v>
      </c>
      <c r="V838" t="s">
        <v>28</v>
      </c>
      <c r="W838" s="16" t="s">
        <v>5629</v>
      </c>
      <c r="X838" t="s">
        <v>5624</v>
      </c>
    </row>
    <row r="839" spans="1:50" x14ac:dyDescent="0.55000000000000004">
      <c r="A839" t="s">
        <v>3507</v>
      </c>
      <c r="B839" t="s">
        <v>3508</v>
      </c>
      <c r="C839">
        <v>2004</v>
      </c>
      <c r="D839" t="s">
        <v>68</v>
      </c>
      <c r="E839">
        <v>162</v>
      </c>
      <c r="F839">
        <v>2</v>
      </c>
      <c r="H839">
        <v>311</v>
      </c>
      <c r="I839">
        <v>322</v>
      </c>
      <c r="K839" s="2" t="s">
        <v>3509</v>
      </c>
      <c r="L839" s="2" t="s">
        <v>3510</v>
      </c>
      <c r="M839" t="s">
        <v>5195</v>
      </c>
      <c r="N839" t="s">
        <v>3511</v>
      </c>
      <c r="O839" t="s">
        <v>143</v>
      </c>
      <c r="P839" t="s">
        <v>27</v>
      </c>
      <c r="Q839" t="s">
        <v>28</v>
      </c>
      <c r="R839" t="s">
        <v>28</v>
      </c>
      <c r="S839" t="s">
        <v>28</v>
      </c>
      <c r="T839" t="s">
        <v>28</v>
      </c>
      <c r="U839" t="s">
        <v>28</v>
      </c>
      <c r="V839" t="s">
        <v>28</v>
      </c>
      <c r="W839" s="16" t="s">
        <v>5629</v>
      </c>
      <c r="X839" t="s">
        <v>5624</v>
      </c>
    </row>
    <row r="840" spans="1:50" x14ac:dyDescent="0.55000000000000004">
      <c r="A840" t="s">
        <v>3512</v>
      </c>
      <c r="B840" t="s">
        <v>3513</v>
      </c>
      <c r="C840">
        <v>2004</v>
      </c>
      <c r="D840" t="s">
        <v>3514</v>
      </c>
      <c r="E840">
        <v>23</v>
      </c>
      <c r="F840" s="4">
        <v>44750</v>
      </c>
      <c r="H840">
        <v>977</v>
      </c>
      <c r="I840">
        <v>991</v>
      </c>
      <c r="K840" s="2" t="s">
        <v>3515</v>
      </c>
      <c r="L840" s="2" t="s">
        <v>3516</v>
      </c>
      <c r="M840" t="s">
        <v>5196</v>
      </c>
      <c r="O840" t="s">
        <v>1248</v>
      </c>
      <c r="P840" t="s">
        <v>27</v>
      </c>
      <c r="Q840" t="s">
        <v>28</v>
      </c>
      <c r="R840" t="s">
        <v>28</v>
      </c>
      <c r="S840" t="s">
        <v>28</v>
      </c>
      <c r="T840" t="s">
        <v>28</v>
      </c>
      <c r="U840" t="s">
        <v>28</v>
      </c>
      <c r="V840" t="s">
        <v>28</v>
      </c>
      <c r="W840" s="16" t="s">
        <v>5629</v>
      </c>
      <c r="X840" t="s">
        <v>5624</v>
      </c>
    </row>
    <row r="841" spans="1:50" x14ac:dyDescent="0.55000000000000004">
      <c r="A841" t="s">
        <v>5197</v>
      </c>
      <c r="B841" t="s">
        <v>3517</v>
      </c>
      <c r="C841">
        <v>2004</v>
      </c>
      <c r="D841" t="s">
        <v>923</v>
      </c>
      <c r="E841">
        <v>139</v>
      </c>
      <c r="F841">
        <v>1</v>
      </c>
      <c r="H841">
        <v>89</v>
      </c>
      <c r="I841">
        <v>97</v>
      </c>
      <c r="K841" s="2" t="s">
        <v>3518</v>
      </c>
      <c r="L841" s="2" t="s">
        <v>3519</v>
      </c>
      <c r="M841" t="s">
        <v>5198</v>
      </c>
      <c r="N841" t="s">
        <v>3520</v>
      </c>
      <c r="O841" t="s">
        <v>26</v>
      </c>
      <c r="P841" t="s">
        <v>27</v>
      </c>
      <c r="Q841" t="s">
        <v>28</v>
      </c>
      <c r="R841" t="s">
        <v>28</v>
      </c>
      <c r="S841" t="s">
        <v>28</v>
      </c>
      <c r="T841" t="s">
        <v>28</v>
      </c>
      <c r="U841" t="s">
        <v>28</v>
      </c>
      <c r="V841" t="s">
        <v>28</v>
      </c>
      <c r="W841" s="16" t="s">
        <v>5629</v>
      </c>
      <c r="X841" t="s">
        <v>5624</v>
      </c>
    </row>
    <row r="842" spans="1:50" x14ac:dyDescent="0.55000000000000004">
      <c r="A842" t="s">
        <v>3527</v>
      </c>
      <c r="B842" t="s">
        <v>3528</v>
      </c>
      <c r="C842">
        <v>2004</v>
      </c>
      <c r="D842" t="s">
        <v>186</v>
      </c>
      <c r="E842">
        <v>259</v>
      </c>
      <c r="F842" s="4">
        <v>44563</v>
      </c>
      <c r="H842">
        <v>331</v>
      </c>
      <c r="I842">
        <v>343</v>
      </c>
      <c r="K842" s="2" t="s">
        <v>3529</v>
      </c>
      <c r="L842" s="2" t="s">
        <v>3530</v>
      </c>
      <c r="M842" t="s">
        <v>5199</v>
      </c>
      <c r="N842" t="s">
        <v>3531</v>
      </c>
      <c r="O842" t="s">
        <v>26</v>
      </c>
      <c r="P842" t="s">
        <v>27</v>
      </c>
      <c r="Q842" t="s">
        <v>28</v>
      </c>
      <c r="R842" t="s">
        <v>28</v>
      </c>
      <c r="S842" t="s">
        <v>28</v>
      </c>
      <c r="T842" t="s">
        <v>28</v>
      </c>
      <c r="U842" t="s">
        <v>28</v>
      </c>
      <c r="V842" t="s">
        <v>28</v>
      </c>
      <c r="W842" s="16" t="s">
        <v>5629</v>
      </c>
      <c r="X842" t="s">
        <v>5624</v>
      </c>
    </row>
    <row r="843" spans="1:50" x14ac:dyDescent="0.55000000000000004">
      <c r="A843" t="s">
        <v>3532</v>
      </c>
      <c r="B843" t="s">
        <v>3533</v>
      </c>
      <c r="C843">
        <v>2004</v>
      </c>
      <c r="D843" t="s">
        <v>923</v>
      </c>
      <c r="E843">
        <v>138</v>
      </c>
      <c r="F843">
        <v>3</v>
      </c>
      <c r="H843">
        <v>419</v>
      </c>
      <c r="I843">
        <v>425</v>
      </c>
      <c r="K843" s="2" t="s">
        <v>3534</v>
      </c>
      <c r="L843" s="2" t="s">
        <v>3535</v>
      </c>
      <c r="M843" t="s">
        <v>3536</v>
      </c>
      <c r="N843" t="s">
        <v>3537</v>
      </c>
      <c r="O843" t="s">
        <v>26</v>
      </c>
      <c r="P843" t="s">
        <v>27</v>
      </c>
      <c r="Q843" t="s">
        <v>28</v>
      </c>
      <c r="R843" t="s">
        <v>28</v>
      </c>
      <c r="S843" t="s">
        <v>28</v>
      </c>
      <c r="T843" t="s">
        <v>28</v>
      </c>
      <c r="U843" t="s">
        <v>28</v>
      </c>
      <c r="V843" t="s">
        <v>28</v>
      </c>
      <c r="W843" s="16" t="s">
        <v>5629</v>
      </c>
      <c r="X843" t="s">
        <v>5624</v>
      </c>
    </row>
    <row r="844" spans="1:50" x14ac:dyDescent="0.55000000000000004">
      <c r="A844" t="s">
        <v>5192</v>
      </c>
      <c r="B844" t="s">
        <v>3483</v>
      </c>
      <c r="C844">
        <v>2004</v>
      </c>
      <c r="D844" t="s">
        <v>68</v>
      </c>
      <c r="E844">
        <v>163</v>
      </c>
      <c r="F844">
        <v>3</v>
      </c>
      <c r="H844">
        <v>617</v>
      </c>
      <c r="I844">
        <v>627</v>
      </c>
      <c r="K844" s="2" t="s">
        <v>3484</v>
      </c>
      <c r="L844" s="2" t="s">
        <v>3485</v>
      </c>
      <c r="M844" t="s">
        <v>5193</v>
      </c>
      <c r="N844" t="s">
        <v>3486</v>
      </c>
      <c r="O844" t="s">
        <v>26</v>
      </c>
      <c r="P844" t="s">
        <v>27</v>
      </c>
      <c r="Q844" t="s">
        <v>43</v>
      </c>
      <c r="R844" t="s">
        <v>43</v>
      </c>
      <c r="S844" t="s">
        <v>28</v>
      </c>
      <c r="T844" t="s">
        <v>28</v>
      </c>
      <c r="U844" t="s">
        <v>28</v>
      </c>
      <c r="V844" t="s">
        <v>28</v>
      </c>
      <c r="W844" s="16" t="s">
        <v>5629</v>
      </c>
      <c r="X844" t="s">
        <v>5624</v>
      </c>
      <c r="Y844" t="s">
        <v>4497</v>
      </c>
      <c r="Z844" t="s">
        <v>5469</v>
      </c>
      <c r="AA844" t="s">
        <v>4360</v>
      </c>
      <c r="AB844" t="s">
        <v>4371</v>
      </c>
      <c r="AC844" t="s">
        <v>4370</v>
      </c>
      <c r="AF844" t="s">
        <v>5710</v>
      </c>
      <c r="AG844" s="9" t="s">
        <v>4393</v>
      </c>
      <c r="AH844" t="s">
        <v>4429</v>
      </c>
      <c r="AI844" t="s">
        <v>4357</v>
      </c>
      <c r="AJ844">
        <f t="shared" ref="AJ844:AJ852" si="7">24*14</f>
        <v>336</v>
      </c>
      <c r="AK844">
        <f>14*24</f>
        <v>336</v>
      </c>
      <c r="AL844" t="s">
        <v>5408</v>
      </c>
      <c r="AM844" t="s">
        <v>4440</v>
      </c>
      <c r="AO844">
        <v>7</v>
      </c>
      <c r="AP844">
        <v>40.077666999999998</v>
      </c>
      <c r="AQ844">
        <v>-75.187703999999997</v>
      </c>
      <c r="AT844">
        <v>24</v>
      </c>
      <c r="AV844" s="19">
        <v>7.25</v>
      </c>
      <c r="AX844" t="s">
        <v>5662</v>
      </c>
    </row>
    <row r="845" spans="1:50" x14ac:dyDescent="0.55000000000000004">
      <c r="A845" t="s">
        <v>5192</v>
      </c>
      <c r="B845" t="s">
        <v>3483</v>
      </c>
      <c r="C845">
        <v>2004</v>
      </c>
      <c r="D845" t="s">
        <v>68</v>
      </c>
      <c r="E845">
        <v>163</v>
      </c>
      <c r="F845">
        <v>3</v>
      </c>
      <c r="H845">
        <v>617</v>
      </c>
      <c r="I845">
        <v>627</v>
      </c>
      <c r="K845" s="2" t="s">
        <v>3484</v>
      </c>
      <c r="L845" s="2" t="s">
        <v>3485</v>
      </c>
      <c r="M845" t="s">
        <v>5193</v>
      </c>
      <c r="N845" t="s">
        <v>3486</v>
      </c>
      <c r="O845" t="s">
        <v>26</v>
      </c>
      <c r="P845" t="s">
        <v>27</v>
      </c>
      <c r="Q845" t="s">
        <v>43</v>
      </c>
      <c r="R845" t="s">
        <v>43</v>
      </c>
      <c r="S845" t="s">
        <v>28</v>
      </c>
      <c r="T845" t="s">
        <v>28</v>
      </c>
      <c r="U845" t="s">
        <v>28</v>
      </c>
      <c r="V845" t="s">
        <v>28</v>
      </c>
      <c r="W845" s="16" t="s">
        <v>5629</v>
      </c>
      <c r="X845" t="s">
        <v>5624</v>
      </c>
      <c r="Y845" t="s">
        <v>4497</v>
      </c>
      <c r="Z845" t="s">
        <v>5469</v>
      </c>
      <c r="AA845" t="s">
        <v>4360</v>
      </c>
      <c r="AB845" t="s">
        <v>4371</v>
      </c>
      <c r="AC845" t="s">
        <v>4370</v>
      </c>
      <c r="AF845" t="s">
        <v>5710</v>
      </c>
      <c r="AG845" s="9" t="s">
        <v>4393</v>
      </c>
      <c r="AH845" t="s">
        <v>4429</v>
      </c>
      <c r="AI845" t="s">
        <v>4357</v>
      </c>
      <c r="AJ845">
        <f t="shared" si="7"/>
        <v>336</v>
      </c>
      <c r="AK845">
        <f>28*24</f>
        <v>672</v>
      </c>
      <c r="AL845" t="s">
        <v>5408</v>
      </c>
      <c r="AM845" t="s">
        <v>4440</v>
      </c>
      <c r="AO845">
        <v>7</v>
      </c>
      <c r="AP845">
        <v>40.077666999999998</v>
      </c>
      <c r="AQ845">
        <v>-75.187703999999997</v>
      </c>
      <c r="AT845">
        <v>24</v>
      </c>
      <c r="AV845" s="19">
        <v>7.94</v>
      </c>
      <c r="AX845" t="s">
        <v>5663</v>
      </c>
    </row>
    <row r="846" spans="1:50" x14ac:dyDescent="0.55000000000000004">
      <c r="A846" t="s">
        <v>5192</v>
      </c>
      <c r="B846" t="s">
        <v>3483</v>
      </c>
      <c r="C846">
        <v>2004</v>
      </c>
      <c r="D846" t="s">
        <v>68</v>
      </c>
      <c r="E846">
        <v>163</v>
      </c>
      <c r="F846">
        <v>3</v>
      </c>
      <c r="H846">
        <v>617</v>
      </c>
      <c r="I846">
        <v>627</v>
      </c>
      <c r="K846" s="2" t="s">
        <v>3484</v>
      </c>
      <c r="L846" s="2" t="s">
        <v>3485</v>
      </c>
      <c r="M846" t="s">
        <v>5193</v>
      </c>
      <c r="N846" t="s">
        <v>3486</v>
      </c>
      <c r="O846" t="s">
        <v>26</v>
      </c>
      <c r="P846" t="s">
        <v>27</v>
      </c>
      <c r="Q846" t="s">
        <v>43</v>
      </c>
      <c r="R846" t="s">
        <v>43</v>
      </c>
      <c r="S846" t="s">
        <v>28</v>
      </c>
      <c r="T846" t="s">
        <v>28</v>
      </c>
      <c r="U846" t="s">
        <v>28</v>
      </c>
      <c r="V846" t="s">
        <v>28</v>
      </c>
      <c r="W846" s="16" t="s">
        <v>5629</v>
      </c>
      <c r="X846" t="s">
        <v>5624</v>
      </c>
      <c r="Y846" t="s">
        <v>4497</v>
      </c>
      <c r="Z846" t="s">
        <v>5469</v>
      </c>
      <c r="AA846" t="s">
        <v>4360</v>
      </c>
      <c r="AB846" t="s">
        <v>4371</v>
      </c>
      <c r="AC846" t="s">
        <v>4370</v>
      </c>
      <c r="AF846" t="s">
        <v>5710</v>
      </c>
      <c r="AG846" s="9" t="s">
        <v>4393</v>
      </c>
      <c r="AH846" t="s">
        <v>4429</v>
      </c>
      <c r="AI846" t="s">
        <v>4357</v>
      </c>
      <c r="AJ846">
        <f t="shared" si="7"/>
        <v>336</v>
      </c>
      <c r="AK846">
        <f>42*24</f>
        <v>1008</v>
      </c>
      <c r="AL846" t="s">
        <v>5408</v>
      </c>
      <c r="AM846" t="s">
        <v>4440</v>
      </c>
      <c r="AO846">
        <v>7</v>
      </c>
      <c r="AP846">
        <v>40.077666999999998</v>
      </c>
      <c r="AQ846">
        <v>-75.187703999999997</v>
      </c>
      <c r="AT846">
        <v>24</v>
      </c>
      <c r="AV846" s="19">
        <v>4.47</v>
      </c>
      <c r="AX846" t="s">
        <v>5664</v>
      </c>
    </row>
    <row r="847" spans="1:50" x14ac:dyDescent="0.55000000000000004">
      <c r="A847" t="s">
        <v>5192</v>
      </c>
      <c r="B847" t="s">
        <v>3483</v>
      </c>
      <c r="C847">
        <v>2004</v>
      </c>
      <c r="D847" t="s">
        <v>68</v>
      </c>
      <c r="E847">
        <v>163</v>
      </c>
      <c r="F847">
        <v>3</v>
      </c>
      <c r="H847">
        <v>617</v>
      </c>
      <c r="I847">
        <v>627</v>
      </c>
      <c r="K847" s="2" t="s">
        <v>3484</v>
      </c>
      <c r="L847" s="2" t="s">
        <v>3485</v>
      </c>
      <c r="M847" t="s">
        <v>5193</v>
      </c>
      <c r="N847" t="s">
        <v>3486</v>
      </c>
      <c r="O847" t="s">
        <v>26</v>
      </c>
      <c r="P847" t="s">
        <v>27</v>
      </c>
      <c r="Q847" t="s">
        <v>43</v>
      </c>
      <c r="R847" t="s">
        <v>43</v>
      </c>
      <c r="S847" t="s">
        <v>28</v>
      </c>
      <c r="T847" t="s">
        <v>28</v>
      </c>
      <c r="U847" t="s">
        <v>28</v>
      </c>
      <c r="V847" t="s">
        <v>28</v>
      </c>
      <c r="W847" s="16" t="s">
        <v>5629</v>
      </c>
      <c r="X847" t="s">
        <v>5624</v>
      </c>
      <c r="Y847" t="s">
        <v>4497</v>
      </c>
      <c r="Z847" t="s">
        <v>5469</v>
      </c>
      <c r="AA847" t="s">
        <v>4360</v>
      </c>
      <c r="AB847" t="s">
        <v>4371</v>
      </c>
      <c r="AC847" t="s">
        <v>4370</v>
      </c>
      <c r="AF847" t="s">
        <v>5710</v>
      </c>
      <c r="AG847" s="9" t="s">
        <v>4393</v>
      </c>
      <c r="AH847" t="s">
        <v>4429</v>
      </c>
      <c r="AI847" t="s">
        <v>4357</v>
      </c>
      <c r="AJ847">
        <f t="shared" si="7"/>
        <v>336</v>
      </c>
      <c r="AK847">
        <f>56*24</f>
        <v>1344</v>
      </c>
      <c r="AL847" t="s">
        <v>5408</v>
      </c>
      <c r="AM847" t="s">
        <v>4440</v>
      </c>
      <c r="AO847">
        <v>7</v>
      </c>
      <c r="AP847">
        <v>40.077666999999998</v>
      </c>
      <c r="AQ847">
        <v>-75.187703999999997</v>
      </c>
      <c r="AT847">
        <v>24</v>
      </c>
      <c r="AV847" s="19">
        <v>4.83</v>
      </c>
      <c r="AX847" t="s">
        <v>5665</v>
      </c>
    </row>
    <row r="848" spans="1:50" x14ac:dyDescent="0.55000000000000004">
      <c r="A848" t="s">
        <v>5192</v>
      </c>
      <c r="B848" t="s">
        <v>3483</v>
      </c>
      <c r="C848">
        <v>2004</v>
      </c>
      <c r="D848" t="s">
        <v>68</v>
      </c>
      <c r="E848">
        <v>163</v>
      </c>
      <c r="F848">
        <v>3</v>
      </c>
      <c r="H848">
        <v>617</v>
      </c>
      <c r="I848">
        <v>627</v>
      </c>
      <c r="K848" s="2" t="s">
        <v>3484</v>
      </c>
      <c r="L848" s="2" t="s">
        <v>3485</v>
      </c>
      <c r="M848" t="s">
        <v>5193</v>
      </c>
      <c r="N848" t="s">
        <v>3486</v>
      </c>
      <c r="O848" t="s">
        <v>26</v>
      </c>
      <c r="P848" t="s">
        <v>27</v>
      </c>
      <c r="Q848" t="s">
        <v>43</v>
      </c>
      <c r="R848" t="s">
        <v>43</v>
      </c>
      <c r="S848" t="s">
        <v>28</v>
      </c>
      <c r="T848" t="s">
        <v>28</v>
      </c>
      <c r="U848" t="s">
        <v>28</v>
      </c>
      <c r="V848" t="s">
        <v>28</v>
      </c>
      <c r="W848" s="16" t="s">
        <v>5629</v>
      </c>
      <c r="X848" t="s">
        <v>5624</v>
      </c>
      <c r="Y848" t="s">
        <v>4497</v>
      </c>
      <c r="Z848" t="s">
        <v>5469</v>
      </c>
      <c r="AA848" t="s">
        <v>4360</v>
      </c>
      <c r="AB848" t="s">
        <v>4371</v>
      </c>
      <c r="AC848" t="s">
        <v>4370</v>
      </c>
      <c r="AF848" t="s">
        <v>5710</v>
      </c>
      <c r="AG848" s="9" t="s">
        <v>4393</v>
      </c>
      <c r="AH848" t="s">
        <v>4429</v>
      </c>
      <c r="AI848" t="s">
        <v>4357</v>
      </c>
      <c r="AJ848">
        <f t="shared" si="7"/>
        <v>336</v>
      </c>
      <c r="AK848">
        <v>168</v>
      </c>
      <c r="AL848" t="s">
        <v>5408</v>
      </c>
      <c r="AM848" t="s">
        <v>4440</v>
      </c>
      <c r="AO848">
        <v>7</v>
      </c>
      <c r="AP848">
        <v>40.077666999999998</v>
      </c>
      <c r="AQ848">
        <v>-75.187703999999997</v>
      </c>
      <c r="AT848">
        <v>24</v>
      </c>
      <c r="AV848" s="19">
        <v>2.38</v>
      </c>
      <c r="AX848" t="s">
        <v>5666</v>
      </c>
    </row>
    <row r="849" spans="1:50" x14ac:dyDescent="0.55000000000000004">
      <c r="A849" t="s">
        <v>5192</v>
      </c>
      <c r="B849" t="s">
        <v>3483</v>
      </c>
      <c r="C849">
        <v>2004</v>
      </c>
      <c r="D849" t="s">
        <v>68</v>
      </c>
      <c r="E849">
        <v>163</v>
      </c>
      <c r="F849">
        <v>3</v>
      </c>
      <c r="H849">
        <v>617</v>
      </c>
      <c r="I849">
        <v>627</v>
      </c>
      <c r="K849" s="2" t="s">
        <v>3484</v>
      </c>
      <c r="L849" s="2" t="s">
        <v>3485</v>
      </c>
      <c r="M849" t="s">
        <v>5193</v>
      </c>
      <c r="N849" t="s">
        <v>3486</v>
      </c>
      <c r="O849" t="s">
        <v>26</v>
      </c>
      <c r="P849" t="s">
        <v>27</v>
      </c>
      <c r="Q849" t="s">
        <v>43</v>
      </c>
      <c r="R849" t="s">
        <v>43</v>
      </c>
      <c r="S849" t="s">
        <v>28</v>
      </c>
      <c r="T849" t="s">
        <v>28</v>
      </c>
      <c r="U849" t="s">
        <v>28</v>
      </c>
      <c r="V849" t="s">
        <v>28</v>
      </c>
      <c r="W849" s="16" t="s">
        <v>5629</v>
      </c>
      <c r="X849" t="s">
        <v>5624</v>
      </c>
      <c r="Y849" t="s">
        <v>4497</v>
      </c>
      <c r="Z849" t="s">
        <v>5469</v>
      </c>
      <c r="AA849" t="s">
        <v>4360</v>
      </c>
      <c r="AB849" t="s">
        <v>4371</v>
      </c>
      <c r="AC849" t="s">
        <v>4370</v>
      </c>
      <c r="AF849" t="s">
        <v>5710</v>
      </c>
      <c r="AG849" s="9" t="s">
        <v>4393</v>
      </c>
      <c r="AH849" t="s">
        <v>4429</v>
      </c>
      <c r="AI849" t="s">
        <v>4357</v>
      </c>
      <c r="AJ849">
        <f t="shared" si="7"/>
        <v>336</v>
      </c>
      <c r="AK849">
        <v>336</v>
      </c>
      <c r="AL849" t="s">
        <v>5408</v>
      </c>
      <c r="AM849" t="s">
        <v>4440</v>
      </c>
      <c r="AO849">
        <v>7</v>
      </c>
      <c r="AP849">
        <v>40.077666999999998</v>
      </c>
      <c r="AQ849">
        <v>-75.187703999999997</v>
      </c>
      <c r="AT849">
        <v>24</v>
      </c>
      <c r="AV849" s="19">
        <v>3.37</v>
      </c>
      <c r="AX849" t="s">
        <v>5667</v>
      </c>
    </row>
    <row r="850" spans="1:50" x14ac:dyDescent="0.55000000000000004">
      <c r="A850" t="s">
        <v>5192</v>
      </c>
      <c r="B850" t="s">
        <v>3483</v>
      </c>
      <c r="C850">
        <v>2004</v>
      </c>
      <c r="D850" t="s">
        <v>68</v>
      </c>
      <c r="E850">
        <v>163</v>
      </c>
      <c r="F850">
        <v>3</v>
      </c>
      <c r="H850">
        <v>617</v>
      </c>
      <c r="I850">
        <v>627</v>
      </c>
      <c r="K850" s="2" t="s">
        <v>3484</v>
      </c>
      <c r="L850" s="2" t="s">
        <v>3485</v>
      </c>
      <c r="M850" t="s">
        <v>5193</v>
      </c>
      <c r="N850" t="s">
        <v>3486</v>
      </c>
      <c r="O850" t="s">
        <v>26</v>
      </c>
      <c r="P850" t="s">
        <v>27</v>
      </c>
      <c r="Q850" t="s">
        <v>43</v>
      </c>
      <c r="R850" t="s">
        <v>43</v>
      </c>
      <c r="S850" t="s">
        <v>28</v>
      </c>
      <c r="T850" t="s">
        <v>28</v>
      </c>
      <c r="U850" t="s">
        <v>28</v>
      </c>
      <c r="V850" t="s">
        <v>28</v>
      </c>
      <c r="W850" s="16" t="s">
        <v>5629</v>
      </c>
      <c r="X850" t="s">
        <v>5624</v>
      </c>
      <c r="Y850" t="s">
        <v>4497</v>
      </c>
      <c r="Z850" t="s">
        <v>5469</v>
      </c>
      <c r="AA850" t="s">
        <v>4360</v>
      </c>
      <c r="AB850" t="s">
        <v>4371</v>
      </c>
      <c r="AC850" t="s">
        <v>4370</v>
      </c>
      <c r="AF850" t="s">
        <v>5710</v>
      </c>
      <c r="AG850" s="9" t="s">
        <v>4393</v>
      </c>
      <c r="AH850" t="s">
        <v>4429</v>
      </c>
      <c r="AI850" t="s">
        <v>4357</v>
      </c>
      <c r="AJ850">
        <f t="shared" si="7"/>
        <v>336</v>
      </c>
      <c r="AK850">
        <v>672</v>
      </c>
      <c r="AL850" t="s">
        <v>5408</v>
      </c>
      <c r="AM850" t="s">
        <v>4440</v>
      </c>
      <c r="AO850">
        <v>7</v>
      </c>
      <c r="AP850">
        <v>40.077666999999998</v>
      </c>
      <c r="AQ850">
        <v>-75.187703999999997</v>
      </c>
      <c r="AT850">
        <v>24</v>
      </c>
      <c r="AV850" s="19">
        <v>4.21</v>
      </c>
      <c r="AX850" t="s">
        <v>5668</v>
      </c>
    </row>
    <row r="851" spans="1:50" x14ac:dyDescent="0.55000000000000004">
      <c r="A851" t="s">
        <v>5192</v>
      </c>
      <c r="B851" t="s">
        <v>3483</v>
      </c>
      <c r="C851">
        <v>2004</v>
      </c>
      <c r="D851" t="s">
        <v>68</v>
      </c>
      <c r="E851">
        <v>163</v>
      </c>
      <c r="F851">
        <v>3</v>
      </c>
      <c r="H851">
        <v>617</v>
      </c>
      <c r="I851">
        <v>627</v>
      </c>
      <c r="K851" s="2" t="s">
        <v>3484</v>
      </c>
      <c r="L851" s="2" t="s">
        <v>3485</v>
      </c>
      <c r="M851" t="s">
        <v>5193</v>
      </c>
      <c r="N851" t="s">
        <v>3486</v>
      </c>
      <c r="O851" t="s">
        <v>26</v>
      </c>
      <c r="P851" t="s">
        <v>27</v>
      </c>
      <c r="Q851" t="s">
        <v>43</v>
      </c>
      <c r="R851" t="s">
        <v>43</v>
      </c>
      <c r="S851" t="s">
        <v>28</v>
      </c>
      <c r="T851" t="s">
        <v>28</v>
      </c>
      <c r="U851" t="s">
        <v>28</v>
      </c>
      <c r="V851" t="s">
        <v>28</v>
      </c>
      <c r="W851" s="16" t="s">
        <v>5629</v>
      </c>
      <c r="X851" t="s">
        <v>5624</v>
      </c>
      <c r="Y851" t="s">
        <v>4497</v>
      </c>
      <c r="Z851" t="s">
        <v>5469</v>
      </c>
      <c r="AA851" t="s">
        <v>4360</v>
      </c>
      <c r="AB851" t="s">
        <v>4371</v>
      </c>
      <c r="AC851" t="s">
        <v>4370</v>
      </c>
      <c r="AF851" t="s">
        <v>5710</v>
      </c>
      <c r="AG851" s="9" t="s">
        <v>4393</v>
      </c>
      <c r="AH851" t="s">
        <v>4429</v>
      </c>
      <c r="AI851" t="s">
        <v>4357</v>
      </c>
      <c r="AJ851">
        <f t="shared" si="7"/>
        <v>336</v>
      </c>
      <c r="AK851">
        <v>1008</v>
      </c>
      <c r="AL851" t="s">
        <v>5408</v>
      </c>
      <c r="AM851" t="s">
        <v>4440</v>
      </c>
      <c r="AO851">
        <v>7</v>
      </c>
      <c r="AP851">
        <v>40.077666999999998</v>
      </c>
      <c r="AQ851">
        <v>-75.187703999999997</v>
      </c>
      <c r="AT851">
        <v>24</v>
      </c>
      <c r="AV851" s="19">
        <v>9.49</v>
      </c>
      <c r="AX851" t="s">
        <v>5669</v>
      </c>
    </row>
    <row r="852" spans="1:50" x14ac:dyDescent="0.55000000000000004">
      <c r="A852" t="s">
        <v>5192</v>
      </c>
      <c r="B852" t="s">
        <v>3483</v>
      </c>
      <c r="C852">
        <v>2004</v>
      </c>
      <c r="D852" t="s">
        <v>68</v>
      </c>
      <c r="E852">
        <v>163</v>
      </c>
      <c r="F852">
        <v>3</v>
      </c>
      <c r="H852">
        <v>617</v>
      </c>
      <c r="I852">
        <v>627</v>
      </c>
      <c r="K852" s="2" t="s">
        <v>3484</v>
      </c>
      <c r="L852" s="2" t="s">
        <v>3485</v>
      </c>
      <c r="M852" t="s">
        <v>5193</v>
      </c>
      <c r="N852" t="s">
        <v>3486</v>
      </c>
      <c r="O852" t="s">
        <v>26</v>
      </c>
      <c r="P852" t="s">
        <v>27</v>
      </c>
      <c r="Q852" t="s">
        <v>43</v>
      </c>
      <c r="R852" t="s">
        <v>43</v>
      </c>
      <c r="S852" t="s">
        <v>28</v>
      </c>
      <c r="T852" t="s">
        <v>28</v>
      </c>
      <c r="U852" t="s">
        <v>28</v>
      </c>
      <c r="V852" t="s">
        <v>28</v>
      </c>
      <c r="W852" s="16" t="s">
        <v>5629</v>
      </c>
      <c r="X852" t="s">
        <v>5624</v>
      </c>
      <c r="Y852" t="s">
        <v>4497</v>
      </c>
      <c r="Z852" t="s">
        <v>5469</v>
      </c>
      <c r="AA852" t="s">
        <v>4360</v>
      </c>
      <c r="AB852" t="s">
        <v>4371</v>
      </c>
      <c r="AC852" t="s">
        <v>4370</v>
      </c>
      <c r="AF852" t="s">
        <v>5710</v>
      </c>
      <c r="AG852" s="9" t="s">
        <v>4393</v>
      </c>
      <c r="AH852" t="s">
        <v>4429</v>
      </c>
      <c r="AI852" t="s">
        <v>4357</v>
      </c>
      <c r="AJ852">
        <f t="shared" si="7"/>
        <v>336</v>
      </c>
      <c r="AK852">
        <v>1344</v>
      </c>
      <c r="AL852" t="s">
        <v>5408</v>
      </c>
      <c r="AM852" t="s">
        <v>4440</v>
      </c>
      <c r="AO852">
        <v>7</v>
      </c>
      <c r="AP852">
        <v>40.077666999999998</v>
      </c>
      <c r="AQ852">
        <v>-75.187703999999997</v>
      </c>
      <c r="AT852">
        <v>24</v>
      </c>
      <c r="AV852" s="19">
        <v>8.0299999999999994</v>
      </c>
      <c r="AX852" t="s">
        <v>5670</v>
      </c>
    </row>
    <row r="853" spans="1:50" x14ac:dyDescent="0.55000000000000004">
      <c r="A853" t="s">
        <v>3538</v>
      </c>
      <c r="B853" t="s">
        <v>3539</v>
      </c>
      <c r="C853">
        <v>2004</v>
      </c>
      <c r="D853" t="s">
        <v>152</v>
      </c>
      <c r="E853">
        <v>24</v>
      </c>
      <c r="F853">
        <v>12</v>
      </c>
      <c r="H853">
        <v>1369</v>
      </c>
      <c r="I853">
        <v>1376</v>
      </c>
      <c r="K853" s="2" t="s">
        <v>3540</v>
      </c>
      <c r="L853" s="2" t="s">
        <v>3541</v>
      </c>
      <c r="M853" t="s">
        <v>3542</v>
      </c>
      <c r="N853" t="s">
        <v>3543</v>
      </c>
      <c r="O853" t="s">
        <v>1248</v>
      </c>
      <c r="P853" t="s">
        <v>27</v>
      </c>
      <c r="Q853" t="s">
        <v>43</v>
      </c>
      <c r="R853" t="s">
        <v>28</v>
      </c>
      <c r="S853" t="s">
        <v>28</v>
      </c>
      <c r="T853" t="s">
        <v>28</v>
      </c>
      <c r="U853" t="s">
        <v>28</v>
      </c>
      <c r="V853" t="s">
        <v>28</v>
      </c>
      <c r="W853" s="16" t="s">
        <v>5629</v>
      </c>
      <c r="X853" t="s">
        <v>5624</v>
      </c>
    </row>
    <row r="854" spans="1:50" x14ac:dyDescent="0.55000000000000004">
      <c r="A854" t="s">
        <v>5200</v>
      </c>
      <c r="B854" t="s">
        <v>3544</v>
      </c>
      <c r="C854">
        <v>2004</v>
      </c>
      <c r="D854" t="s">
        <v>3545</v>
      </c>
      <c r="E854">
        <v>108</v>
      </c>
      <c r="F854">
        <v>7</v>
      </c>
      <c r="H854">
        <v>725</v>
      </c>
      <c r="I854">
        <v>736</v>
      </c>
      <c r="K854" s="2" t="s">
        <v>3546</v>
      </c>
      <c r="L854" s="2" t="s">
        <v>3547</v>
      </c>
      <c r="M854" t="s">
        <v>5201</v>
      </c>
      <c r="O854" t="s">
        <v>26</v>
      </c>
      <c r="P854" t="s">
        <v>27</v>
      </c>
      <c r="Q854" t="s">
        <v>28</v>
      </c>
      <c r="R854" t="s">
        <v>28</v>
      </c>
      <c r="S854" t="s">
        <v>28</v>
      </c>
      <c r="T854" t="s">
        <v>28</v>
      </c>
      <c r="U854" t="s">
        <v>28</v>
      </c>
      <c r="V854" t="s">
        <v>28</v>
      </c>
      <c r="W854" s="16" t="s">
        <v>5629</v>
      </c>
      <c r="X854" t="s">
        <v>5624</v>
      </c>
    </row>
    <row r="855" spans="1:50" x14ac:dyDescent="0.55000000000000004">
      <c r="A855" t="s">
        <v>3548</v>
      </c>
      <c r="B855" t="s">
        <v>3549</v>
      </c>
      <c r="C855">
        <v>2004</v>
      </c>
      <c r="D855" t="s">
        <v>105</v>
      </c>
      <c r="E855">
        <v>14</v>
      </c>
      <c r="F855">
        <v>6</v>
      </c>
      <c r="H855">
        <v>1826</v>
      </c>
      <c r="I855">
        <v>1838</v>
      </c>
      <c r="K855" s="2" t="s">
        <v>3550</v>
      </c>
      <c r="L855" s="2" t="s">
        <v>3551</v>
      </c>
      <c r="M855" t="s">
        <v>3552</v>
      </c>
      <c r="N855" t="s">
        <v>3553</v>
      </c>
      <c r="O855" t="s">
        <v>26</v>
      </c>
      <c r="P855" t="s">
        <v>27</v>
      </c>
      <c r="Q855" t="s">
        <v>28</v>
      </c>
      <c r="R855" t="s">
        <v>28</v>
      </c>
      <c r="S855" t="s">
        <v>28</v>
      </c>
      <c r="T855" t="s">
        <v>28</v>
      </c>
      <c r="U855" t="s">
        <v>28</v>
      </c>
      <c r="V855" t="s">
        <v>28</v>
      </c>
      <c r="W855" s="16" t="s">
        <v>5629</v>
      </c>
      <c r="X855" t="s">
        <v>5624</v>
      </c>
    </row>
    <row r="856" spans="1:50" x14ac:dyDescent="0.55000000000000004">
      <c r="A856" t="s">
        <v>3554</v>
      </c>
      <c r="B856" t="s">
        <v>3555</v>
      </c>
      <c r="C856">
        <v>2003</v>
      </c>
      <c r="D856" t="s">
        <v>1368</v>
      </c>
      <c r="E856">
        <v>69</v>
      </c>
      <c r="F856">
        <v>11</v>
      </c>
      <c r="H856">
        <v>6793</v>
      </c>
      <c r="I856">
        <v>6800</v>
      </c>
      <c r="K856" s="2" t="s">
        <v>3556</v>
      </c>
      <c r="L856" s="2" t="s">
        <v>3557</v>
      </c>
      <c r="M856" t="s">
        <v>5202</v>
      </c>
      <c r="O856" t="s">
        <v>26</v>
      </c>
      <c r="P856" t="s">
        <v>27</v>
      </c>
      <c r="Q856" t="s">
        <v>28</v>
      </c>
      <c r="R856" t="s">
        <v>28</v>
      </c>
      <c r="S856" t="s">
        <v>28</v>
      </c>
      <c r="T856" t="s">
        <v>28</v>
      </c>
      <c r="U856" t="s">
        <v>28</v>
      </c>
      <c r="V856" t="s">
        <v>28</v>
      </c>
      <c r="W856" s="16" t="s">
        <v>5629</v>
      </c>
      <c r="X856" t="s">
        <v>5624</v>
      </c>
    </row>
    <row r="857" spans="1:50" x14ac:dyDescent="0.55000000000000004">
      <c r="A857" t="s">
        <v>3558</v>
      </c>
      <c r="B857" t="s">
        <v>3559</v>
      </c>
      <c r="C857">
        <v>2003</v>
      </c>
      <c r="D857" t="s">
        <v>3560</v>
      </c>
      <c r="E857">
        <v>166</v>
      </c>
      <c r="F857">
        <v>5</v>
      </c>
      <c r="H857">
        <v>606</v>
      </c>
      <c r="I857">
        <v>611</v>
      </c>
      <c r="K857" s="2" t="s">
        <v>3561</v>
      </c>
      <c r="L857" s="2" t="s">
        <v>3562</v>
      </c>
      <c r="M857" t="s">
        <v>3563</v>
      </c>
      <c r="N857" t="s">
        <v>3564</v>
      </c>
      <c r="O857" t="s">
        <v>26</v>
      </c>
      <c r="P857" t="s">
        <v>27</v>
      </c>
      <c r="Q857" t="s">
        <v>28</v>
      </c>
      <c r="R857" t="s">
        <v>28</v>
      </c>
      <c r="S857" t="s">
        <v>28</v>
      </c>
      <c r="T857" t="s">
        <v>28</v>
      </c>
      <c r="U857" t="s">
        <v>28</v>
      </c>
      <c r="V857" t="s">
        <v>28</v>
      </c>
      <c r="W857" s="16" t="s">
        <v>5629</v>
      </c>
      <c r="X857" t="s">
        <v>5624</v>
      </c>
    </row>
    <row r="858" spans="1:50" x14ac:dyDescent="0.55000000000000004">
      <c r="A858" t="s">
        <v>5203</v>
      </c>
      <c r="B858" t="s">
        <v>3565</v>
      </c>
      <c r="C858">
        <v>2003</v>
      </c>
      <c r="D858" t="s">
        <v>923</v>
      </c>
      <c r="E858">
        <v>137</v>
      </c>
      <c r="F858">
        <v>2</v>
      </c>
      <c r="H858">
        <v>252</v>
      </c>
      <c r="I858">
        <v>257</v>
      </c>
      <c r="K858" s="2" t="s">
        <v>3566</v>
      </c>
      <c r="L858" s="2" t="s">
        <v>3567</v>
      </c>
      <c r="M858" t="s">
        <v>3568</v>
      </c>
      <c r="N858" t="s">
        <v>3569</v>
      </c>
      <c r="O858" t="s">
        <v>26</v>
      </c>
      <c r="P858" t="s">
        <v>27</v>
      </c>
      <c r="Q858" t="s">
        <v>28</v>
      </c>
      <c r="R858" t="s">
        <v>28</v>
      </c>
      <c r="S858" t="s">
        <v>28</v>
      </c>
      <c r="T858" t="s">
        <v>28</v>
      </c>
      <c r="U858" t="s">
        <v>28</v>
      </c>
      <c r="V858" t="s">
        <v>28</v>
      </c>
      <c r="W858" s="16" t="s">
        <v>5629</v>
      </c>
      <c r="X858" t="s">
        <v>5624</v>
      </c>
    </row>
    <row r="859" spans="1:50" x14ac:dyDescent="0.55000000000000004">
      <c r="A859" t="s">
        <v>3570</v>
      </c>
      <c r="B859" t="s">
        <v>3571</v>
      </c>
      <c r="C859">
        <v>2003</v>
      </c>
      <c r="D859" t="s">
        <v>1819</v>
      </c>
      <c r="E859">
        <v>54</v>
      </c>
      <c r="F859">
        <v>391</v>
      </c>
      <c r="H859">
        <v>2331</v>
      </c>
      <c r="I859">
        <v>2342</v>
      </c>
      <c r="K859" s="2" t="s">
        <v>3572</v>
      </c>
      <c r="L859" s="2" t="s">
        <v>3573</v>
      </c>
      <c r="M859" t="s">
        <v>3574</v>
      </c>
      <c r="N859" t="s">
        <v>3575</v>
      </c>
      <c r="O859" t="s">
        <v>26</v>
      </c>
      <c r="P859" t="s">
        <v>27</v>
      </c>
      <c r="Q859" t="s">
        <v>28</v>
      </c>
      <c r="R859" t="s">
        <v>28</v>
      </c>
      <c r="S859" t="s">
        <v>28</v>
      </c>
      <c r="T859" t="s">
        <v>28</v>
      </c>
      <c r="U859" t="s">
        <v>28</v>
      </c>
      <c r="V859" t="s">
        <v>28</v>
      </c>
      <c r="W859" s="16" t="s">
        <v>5629</v>
      </c>
      <c r="X859" t="s">
        <v>5624</v>
      </c>
    </row>
    <row r="860" spans="1:50" x14ac:dyDescent="0.55000000000000004">
      <c r="A860" t="s">
        <v>3576</v>
      </c>
      <c r="B860" t="s">
        <v>3577</v>
      </c>
      <c r="C860">
        <v>2003</v>
      </c>
      <c r="D860" t="s">
        <v>68</v>
      </c>
      <c r="E860">
        <v>160</v>
      </c>
      <c r="F860">
        <v>1</v>
      </c>
      <c r="H860">
        <v>209</v>
      </c>
      <c r="I860">
        <v>223</v>
      </c>
      <c r="K860" s="2" t="s">
        <v>3578</v>
      </c>
      <c r="L860" s="2" t="s">
        <v>3579</v>
      </c>
      <c r="M860" t="s">
        <v>5204</v>
      </c>
      <c r="N860" t="s">
        <v>5205</v>
      </c>
      <c r="O860" t="s">
        <v>26</v>
      </c>
      <c r="P860" t="s">
        <v>27</v>
      </c>
      <c r="Q860" t="s">
        <v>28</v>
      </c>
      <c r="R860" t="s">
        <v>28</v>
      </c>
      <c r="S860" t="s">
        <v>28</v>
      </c>
      <c r="T860" t="s">
        <v>28</v>
      </c>
      <c r="U860" t="s">
        <v>28</v>
      </c>
      <c r="V860" t="s">
        <v>28</v>
      </c>
      <c r="W860" s="16" t="s">
        <v>5629</v>
      </c>
      <c r="X860" t="s">
        <v>5624</v>
      </c>
    </row>
    <row r="861" spans="1:50" x14ac:dyDescent="0.55000000000000004">
      <c r="A861" t="s">
        <v>3580</v>
      </c>
      <c r="B861" t="s">
        <v>3581</v>
      </c>
      <c r="C861">
        <v>2003</v>
      </c>
      <c r="D861" t="s">
        <v>3582</v>
      </c>
      <c r="E861">
        <v>8</v>
      </c>
      <c r="F861">
        <v>9</v>
      </c>
      <c r="H861">
        <v>407</v>
      </c>
      <c r="I861">
        <v>409</v>
      </c>
      <c r="K861" s="2" t="s">
        <v>3583</v>
      </c>
      <c r="L861" s="2" t="s">
        <v>3584</v>
      </c>
      <c r="M861" t="s">
        <v>3585</v>
      </c>
      <c r="O861" t="s">
        <v>2365</v>
      </c>
      <c r="P861" t="s">
        <v>27</v>
      </c>
      <c r="Q861" t="s">
        <v>28</v>
      </c>
      <c r="R861" t="s">
        <v>28</v>
      </c>
      <c r="S861" t="s">
        <v>28</v>
      </c>
      <c r="T861" t="s">
        <v>28</v>
      </c>
      <c r="U861" t="s">
        <v>28</v>
      </c>
      <c r="V861" t="s">
        <v>28</v>
      </c>
      <c r="W861" s="16" t="s">
        <v>5629</v>
      </c>
      <c r="X861" t="s">
        <v>5624</v>
      </c>
    </row>
    <row r="862" spans="1:50" x14ac:dyDescent="0.55000000000000004">
      <c r="A862" t="s">
        <v>3586</v>
      </c>
      <c r="B862" t="s">
        <v>3587</v>
      </c>
      <c r="C862">
        <v>2003</v>
      </c>
      <c r="D862" t="s">
        <v>186</v>
      </c>
      <c r="E862">
        <v>255</v>
      </c>
      <c r="F862">
        <v>2</v>
      </c>
      <c r="H862">
        <v>487</v>
      </c>
      <c r="I862">
        <v>494</v>
      </c>
      <c r="K862" s="2" t="s">
        <v>3588</v>
      </c>
      <c r="L862" s="2" t="s">
        <v>3589</v>
      </c>
      <c r="M862" t="s">
        <v>3590</v>
      </c>
      <c r="N862" t="s">
        <v>3591</v>
      </c>
      <c r="O862" t="s">
        <v>26</v>
      </c>
      <c r="P862" t="s">
        <v>27</v>
      </c>
      <c r="Q862" t="s">
        <v>28</v>
      </c>
      <c r="R862" t="s">
        <v>28</v>
      </c>
      <c r="S862" t="s">
        <v>28</v>
      </c>
      <c r="T862" t="s">
        <v>28</v>
      </c>
      <c r="U862" t="s">
        <v>28</v>
      </c>
      <c r="V862" t="s">
        <v>28</v>
      </c>
      <c r="W862" s="16" t="s">
        <v>5629</v>
      </c>
      <c r="X862" t="s">
        <v>5624</v>
      </c>
    </row>
    <row r="863" spans="1:50" x14ac:dyDescent="0.55000000000000004">
      <c r="A863" t="s">
        <v>5206</v>
      </c>
      <c r="B863" t="s">
        <v>3592</v>
      </c>
      <c r="C863">
        <v>2003</v>
      </c>
      <c r="D863" t="s">
        <v>3489</v>
      </c>
      <c r="E863">
        <v>81</v>
      </c>
      <c r="F863">
        <v>8</v>
      </c>
      <c r="H863">
        <v>886</v>
      </c>
      <c r="I863">
        <v>889</v>
      </c>
      <c r="K863" s="2" t="s">
        <v>3593</v>
      </c>
      <c r="L863" s="2" t="s">
        <v>3594</v>
      </c>
      <c r="M863" t="s">
        <v>3595</v>
      </c>
      <c r="N863" t="s">
        <v>3596</v>
      </c>
      <c r="O863" t="s">
        <v>26</v>
      </c>
      <c r="P863" t="s">
        <v>27</v>
      </c>
      <c r="Q863" t="s">
        <v>28</v>
      </c>
      <c r="R863" t="s">
        <v>28</v>
      </c>
      <c r="S863" t="s">
        <v>28</v>
      </c>
      <c r="T863" t="s">
        <v>28</v>
      </c>
      <c r="U863" t="s">
        <v>28</v>
      </c>
      <c r="V863" t="s">
        <v>28</v>
      </c>
      <c r="W863" s="16" t="s">
        <v>5629</v>
      </c>
      <c r="X863" t="s">
        <v>5624</v>
      </c>
    </row>
    <row r="864" spans="1:50" x14ac:dyDescent="0.55000000000000004">
      <c r="A864" t="s">
        <v>5207</v>
      </c>
      <c r="B864" t="s">
        <v>3597</v>
      </c>
      <c r="C864">
        <v>2003</v>
      </c>
      <c r="D864" t="s">
        <v>2584</v>
      </c>
      <c r="E864">
        <v>26</v>
      </c>
      <c r="F864">
        <v>8</v>
      </c>
      <c r="H864">
        <v>1287</v>
      </c>
      <c r="I864">
        <v>1296</v>
      </c>
      <c r="K864" s="2" t="s">
        <v>3598</v>
      </c>
      <c r="L864" s="2" t="s">
        <v>3599</v>
      </c>
      <c r="M864" t="s">
        <v>5208</v>
      </c>
      <c r="N864" t="s">
        <v>3600</v>
      </c>
      <c r="O864" t="s">
        <v>26</v>
      </c>
      <c r="P864" t="s">
        <v>27</v>
      </c>
      <c r="Q864" t="s">
        <v>28</v>
      </c>
      <c r="R864" t="s">
        <v>28</v>
      </c>
      <c r="S864" t="s">
        <v>28</v>
      </c>
      <c r="T864" t="s">
        <v>28</v>
      </c>
      <c r="U864" t="s">
        <v>28</v>
      </c>
      <c r="V864" t="s">
        <v>28</v>
      </c>
      <c r="W864" s="16" t="s">
        <v>5629</v>
      </c>
      <c r="X864" t="s">
        <v>5624</v>
      </c>
    </row>
    <row r="865" spans="1:24" x14ac:dyDescent="0.55000000000000004">
      <c r="A865" t="s">
        <v>3601</v>
      </c>
      <c r="B865" t="s">
        <v>3602</v>
      </c>
      <c r="C865">
        <v>2003</v>
      </c>
      <c r="D865" t="s">
        <v>433</v>
      </c>
      <c r="E865">
        <v>45</v>
      </c>
      <c r="F865">
        <v>2</v>
      </c>
      <c r="H865">
        <v>181</v>
      </c>
      <c r="I865">
        <v>187</v>
      </c>
      <c r="K865" s="2" t="s">
        <v>3603</v>
      </c>
      <c r="L865" s="2" t="s">
        <v>3604</v>
      </c>
      <c r="M865" t="s">
        <v>5209</v>
      </c>
      <c r="N865" t="s">
        <v>3605</v>
      </c>
      <c r="O865" t="s">
        <v>26</v>
      </c>
      <c r="P865" t="s">
        <v>27</v>
      </c>
      <c r="Q865" t="s">
        <v>28</v>
      </c>
      <c r="R865" t="s">
        <v>28</v>
      </c>
      <c r="S865" t="s">
        <v>28</v>
      </c>
      <c r="T865" t="s">
        <v>28</v>
      </c>
      <c r="U865" t="s">
        <v>28</v>
      </c>
      <c r="V865" t="s">
        <v>28</v>
      </c>
      <c r="W865" s="16" t="s">
        <v>5629</v>
      </c>
      <c r="X865" t="s">
        <v>5624</v>
      </c>
    </row>
    <row r="866" spans="1:24" x14ac:dyDescent="0.55000000000000004">
      <c r="A866" t="s">
        <v>3606</v>
      </c>
      <c r="B866" t="s">
        <v>3607</v>
      </c>
      <c r="C866">
        <v>2003</v>
      </c>
      <c r="D866" t="s">
        <v>186</v>
      </c>
      <c r="E866">
        <v>254</v>
      </c>
      <c r="F866">
        <v>2</v>
      </c>
      <c r="H866">
        <v>383</v>
      </c>
      <c r="I866">
        <v>391</v>
      </c>
      <c r="K866" s="2" t="s">
        <v>3608</v>
      </c>
      <c r="L866" s="2" t="s">
        <v>3609</v>
      </c>
      <c r="M866" t="s">
        <v>3610</v>
      </c>
      <c r="N866" t="s">
        <v>3611</v>
      </c>
      <c r="O866" t="s">
        <v>26</v>
      </c>
      <c r="P866" t="s">
        <v>27</v>
      </c>
      <c r="Q866" t="s">
        <v>28</v>
      </c>
      <c r="R866" t="s">
        <v>28</v>
      </c>
      <c r="S866" t="s">
        <v>28</v>
      </c>
      <c r="T866" t="s">
        <v>28</v>
      </c>
      <c r="U866" t="s">
        <v>28</v>
      </c>
      <c r="V866" t="s">
        <v>28</v>
      </c>
      <c r="W866" s="16" t="s">
        <v>5629</v>
      </c>
      <c r="X866" t="s">
        <v>5624</v>
      </c>
    </row>
    <row r="867" spans="1:24" x14ac:dyDescent="0.55000000000000004">
      <c r="A867" t="s">
        <v>3612</v>
      </c>
      <c r="B867" t="s">
        <v>3613</v>
      </c>
      <c r="C867">
        <v>2003</v>
      </c>
      <c r="D867" t="s">
        <v>186</v>
      </c>
      <c r="E867">
        <v>253</v>
      </c>
      <c r="F867">
        <v>2</v>
      </c>
      <c r="H867">
        <v>293</v>
      </c>
      <c r="I867">
        <v>299</v>
      </c>
      <c r="K867" s="2" t="s">
        <v>3614</v>
      </c>
      <c r="L867" s="2" t="s">
        <v>3615</v>
      </c>
      <c r="M867" t="s">
        <v>3616</v>
      </c>
      <c r="N867" t="s">
        <v>3617</v>
      </c>
      <c r="O867" t="s">
        <v>26</v>
      </c>
      <c r="P867" t="s">
        <v>27</v>
      </c>
      <c r="Q867" t="s">
        <v>28</v>
      </c>
      <c r="R867" t="s">
        <v>28</v>
      </c>
      <c r="S867" t="s">
        <v>28</v>
      </c>
      <c r="T867" t="s">
        <v>28</v>
      </c>
      <c r="U867" t="s">
        <v>28</v>
      </c>
      <c r="V867" t="s">
        <v>28</v>
      </c>
      <c r="W867" s="16" t="s">
        <v>5629</v>
      </c>
      <c r="X867" t="s">
        <v>5624</v>
      </c>
    </row>
    <row r="868" spans="1:24" x14ac:dyDescent="0.55000000000000004">
      <c r="A868" t="s">
        <v>3618</v>
      </c>
      <c r="B868" t="s">
        <v>3619</v>
      </c>
      <c r="C868">
        <v>2003</v>
      </c>
      <c r="D868" t="s">
        <v>1771</v>
      </c>
      <c r="E868">
        <v>300</v>
      </c>
      <c r="F868">
        <v>5622</v>
      </c>
      <c r="H868">
        <v>1138</v>
      </c>
      <c r="I868">
        <v>1140</v>
      </c>
      <c r="K868" s="2" t="s">
        <v>3620</v>
      </c>
      <c r="L868" s="2" t="s">
        <v>3621</v>
      </c>
      <c r="M868" t="s">
        <v>3622</v>
      </c>
      <c r="O868" t="s">
        <v>26</v>
      </c>
      <c r="P868" t="s">
        <v>27</v>
      </c>
      <c r="Q868" t="s">
        <v>28</v>
      </c>
      <c r="R868" t="s">
        <v>28</v>
      </c>
      <c r="S868" t="s">
        <v>28</v>
      </c>
      <c r="T868" t="s">
        <v>28</v>
      </c>
      <c r="U868" t="s">
        <v>28</v>
      </c>
      <c r="V868" t="s">
        <v>28</v>
      </c>
      <c r="W868" s="16" t="s">
        <v>5629</v>
      </c>
      <c r="X868" t="s">
        <v>5624</v>
      </c>
    </row>
    <row r="869" spans="1:24" x14ac:dyDescent="0.55000000000000004">
      <c r="A869" t="s">
        <v>5210</v>
      </c>
      <c r="B869" t="s">
        <v>3623</v>
      </c>
      <c r="C869">
        <v>2003</v>
      </c>
      <c r="D869" t="s">
        <v>1819</v>
      </c>
      <c r="E869">
        <v>54</v>
      </c>
      <c r="F869">
        <v>386</v>
      </c>
      <c r="H869">
        <v>1481</v>
      </c>
      <c r="I869">
        <v>1487</v>
      </c>
      <c r="K869" s="2" t="s">
        <v>3624</v>
      </c>
      <c r="L869" s="2" t="s">
        <v>3625</v>
      </c>
      <c r="M869" t="s">
        <v>3626</v>
      </c>
      <c r="N869" t="s">
        <v>3627</v>
      </c>
      <c r="O869" t="s">
        <v>26</v>
      </c>
      <c r="P869" t="s">
        <v>27</v>
      </c>
      <c r="Q869" t="s">
        <v>28</v>
      </c>
      <c r="R869" t="s">
        <v>28</v>
      </c>
      <c r="S869" t="s">
        <v>28</v>
      </c>
      <c r="T869" t="s">
        <v>28</v>
      </c>
      <c r="U869" t="s">
        <v>28</v>
      </c>
      <c r="V869" t="s">
        <v>28</v>
      </c>
      <c r="W869" s="16" t="s">
        <v>5629</v>
      </c>
      <c r="X869" t="s">
        <v>5624</v>
      </c>
    </row>
    <row r="870" spans="1:24" x14ac:dyDescent="0.55000000000000004">
      <c r="A870" t="s">
        <v>3628</v>
      </c>
      <c r="B870" t="s">
        <v>3629</v>
      </c>
      <c r="C870">
        <v>2003</v>
      </c>
      <c r="D870" t="s">
        <v>1819</v>
      </c>
      <c r="E870">
        <v>54</v>
      </c>
      <c r="F870">
        <v>386</v>
      </c>
      <c r="H870">
        <v>1461</v>
      </c>
      <c r="I870">
        <v>1469</v>
      </c>
      <c r="K870" s="2" t="s">
        <v>3630</v>
      </c>
      <c r="L870" s="2" t="s">
        <v>3631</v>
      </c>
      <c r="M870" t="s">
        <v>3632</v>
      </c>
      <c r="N870" t="s">
        <v>3633</v>
      </c>
      <c r="O870" t="s">
        <v>26</v>
      </c>
      <c r="P870" t="s">
        <v>27</v>
      </c>
      <c r="Q870" t="s">
        <v>43</v>
      </c>
      <c r="R870" t="s">
        <v>28</v>
      </c>
      <c r="S870" t="s">
        <v>28</v>
      </c>
      <c r="T870" t="s">
        <v>28</v>
      </c>
      <c r="U870" t="s">
        <v>28</v>
      </c>
      <c r="V870" t="s">
        <v>28</v>
      </c>
      <c r="W870" s="16" t="s">
        <v>5629</v>
      </c>
      <c r="X870" t="s">
        <v>5624</v>
      </c>
    </row>
    <row r="871" spans="1:24" x14ac:dyDescent="0.55000000000000004">
      <c r="A871" t="s">
        <v>3634</v>
      </c>
      <c r="B871" t="s">
        <v>3635</v>
      </c>
      <c r="C871">
        <v>2003</v>
      </c>
      <c r="D871" t="s">
        <v>2637</v>
      </c>
      <c r="E871">
        <v>131</v>
      </c>
      <c r="F871">
        <v>3</v>
      </c>
      <c r="H871">
        <v>1496</v>
      </c>
      <c r="I871">
        <v>1507</v>
      </c>
      <c r="K871" s="2" t="s">
        <v>3636</v>
      </c>
      <c r="L871" s="2" t="s">
        <v>3637</v>
      </c>
      <c r="M871" t="s">
        <v>3638</v>
      </c>
      <c r="O871" t="s">
        <v>26</v>
      </c>
      <c r="P871" t="s">
        <v>27</v>
      </c>
      <c r="Q871" t="s">
        <v>28</v>
      </c>
      <c r="R871" t="s">
        <v>28</v>
      </c>
      <c r="S871" t="s">
        <v>28</v>
      </c>
      <c r="T871" t="s">
        <v>28</v>
      </c>
      <c r="U871" t="s">
        <v>28</v>
      </c>
      <c r="V871" t="s">
        <v>28</v>
      </c>
      <c r="W871" s="16" t="s">
        <v>5629</v>
      </c>
      <c r="X871" t="s">
        <v>5624</v>
      </c>
    </row>
    <row r="872" spans="1:24" x14ac:dyDescent="0.55000000000000004">
      <c r="A872" t="s">
        <v>5211</v>
      </c>
      <c r="B872" t="s">
        <v>3639</v>
      </c>
      <c r="C872">
        <v>2003</v>
      </c>
      <c r="D872" t="s">
        <v>68</v>
      </c>
      <c r="E872">
        <v>157</v>
      </c>
      <c r="F872">
        <v>3</v>
      </c>
      <c r="H872">
        <v>589</v>
      </c>
      <c r="I872">
        <v>595</v>
      </c>
      <c r="K872" s="2" t="s">
        <v>3640</v>
      </c>
      <c r="L872" s="2" t="s">
        <v>3641</v>
      </c>
      <c r="M872" t="s">
        <v>5212</v>
      </c>
      <c r="N872" t="s">
        <v>3642</v>
      </c>
      <c r="O872" t="s">
        <v>26</v>
      </c>
      <c r="P872" t="s">
        <v>27</v>
      </c>
      <c r="Q872" t="s">
        <v>43</v>
      </c>
      <c r="R872" t="s">
        <v>28</v>
      </c>
      <c r="S872" t="s">
        <v>28</v>
      </c>
      <c r="T872" t="s">
        <v>28</v>
      </c>
      <c r="U872" t="s">
        <v>28</v>
      </c>
      <c r="V872" t="s">
        <v>28</v>
      </c>
      <c r="W872" s="16" t="s">
        <v>5629</v>
      </c>
      <c r="X872" t="s">
        <v>5624</v>
      </c>
    </row>
    <row r="873" spans="1:24" x14ac:dyDescent="0.55000000000000004">
      <c r="A873" t="s">
        <v>3643</v>
      </c>
      <c r="B873" t="s">
        <v>3644</v>
      </c>
      <c r="C873">
        <v>2003</v>
      </c>
      <c r="D873" t="s">
        <v>433</v>
      </c>
      <c r="E873">
        <v>43</v>
      </c>
      <c r="F873">
        <v>1</v>
      </c>
      <c r="H873">
        <v>121</v>
      </c>
      <c r="I873">
        <v>131</v>
      </c>
      <c r="K873" s="2" t="s">
        <v>3645</v>
      </c>
      <c r="L873" s="2" t="s">
        <v>3646</v>
      </c>
      <c r="M873" t="s">
        <v>5213</v>
      </c>
      <c r="N873" t="s">
        <v>3647</v>
      </c>
      <c r="O873" t="s">
        <v>26</v>
      </c>
      <c r="P873" t="s">
        <v>27</v>
      </c>
      <c r="Q873" t="s">
        <v>28</v>
      </c>
      <c r="R873" t="s">
        <v>28</v>
      </c>
      <c r="S873" t="s">
        <v>28</v>
      </c>
      <c r="T873" t="s">
        <v>28</v>
      </c>
      <c r="U873" t="s">
        <v>28</v>
      </c>
      <c r="V873" t="s">
        <v>28</v>
      </c>
      <c r="W873" s="16" t="s">
        <v>5629</v>
      </c>
      <c r="X873" t="s">
        <v>5624</v>
      </c>
    </row>
    <row r="874" spans="1:24" x14ac:dyDescent="0.55000000000000004">
      <c r="A874" t="s">
        <v>3570</v>
      </c>
      <c r="B874" t="s">
        <v>3648</v>
      </c>
      <c r="C874">
        <v>2003</v>
      </c>
      <c r="D874" t="s">
        <v>68</v>
      </c>
      <c r="E874">
        <v>157</v>
      </c>
      <c r="F874">
        <v>2</v>
      </c>
      <c r="H874">
        <v>303</v>
      </c>
      <c r="I874">
        <v>314</v>
      </c>
      <c r="K874" s="2" t="s">
        <v>3649</v>
      </c>
      <c r="L874" s="2" t="s">
        <v>3650</v>
      </c>
      <c r="M874" t="s">
        <v>5214</v>
      </c>
      <c r="N874" t="s">
        <v>3651</v>
      </c>
      <c r="O874" t="s">
        <v>26</v>
      </c>
      <c r="P874" t="s">
        <v>27</v>
      </c>
      <c r="Q874" t="s">
        <v>28</v>
      </c>
      <c r="R874" t="s">
        <v>28</v>
      </c>
      <c r="S874" t="s">
        <v>28</v>
      </c>
      <c r="T874" t="s">
        <v>28</v>
      </c>
      <c r="U874" t="s">
        <v>28</v>
      </c>
      <c r="V874" t="s">
        <v>28</v>
      </c>
      <c r="W874" s="16" t="s">
        <v>5629</v>
      </c>
      <c r="X874" t="s">
        <v>5624</v>
      </c>
    </row>
    <row r="875" spans="1:24" x14ac:dyDescent="0.55000000000000004">
      <c r="A875" t="s">
        <v>3652</v>
      </c>
      <c r="B875" t="s">
        <v>3653</v>
      </c>
      <c r="C875">
        <v>2003</v>
      </c>
      <c r="D875" t="s">
        <v>3654</v>
      </c>
      <c r="E875">
        <v>10</v>
      </c>
      <c r="F875">
        <v>3</v>
      </c>
      <c r="H875">
        <v>91</v>
      </c>
      <c r="I875">
        <v>98</v>
      </c>
      <c r="K875" s="2" t="s">
        <v>3655</v>
      </c>
      <c r="L875" s="2" t="s">
        <v>3656</v>
      </c>
      <c r="M875" t="s">
        <v>5215</v>
      </c>
      <c r="O875" t="s">
        <v>26</v>
      </c>
      <c r="P875" t="s">
        <v>27</v>
      </c>
      <c r="Q875" t="s">
        <v>28</v>
      </c>
      <c r="R875" t="s">
        <v>28</v>
      </c>
      <c r="S875" t="s">
        <v>28</v>
      </c>
      <c r="T875" t="s">
        <v>28</v>
      </c>
      <c r="U875" t="s">
        <v>28</v>
      </c>
      <c r="V875" t="s">
        <v>28</v>
      </c>
      <c r="W875" s="16" t="s">
        <v>5629</v>
      </c>
      <c r="X875" t="s">
        <v>5624</v>
      </c>
    </row>
    <row r="876" spans="1:24" x14ac:dyDescent="0.55000000000000004">
      <c r="A876" t="s">
        <v>5216</v>
      </c>
      <c r="B876" t="s">
        <v>3657</v>
      </c>
      <c r="C876">
        <v>2003</v>
      </c>
      <c r="D876" t="s">
        <v>2000</v>
      </c>
      <c r="E876">
        <v>73</v>
      </c>
      <c r="F876">
        <v>4</v>
      </c>
      <c r="H876">
        <v>643</v>
      </c>
      <c r="I876">
        <v>662</v>
      </c>
      <c r="K876" s="2" t="s">
        <v>3658</v>
      </c>
      <c r="L876" s="2" t="s">
        <v>3659</v>
      </c>
      <c r="M876" t="s">
        <v>5217</v>
      </c>
      <c r="N876" t="s">
        <v>3660</v>
      </c>
      <c r="O876" t="s">
        <v>26</v>
      </c>
      <c r="P876" t="s">
        <v>27</v>
      </c>
      <c r="Q876" t="s">
        <v>28</v>
      </c>
      <c r="R876" t="s">
        <v>28</v>
      </c>
      <c r="S876" t="s">
        <v>28</v>
      </c>
      <c r="T876" t="s">
        <v>28</v>
      </c>
      <c r="U876" t="s">
        <v>28</v>
      </c>
      <c r="V876" t="s">
        <v>28</v>
      </c>
      <c r="W876" s="16" t="s">
        <v>5629</v>
      </c>
      <c r="X876" t="s">
        <v>5624</v>
      </c>
    </row>
    <row r="877" spans="1:24" x14ac:dyDescent="0.55000000000000004">
      <c r="A877" t="s">
        <v>3661</v>
      </c>
      <c r="B877" t="s">
        <v>3662</v>
      </c>
      <c r="C877">
        <v>2002</v>
      </c>
      <c r="D877" t="s">
        <v>923</v>
      </c>
      <c r="E877">
        <v>131</v>
      </c>
      <c r="F877">
        <v>4</v>
      </c>
      <c r="H877">
        <v>542</v>
      </c>
      <c r="I877">
        <v>548</v>
      </c>
      <c r="K877" s="2" t="s">
        <v>3663</v>
      </c>
      <c r="L877" s="2" t="s">
        <v>3664</v>
      </c>
      <c r="M877" t="s">
        <v>3665</v>
      </c>
      <c r="N877" t="s">
        <v>3666</v>
      </c>
      <c r="O877" t="s">
        <v>26</v>
      </c>
      <c r="P877" t="s">
        <v>27</v>
      </c>
      <c r="Q877" t="s">
        <v>28</v>
      </c>
      <c r="R877" t="s">
        <v>28</v>
      </c>
      <c r="S877" t="s">
        <v>28</v>
      </c>
      <c r="T877" t="s">
        <v>28</v>
      </c>
      <c r="U877" t="s">
        <v>28</v>
      </c>
      <c r="V877" t="s">
        <v>28</v>
      </c>
      <c r="W877" s="16" t="s">
        <v>5629</v>
      </c>
      <c r="X877" t="s">
        <v>5624</v>
      </c>
    </row>
    <row r="878" spans="1:24" x14ac:dyDescent="0.55000000000000004">
      <c r="A878" t="s">
        <v>3667</v>
      </c>
      <c r="B878" t="s">
        <v>3668</v>
      </c>
      <c r="C878">
        <v>2002</v>
      </c>
      <c r="D878" t="s">
        <v>923</v>
      </c>
      <c r="E878">
        <v>130</v>
      </c>
      <c r="F878">
        <v>4</v>
      </c>
      <c r="H878">
        <v>609</v>
      </c>
      <c r="I878">
        <v>616</v>
      </c>
      <c r="K878" s="2" t="s">
        <v>3669</v>
      </c>
      <c r="L878" s="2" t="s">
        <v>3670</v>
      </c>
      <c r="M878" t="s">
        <v>5218</v>
      </c>
      <c r="N878" t="s">
        <v>3671</v>
      </c>
      <c r="O878" t="s">
        <v>26</v>
      </c>
      <c r="P878" t="s">
        <v>27</v>
      </c>
      <c r="Q878" t="s">
        <v>28</v>
      </c>
      <c r="R878" t="s">
        <v>28</v>
      </c>
      <c r="S878" t="s">
        <v>28</v>
      </c>
      <c r="T878" t="s">
        <v>28</v>
      </c>
      <c r="U878" t="s">
        <v>28</v>
      </c>
      <c r="V878" t="s">
        <v>28</v>
      </c>
      <c r="W878" s="16" t="s">
        <v>5629</v>
      </c>
      <c r="X878" t="s">
        <v>5624</v>
      </c>
    </row>
    <row r="879" spans="1:24" x14ac:dyDescent="0.55000000000000004">
      <c r="A879" t="s">
        <v>5219</v>
      </c>
      <c r="B879" t="s">
        <v>3672</v>
      </c>
      <c r="C879">
        <v>2002</v>
      </c>
      <c r="D879" t="s">
        <v>923</v>
      </c>
      <c r="E879">
        <v>132</v>
      </c>
      <c r="F879">
        <v>2</v>
      </c>
      <c r="H879">
        <v>181</v>
      </c>
      <c r="I879">
        <v>187</v>
      </c>
      <c r="K879" s="2" t="s">
        <v>3673</v>
      </c>
      <c r="L879" s="2" t="s">
        <v>3674</v>
      </c>
      <c r="M879" t="s">
        <v>3675</v>
      </c>
      <c r="N879" t="s">
        <v>3676</v>
      </c>
      <c r="O879" t="s">
        <v>26</v>
      </c>
      <c r="P879" t="s">
        <v>27</v>
      </c>
      <c r="Q879" t="s">
        <v>43</v>
      </c>
      <c r="R879" t="s">
        <v>28</v>
      </c>
      <c r="S879" t="s">
        <v>43</v>
      </c>
      <c r="T879" t="s">
        <v>28</v>
      </c>
      <c r="U879" t="s">
        <v>28</v>
      </c>
      <c r="V879" t="s">
        <v>28</v>
      </c>
      <c r="W879" s="16" t="s">
        <v>5629</v>
      </c>
      <c r="X879" t="s">
        <v>5624</v>
      </c>
    </row>
    <row r="880" spans="1:24" x14ac:dyDescent="0.55000000000000004">
      <c r="A880" t="s">
        <v>3683</v>
      </c>
      <c r="B880" t="s">
        <v>3684</v>
      </c>
      <c r="C880">
        <v>2002</v>
      </c>
      <c r="D880" t="s">
        <v>3685</v>
      </c>
      <c r="E880">
        <v>216</v>
      </c>
      <c r="F880">
        <v>2</v>
      </c>
      <c r="H880">
        <v>145</v>
      </c>
      <c r="I880">
        <v>149</v>
      </c>
      <c r="K880" s="2" t="s">
        <v>3686</v>
      </c>
      <c r="L880" s="2" t="s">
        <v>3687</v>
      </c>
      <c r="M880" t="s">
        <v>5220</v>
      </c>
      <c r="N880" t="s">
        <v>3688</v>
      </c>
      <c r="O880" t="s">
        <v>26</v>
      </c>
      <c r="P880" t="s">
        <v>27</v>
      </c>
      <c r="Q880" t="s">
        <v>28</v>
      </c>
      <c r="R880" t="s">
        <v>28</v>
      </c>
      <c r="S880" t="s">
        <v>28</v>
      </c>
      <c r="T880" t="s">
        <v>28</v>
      </c>
      <c r="U880" t="s">
        <v>28</v>
      </c>
      <c r="V880" t="s">
        <v>28</v>
      </c>
      <c r="W880" s="16" t="s">
        <v>5629</v>
      </c>
      <c r="X880" t="s">
        <v>5624</v>
      </c>
    </row>
    <row r="881" spans="1:50" x14ac:dyDescent="0.55000000000000004">
      <c r="A881" t="s">
        <v>3689</v>
      </c>
      <c r="B881" t="s">
        <v>3690</v>
      </c>
      <c r="C881">
        <v>2002</v>
      </c>
      <c r="D881" t="s">
        <v>2637</v>
      </c>
      <c r="E881">
        <v>130</v>
      </c>
      <c r="F881">
        <v>3</v>
      </c>
      <c r="H881">
        <v>1162</v>
      </c>
      <c r="I881">
        <v>1171</v>
      </c>
      <c r="K881" s="2" t="s">
        <v>3691</v>
      </c>
      <c r="L881" s="2" t="s">
        <v>3692</v>
      </c>
      <c r="M881" t="s">
        <v>5221</v>
      </c>
      <c r="O881" t="s">
        <v>26</v>
      </c>
      <c r="P881" t="s">
        <v>27</v>
      </c>
      <c r="Q881" t="s">
        <v>43</v>
      </c>
      <c r="R881" t="s">
        <v>28</v>
      </c>
      <c r="S881" t="s">
        <v>28</v>
      </c>
      <c r="T881" t="s">
        <v>28</v>
      </c>
      <c r="U881" t="s">
        <v>28</v>
      </c>
      <c r="V881" t="s">
        <v>28</v>
      </c>
      <c r="W881" s="16" t="s">
        <v>5629</v>
      </c>
      <c r="X881" t="s">
        <v>5624</v>
      </c>
    </row>
    <row r="882" spans="1:50" x14ac:dyDescent="0.55000000000000004">
      <c r="A882" t="s">
        <v>3698</v>
      </c>
      <c r="B882" t="s">
        <v>3699</v>
      </c>
      <c r="C882">
        <v>2002</v>
      </c>
      <c r="D882" t="s">
        <v>68</v>
      </c>
      <c r="E882">
        <v>156</v>
      </c>
      <c r="F882">
        <v>1</v>
      </c>
      <c r="H882">
        <v>129</v>
      </c>
      <c r="I882">
        <v>136</v>
      </c>
      <c r="K882" s="2" t="s">
        <v>3700</v>
      </c>
      <c r="L882" s="2" t="s">
        <v>3701</v>
      </c>
      <c r="M882" t="s">
        <v>5223</v>
      </c>
      <c r="N882" t="s">
        <v>3702</v>
      </c>
      <c r="O882" t="s">
        <v>26</v>
      </c>
      <c r="P882" t="s">
        <v>27</v>
      </c>
      <c r="Q882" t="s">
        <v>43</v>
      </c>
      <c r="R882" t="s">
        <v>28</v>
      </c>
      <c r="S882" t="s">
        <v>28</v>
      </c>
      <c r="T882" t="s">
        <v>28</v>
      </c>
      <c r="U882" t="s">
        <v>28</v>
      </c>
      <c r="V882" t="s">
        <v>28</v>
      </c>
      <c r="W882" s="16" t="s">
        <v>5629</v>
      </c>
      <c r="X882" t="s">
        <v>5624</v>
      </c>
    </row>
    <row r="883" spans="1:50" x14ac:dyDescent="0.55000000000000004">
      <c r="A883" t="s">
        <v>3703</v>
      </c>
      <c r="B883" t="s">
        <v>3704</v>
      </c>
      <c r="C883">
        <v>2002</v>
      </c>
      <c r="D883" t="s">
        <v>159</v>
      </c>
      <c r="E883">
        <v>109</v>
      </c>
      <c r="F883" s="4">
        <v>44563</v>
      </c>
      <c r="H883">
        <v>85</v>
      </c>
      <c r="I883">
        <v>102</v>
      </c>
      <c r="K883" s="2" t="s">
        <v>3705</v>
      </c>
      <c r="L883" s="2" t="s">
        <v>3706</v>
      </c>
      <c r="M883" t="s">
        <v>5224</v>
      </c>
      <c r="N883" t="s">
        <v>3707</v>
      </c>
      <c r="O883" t="s">
        <v>26</v>
      </c>
      <c r="P883" t="s">
        <v>27</v>
      </c>
      <c r="Q883" t="s">
        <v>28</v>
      </c>
      <c r="R883" t="s">
        <v>28</v>
      </c>
      <c r="S883" t="s">
        <v>28</v>
      </c>
      <c r="T883" t="s">
        <v>28</v>
      </c>
      <c r="U883" t="s">
        <v>28</v>
      </c>
      <c r="V883" t="s">
        <v>28</v>
      </c>
      <c r="W883" s="16" t="s">
        <v>5629</v>
      </c>
      <c r="X883" t="s">
        <v>5624</v>
      </c>
    </row>
    <row r="884" spans="1:50" x14ac:dyDescent="0.55000000000000004">
      <c r="A884" t="s">
        <v>3708</v>
      </c>
      <c r="B884" t="s">
        <v>3709</v>
      </c>
      <c r="C884">
        <v>2002</v>
      </c>
      <c r="D884" t="s">
        <v>306</v>
      </c>
      <c r="E884">
        <v>5</v>
      </c>
      <c r="F884">
        <v>5</v>
      </c>
      <c r="H884">
        <v>487</v>
      </c>
      <c r="I884">
        <v>499</v>
      </c>
      <c r="K884" s="2" t="s">
        <v>3710</v>
      </c>
      <c r="L884" s="2" t="s">
        <v>3711</v>
      </c>
      <c r="M884" t="s">
        <v>3712</v>
      </c>
      <c r="N884" t="s">
        <v>3713</v>
      </c>
      <c r="O884" t="s">
        <v>26</v>
      </c>
      <c r="P884" t="s">
        <v>27</v>
      </c>
      <c r="Q884" t="s">
        <v>28</v>
      </c>
      <c r="R884" t="s">
        <v>28</v>
      </c>
      <c r="S884" t="s">
        <v>28</v>
      </c>
      <c r="T884" t="s">
        <v>28</v>
      </c>
      <c r="U884" t="s">
        <v>28</v>
      </c>
      <c r="V884" t="s">
        <v>28</v>
      </c>
      <c r="W884" s="16" t="s">
        <v>5629</v>
      </c>
      <c r="X884" t="s">
        <v>5624</v>
      </c>
    </row>
    <row r="885" spans="1:50" x14ac:dyDescent="0.55000000000000004">
      <c r="A885" t="s">
        <v>3714</v>
      </c>
      <c r="B885" t="s">
        <v>3715</v>
      </c>
      <c r="C885">
        <v>2002</v>
      </c>
      <c r="D885" t="s">
        <v>3716</v>
      </c>
      <c r="E885">
        <v>97</v>
      </c>
      <c r="F885">
        <v>1</v>
      </c>
      <c r="H885">
        <v>52</v>
      </c>
      <c r="I885">
        <v>58</v>
      </c>
      <c r="K885" s="2" t="s">
        <v>3717</v>
      </c>
      <c r="L885" s="2" t="s">
        <v>3718</v>
      </c>
      <c r="M885" t="s">
        <v>3719</v>
      </c>
      <c r="O885" t="s">
        <v>26</v>
      </c>
      <c r="P885" t="s">
        <v>27</v>
      </c>
      <c r="Q885" t="s">
        <v>43</v>
      </c>
      <c r="R885" t="s">
        <v>28</v>
      </c>
      <c r="S885" t="s">
        <v>43</v>
      </c>
      <c r="T885" t="s">
        <v>28</v>
      </c>
      <c r="U885" t="s">
        <v>43</v>
      </c>
      <c r="V885" t="s">
        <v>28</v>
      </c>
      <c r="W885" s="16" t="s">
        <v>5629</v>
      </c>
      <c r="X885" t="s">
        <v>5624</v>
      </c>
    </row>
    <row r="886" spans="1:50" x14ac:dyDescent="0.55000000000000004">
      <c r="A886" t="s">
        <v>3720</v>
      </c>
      <c r="B886" t="s">
        <v>3721</v>
      </c>
      <c r="C886">
        <v>2002</v>
      </c>
      <c r="D886" t="s">
        <v>68</v>
      </c>
      <c r="E886">
        <v>154</v>
      </c>
      <c r="F886">
        <v>2</v>
      </c>
      <c r="H886">
        <v>305</v>
      </c>
      <c r="I886">
        <v>326</v>
      </c>
      <c r="K886" s="2" t="s">
        <v>3722</v>
      </c>
      <c r="L886" s="2" t="s">
        <v>3723</v>
      </c>
      <c r="M886" t="s">
        <v>3724</v>
      </c>
      <c r="N886" t="s">
        <v>3725</v>
      </c>
      <c r="O886" t="s">
        <v>143</v>
      </c>
      <c r="P886" t="s">
        <v>27</v>
      </c>
      <c r="Q886" t="s">
        <v>43</v>
      </c>
      <c r="R886" t="s">
        <v>28</v>
      </c>
      <c r="S886" t="s">
        <v>28</v>
      </c>
      <c r="T886" t="s">
        <v>28</v>
      </c>
      <c r="U886" t="s">
        <v>28</v>
      </c>
      <c r="V886" t="s">
        <v>28</v>
      </c>
      <c r="W886" s="16" t="s">
        <v>5629</v>
      </c>
      <c r="X886" t="s">
        <v>5624</v>
      </c>
    </row>
    <row r="887" spans="1:50" x14ac:dyDescent="0.55000000000000004">
      <c r="A887" t="s">
        <v>3726</v>
      </c>
      <c r="B887" t="s">
        <v>3727</v>
      </c>
      <c r="C887">
        <v>2002</v>
      </c>
      <c r="D887" t="s">
        <v>3728</v>
      </c>
      <c r="E887">
        <v>15</v>
      </c>
      <c r="F887">
        <v>1</v>
      </c>
      <c r="H887">
        <v>73</v>
      </c>
      <c r="I887">
        <v>77</v>
      </c>
      <c r="K887" s="2" t="s">
        <v>3729</v>
      </c>
      <c r="L887" s="2" t="s">
        <v>3730</v>
      </c>
      <c r="M887" t="s">
        <v>3731</v>
      </c>
      <c r="N887" t="s">
        <v>3732</v>
      </c>
      <c r="O887" t="s">
        <v>26</v>
      </c>
      <c r="P887" t="s">
        <v>27</v>
      </c>
      <c r="Q887" t="s">
        <v>28</v>
      </c>
      <c r="R887" t="s">
        <v>28</v>
      </c>
      <c r="S887" t="s">
        <v>28</v>
      </c>
      <c r="T887" t="s">
        <v>28</v>
      </c>
      <c r="U887" t="s">
        <v>28</v>
      </c>
      <c r="V887" t="s">
        <v>28</v>
      </c>
      <c r="W887" s="16" t="s">
        <v>5629</v>
      </c>
      <c r="X887" t="s">
        <v>5624</v>
      </c>
    </row>
    <row r="888" spans="1:50" x14ac:dyDescent="0.55000000000000004">
      <c r="A888" t="s">
        <v>3733</v>
      </c>
      <c r="B888" t="s">
        <v>3734</v>
      </c>
      <c r="C888">
        <v>2002</v>
      </c>
      <c r="D888" t="s">
        <v>2637</v>
      </c>
      <c r="E888">
        <v>128</v>
      </c>
      <c r="F888">
        <v>1</v>
      </c>
      <c r="H888">
        <v>108</v>
      </c>
      <c r="I888">
        <v>124</v>
      </c>
      <c r="K888" s="2" t="s">
        <v>3735</v>
      </c>
      <c r="L888" s="2" t="s">
        <v>3736</v>
      </c>
      <c r="M888" t="s">
        <v>3737</v>
      </c>
      <c r="O888" t="s">
        <v>26</v>
      </c>
      <c r="P888" t="s">
        <v>27</v>
      </c>
      <c r="Q888" t="s">
        <v>28</v>
      </c>
      <c r="R888" t="s">
        <v>28</v>
      </c>
      <c r="S888" t="s">
        <v>28</v>
      </c>
      <c r="T888" t="s">
        <v>28</v>
      </c>
      <c r="U888" t="s">
        <v>28</v>
      </c>
      <c r="V888" t="s">
        <v>28</v>
      </c>
      <c r="W888" s="16" t="s">
        <v>5629</v>
      </c>
      <c r="X888" t="s">
        <v>5624</v>
      </c>
    </row>
    <row r="889" spans="1:50" x14ac:dyDescent="0.55000000000000004">
      <c r="A889" t="s">
        <v>3738</v>
      </c>
      <c r="B889" t="s">
        <v>3739</v>
      </c>
      <c r="C889">
        <v>2002</v>
      </c>
      <c r="D889" t="s">
        <v>3237</v>
      </c>
      <c r="E889">
        <v>94</v>
      </c>
      <c r="F889">
        <v>2</v>
      </c>
      <c r="H889">
        <v>190</v>
      </c>
      <c r="I889">
        <v>199</v>
      </c>
      <c r="K889" s="2" t="s">
        <v>3740</v>
      </c>
      <c r="L889" s="2" t="s">
        <v>3741</v>
      </c>
      <c r="M889" t="s">
        <v>3742</v>
      </c>
      <c r="N889" t="s">
        <v>3743</v>
      </c>
      <c r="O889" t="s">
        <v>26</v>
      </c>
      <c r="P889" t="s">
        <v>27</v>
      </c>
      <c r="Q889" t="s">
        <v>28</v>
      </c>
      <c r="R889" t="s">
        <v>28</v>
      </c>
      <c r="S889" t="s">
        <v>28</v>
      </c>
      <c r="T889" t="s">
        <v>28</v>
      </c>
      <c r="U889" t="s">
        <v>28</v>
      </c>
      <c r="V889" t="s">
        <v>28</v>
      </c>
      <c r="W889" s="16" t="s">
        <v>5629</v>
      </c>
      <c r="X889" t="s">
        <v>5624</v>
      </c>
    </row>
    <row r="890" spans="1:50" x14ac:dyDescent="0.55000000000000004">
      <c r="A890" t="s">
        <v>3744</v>
      </c>
      <c r="B890" t="s">
        <v>3745</v>
      </c>
      <c r="C890">
        <v>2002</v>
      </c>
      <c r="D890" t="s">
        <v>68</v>
      </c>
      <c r="E890">
        <v>153</v>
      </c>
      <c r="F890">
        <v>2</v>
      </c>
      <c r="H890">
        <v>327</v>
      </c>
      <c r="I890">
        <v>334</v>
      </c>
      <c r="K890" s="2" t="s">
        <v>3746</v>
      </c>
      <c r="L890" s="2" t="s">
        <v>3747</v>
      </c>
      <c r="M890" t="s">
        <v>5225</v>
      </c>
      <c r="N890" t="s">
        <v>3748</v>
      </c>
      <c r="O890" t="s">
        <v>26</v>
      </c>
      <c r="P890" t="s">
        <v>27</v>
      </c>
      <c r="Q890" t="s">
        <v>43</v>
      </c>
      <c r="R890" t="s">
        <v>43</v>
      </c>
      <c r="S890" t="s">
        <v>28</v>
      </c>
      <c r="T890" t="s">
        <v>28</v>
      </c>
      <c r="U890" t="s">
        <v>28</v>
      </c>
      <c r="V890" t="s">
        <v>28</v>
      </c>
      <c r="W890" s="16" t="s">
        <v>5629</v>
      </c>
      <c r="X890" t="s">
        <v>5624</v>
      </c>
      <c r="Y890" t="s">
        <v>4498</v>
      </c>
      <c r="Z890" t="s">
        <v>4385</v>
      </c>
      <c r="AA890" t="s">
        <v>4360</v>
      </c>
      <c r="AB890" t="s">
        <v>5671</v>
      </c>
      <c r="AC890" t="s">
        <v>5637</v>
      </c>
      <c r="AF890" t="s">
        <v>5710</v>
      </c>
      <c r="AG890" t="s">
        <v>4419</v>
      </c>
      <c r="AH890" t="s">
        <v>4420</v>
      </c>
      <c r="AI890" t="s">
        <v>4357</v>
      </c>
      <c r="AJ890">
        <v>3.5</v>
      </c>
      <c r="AK890">
        <v>24</v>
      </c>
      <c r="AL890" t="s">
        <v>5408</v>
      </c>
      <c r="AM890" t="s">
        <v>4355</v>
      </c>
      <c r="AO890">
        <v>12</v>
      </c>
      <c r="AP890">
        <v>55.474041</v>
      </c>
      <c r="AQ890">
        <v>-2.2311130000000001</v>
      </c>
      <c r="AT890">
        <f>AVERAGE(20,18)</f>
        <v>19</v>
      </c>
      <c r="AV890" s="19">
        <v>3.9</v>
      </c>
      <c r="AW890">
        <v>1.8</v>
      </c>
      <c r="AX890" t="s">
        <v>5672</v>
      </c>
    </row>
    <row r="891" spans="1:50" x14ac:dyDescent="0.55000000000000004">
      <c r="A891" t="s">
        <v>3749</v>
      </c>
      <c r="B891" t="s">
        <v>3750</v>
      </c>
      <c r="C891">
        <v>2001</v>
      </c>
      <c r="D891" t="s">
        <v>3751</v>
      </c>
      <c r="E891">
        <v>56</v>
      </c>
      <c r="F891" s="4">
        <v>44565</v>
      </c>
      <c r="H891">
        <v>1</v>
      </c>
      <c r="I891">
        <v>159</v>
      </c>
      <c r="K891" s="2" t="s">
        <v>3752</v>
      </c>
      <c r="L891" s="2" t="s">
        <v>3753</v>
      </c>
      <c r="M891" t="s">
        <v>5227</v>
      </c>
      <c r="N891" t="s">
        <v>3754</v>
      </c>
      <c r="O891" t="s">
        <v>26</v>
      </c>
      <c r="P891" t="s">
        <v>27</v>
      </c>
      <c r="Q891" t="s">
        <v>28</v>
      </c>
      <c r="R891" t="s">
        <v>28</v>
      </c>
      <c r="S891" t="s">
        <v>28</v>
      </c>
      <c r="T891" t="s">
        <v>28</v>
      </c>
      <c r="U891" t="s">
        <v>28</v>
      </c>
      <c r="V891" t="s">
        <v>28</v>
      </c>
      <c r="W891" s="16" t="s">
        <v>5629</v>
      </c>
      <c r="X891" t="s">
        <v>5624</v>
      </c>
    </row>
    <row r="892" spans="1:50" x14ac:dyDescent="0.55000000000000004">
      <c r="A892" t="s">
        <v>3755</v>
      </c>
      <c r="B892" t="s">
        <v>3756</v>
      </c>
      <c r="C892">
        <v>2001</v>
      </c>
      <c r="D892" t="s">
        <v>3757</v>
      </c>
      <c r="E892">
        <v>27</v>
      </c>
      <c r="F892">
        <v>4</v>
      </c>
      <c r="H892">
        <v>193</v>
      </c>
      <c r="I892">
        <v>202</v>
      </c>
      <c r="L892" s="2" t="s">
        <v>3758</v>
      </c>
      <c r="M892" t="s">
        <v>3759</v>
      </c>
      <c r="N892" t="s">
        <v>3760</v>
      </c>
      <c r="O892" t="s">
        <v>26</v>
      </c>
      <c r="P892" t="s">
        <v>27</v>
      </c>
      <c r="Q892" t="s">
        <v>28</v>
      </c>
      <c r="R892" t="s">
        <v>28</v>
      </c>
      <c r="S892" t="s">
        <v>28</v>
      </c>
      <c r="T892" t="s">
        <v>28</v>
      </c>
      <c r="U892" t="s">
        <v>28</v>
      </c>
      <c r="V892" t="s">
        <v>28</v>
      </c>
      <c r="W892" s="16" t="s">
        <v>5629</v>
      </c>
      <c r="X892" t="s">
        <v>5624</v>
      </c>
    </row>
    <row r="893" spans="1:50" x14ac:dyDescent="0.55000000000000004">
      <c r="A893" t="s">
        <v>3761</v>
      </c>
      <c r="B893" t="s">
        <v>3762</v>
      </c>
      <c r="C893">
        <v>2001</v>
      </c>
      <c r="D893" t="s">
        <v>513</v>
      </c>
      <c r="E893">
        <v>11</v>
      </c>
      <c r="F893">
        <v>5</v>
      </c>
      <c r="H893">
        <v>257</v>
      </c>
      <c r="I893">
        <v>261</v>
      </c>
      <c r="K893" s="2" t="s">
        <v>3763</v>
      </c>
      <c r="L893" s="2" t="s">
        <v>3764</v>
      </c>
      <c r="M893" t="s">
        <v>3765</v>
      </c>
      <c r="N893" t="s">
        <v>3766</v>
      </c>
      <c r="O893" t="s">
        <v>26</v>
      </c>
      <c r="P893" t="s">
        <v>27</v>
      </c>
      <c r="Q893" t="s">
        <v>28</v>
      </c>
      <c r="R893" t="s">
        <v>28</v>
      </c>
      <c r="S893" t="s">
        <v>28</v>
      </c>
      <c r="T893" t="s">
        <v>28</v>
      </c>
      <c r="U893" t="s">
        <v>28</v>
      </c>
      <c r="V893" t="s">
        <v>28</v>
      </c>
      <c r="W893" s="16" t="s">
        <v>5629</v>
      </c>
      <c r="X893" t="s">
        <v>5624</v>
      </c>
    </row>
    <row r="894" spans="1:50" x14ac:dyDescent="0.55000000000000004">
      <c r="A894" t="s">
        <v>5228</v>
      </c>
      <c r="B894" t="s">
        <v>3767</v>
      </c>
      <c r="C894">
        <v>2001</v>
      </c>
      <c r="D894" t="s">
        <v>3768</v>
      </c>
      <c r="E894">
        <v>113</v>
      </c>
      <c r="F894">
        <v>3</v>
      </c>
      <c r="H894">
        <v>352</v>
      </c>
      <c r="I894">
        <v>358</v>
      </c>
      <c r="K894" s="2" t="s">
        <v>3769</v>
      </c>
      <c r="L894" s="2" t="s">
        <v>3770</v>
      </c>
      <c r="M894" t="s">
        <v>5229</v>
      </c>
      <c r="O894" t="s">
        <v>26</v>
      </c>
      <c r="P894" t="s">
        <v>27</v>
      </c>
      <c r="Q894" t="s">
        <v>28</v>
      </c>
      <c r="R894" t="s">
        <v>28</v>
      </c>
      <c r="S894" t="s">
        <v>28</v>
      </c>
      <c r="T894" t="s">
        <v>28</v>
      </c>
      <c r="U894" t="s">
        <v>28</v>
      </c>
      <c r="V894" t="s">
        <v>28</v>
      </c>
      <c r="W894" s="16" t="s">
        <v>5629</v>
      </c>
      <c r="X894" t="s">
        <v>5624</v>
      </c>
    </row>
    <row r="895" spans="1:50" x14ac:dyDescent="0.55000000000000004">
      <c r="A895" t="s">
        <v>3771</v>
      </c>
      <c r="B895" t="s">
        <v>3772</v>
      </c>
      <c r="C895">
        <v>2001</v>
      </c>
      <c r="D895" t="s">
        <v>923</v>
      </c>
      <c r="E895">
        <v>128</v>
      </c>
      <c r="F895">
        <v>4</v>
      </c>
      <c r="H895">
        <v>480</v>
      </c>
      <c r="I895">
        <v>487</v>
      </c>
      <c r="K895" s="2" t="s">
        <v>3773</v>
      </c>
      <c r="L895" s="2" t="s">
        <v>3774</v>
      </c>
      <c r="M895" t="s">
        <v>5230</v>
      </c>
      <c r="N895" t="s">
        <v>3775</v>
      </c>
      <c r="O895" t="s">
        <v>26</v>
      </c>
      <c r="P895" t="s">
        <v>27</v>
      </c>
      <c r="Q895" t="s">
        <v>28</v>
      </c>
      <c r="R895" t="s">
        <v>28</v>
      </c>
      <c r="S895" t="s">
        <v>28</v>
      </c>
      <c r="T895" t="s">
        <v>28</v>
      </c>
      <c r="U895" t="s">
        <v>28</v>
      </c>
      <c r="V895" t="s">
        <v>28</v>
      </c>
      <c r="W895" s="16" t="s">
        <v>5629</v>
      </c>
      <c r="X895" t="s">
        <v>5624</v>
      </c>
    </row>
    <row r="896" spans="1:50" x14ac:dyDescent="0.55000000000000004">
      <c r="A896" t="s">
        <v>3570</v>
      </c>
      <c r="B896" t="s">
        <v>3776</v>
      </c>
      <c r="C896">
        <v>2001</v>
      </c>
      <c r="D896" t="s">
        <v>68</v>
      </c>
      <c r="E896">
        <v>151</v>
      </c>
      <c r="F896">
        <v>3</v>
      </c>
      <c r="H896">
        <v>725</v>
      </c>
      <c r="I896">
        <v>734</v>
      </c>
      <c r="K896" s="2" t="s">
        <v>3777</v>
      </c>
      <c r="L896" s="2" t="s">
        <v>3778</v>
      </c>
      <c r="M896" t="s">
        <v>5231</v>
      </c>
      <c r="N896" t="s">
        <v>3779</v>
      </c>
      <c r="O896" t="s">
        <v>26</v>
      </c>
      <c r="P896" t="s">
        <v>27</v>
      </c>
      <c r="Q896" t="s">
        <v>28</v>
      </c>
      <c r="R896" t="s">
        <v>28</v>
      </c>
      <c r="S896" t="s">
        <v>28</v>
      </c>
      <c r="T896" t="s">
        <v>28</v>
      </c>
      <c r="U896" t="s">
        <v>28</v>
      </c>
      <c r="V896" t="s">
        <v>28</v>
      </c>
      <c r="W896" s="16" t="s">
        <v>5629</v>
      </c>
      <c r="X896" t="s">
        <v>5624</v>
      </c>
    </row>
    <row r="897" spans="1:52" x14ac:dyDescent="0.55000000000000004">
      <c r="A897" t="s">
        <v>3780</v>
      </c>
      <c r="B897" t="s">
        <v>3781</v>
      </c>
      <c r="C897">
        <v>2001</v>
      </c>
      <c r="D897" t="s">
        <v>186</v>
      </c>
      <c r="E897">
        <v>233</v>
      </c>
      <c r="F897">
        <v>2</v>
      </c>
      <c r="H897">
        <v>167</v>
      </c>
      <c r="I897">
        <v>177</v>
      </c>
      <c r="K897" s="2" t="s">
        <v>3782</v>
      </c>
      <c r="L897" s="2" t="s">
        <v>3783</v>
      </c>
      <c r="M897" t="s">
        <v>3784</v>
      </c>
      <c r="N897" t="s">
        <v>3785</v>
      </c>
      <c r="O897" t="s">
        <v>26</v>
      </c>
      <c r="P897" t="s">
        <v>27</v>
      </c>
      <c r="Q897" t="s">
        <v>43</v>
      </c>
      <c r="R897" t="s">
        <v>28</v>
      </c>
      <c r="S897" t="s">
        <v>43</v>
      </c>
      <c r="T897" t="s">
        <v>28</v>
      </c>
      <c r="U897" t="s">
        <v>28</v>
      </c>
      <c r="V897" t="s">
        <v>28</v>
      </c>
      <c r="W897" s="16" t="s">
        <v>5629</v>
      </c>
      <c r="X897" t="s">
        <v>5624</v>
      </c>
      <c r="AZ897" s="20" t="s">
        <v>5700</v>
      </c>
    </row>
    <row r="898" spans="1:52" x14ac:dyDescent="0.55000000000000004">
      <c r="A898" t="s">
        <v>3786</v>
      </c>
      <c r="B898" t="s">
        <v>3787</v>
      </c>
      <c r="C898">
        <v>2001</v>
      </c>
      <c r="D898" t="s">
        <v>2584</v>
      </c>
      <c r="E898">
        <v>24</v>
      </c>
      <c r="F898">
        <v>4</v>
      </c>
      <c r="H898">
        <v>449</v>
      </c>
      <c r="I898">
        <v>457</v>
      </c>
      <c r="K898" s="2" t="s">
        <v>3788</v>
      </c>
      <c r="L898" s="2" t="s">
        <v>3789</v>
      </c>
      <c r="M898" t="s">
        <v>3790</v>
      </c>
      <c r="N898" t="s">
        <v>3791</v>
      </c>
      <c r="O898" t="s">
        <v>26</v>
      </c>
      <c r="P898" t="s">
        <v>27</v>
      </c>
      <c r="Q898" t="s">
        <v>28</v>
      </c>
      <c r="R898" t="s">
        <v>28</v>
      </c>
      <c r="S898" t="s">
        <v>28</v>
      </c>
      <c r="T898" t="s">
        <v>28</v>
      </c>
      <c r="U898" t="s">
        <v>28</v>
      </c>
      <c r="V898" t="s">
        <v>28</v>
      </c>
      <c r="W898" s="16" t="s">
        <v>5629</v>
      </c>
      <c r="X898" t="s">
        <v>5624</v>
      </c>
    </row>
    <row r="899" spans="1:52" x14ac:dyDescent="0.55000000000000004">
      <c r="A899" t="s">
        <v>3792</v>
      </c>
      <c r="B899" t="s">
        <v>3793</v>
      </c>
      <c r="C899">
        <v>2001</v>
      </c>
      <c r="D899" t="s">
        <v>513</v>
      </c>
      <c r="E899">
        <v>10</v>
      </c>
      <c r="F899">
        <v>6</v>
      </c>
      <c r="H899">
        <v>287</v>
      </c>
      <c r="I899">
        <v>293</v>
      </c>
      <c r="K899" s="2" t="s">
        <v>3794</v>
      </c>
      <c r="L899" s="2" t="s">
        <v>3795</v>
      </c>
      <c r="M899" t="s">
        <v>5232</v>
      </c>
      <c r="N899" t="s">
        <v>5233</v>
      </c>
      <c r="O899" t="s">
        <v>26</v>
      </c>
      <c r="P899" t="s">
        <v>27</v>
      </c>
      <c r="Q899" t="s">
        <v>28</v>
      </c>
      <c r="R899" t="s">
        <v>28</v>
      </c>
      <c r="S899" t="s">
        <v>28</v>
      </c>
      <c r="T899" t="s">
        <v>28</v>
      </c>
      <c r="U899" t="s">
        <v>28</v>
      </c>
      <c r="V899" t="s">
        <v>28</v>
      </c>
      <c r="W899" s="16" t="s">
        <v>5629</v>
      </c>
      <c r="X899" t="s">
        <v>5624</v>
      </c>
    </row>
    <row r="900" spans="1:52" x14ac:dyDescent="0.55000000000000004">
      <c r="A900" t="s">
        <v>3796</v>
      </c>
      <c r="B900" t="s">
        <v>3797</v>
      </c>
      <c r="C900">
        <v>2001</v>
      </c>
      <c r="D900" t="s">
        <v>433</v>
      </c>
      <c r="E900">
        <v>35</v>
      </c>
      <c r="F900">
        <v>2</v>
      </c>
      <c r="H900">
        <v>151</v>
      </c>
      <c r="I900">
        <v>161</v>
      </c>
      <c r="K900" s="2" t="s">
        <v>3798</v>
      </c>
      <c r="L900" s="2" t="s">
        <v>3799</v>
      </c>
      <c r="M900" t="s">
        <v>5234</v>
      </c>
      <c r="N900" t="s">
        <v>3800</v>
      </c>
      <c r="O900" t="s">
        <v>26</v>
      </c>
      <c r="P900" t="s">
        <v>27</v>
      </c>
      <c r="Q900" t="s">
        <v>28</v>
      </c>
      <c r="R900" t="s">
        <v>28</v>
      </c>
      <c r="S900" t="s">
        <v>28</v>
      </c>
      <c r="T900" t="s">
        <v>28</v>
      </c>
      <c r="U900" t="s">
        <v>28</v>
      </c>
      <c r="V900" t="s">
        <v>28</v>
      </c>
      <c r="W900" s="16" t="s">
        <v>5629</v>
      </c>
      <c r="X900" t="s">
        <v>5624</v>
      </c>
    </row>
    <row r="901" spans="1:52" x14ac:dyDescent="0.55000000000000004">
      <c r="A901" t="s">
        <v>3805</v>
      </c>
      <c r="B901" t="s">
        <v>3806</v>
      </c>
      <c r="C901">
        <v>2001</v>
      </c>
      <c r="D901" t="s">
        <v>3807</v>
      </c>
      <c r="E901">
        <v>36</v>
      </c>
      <c r="F901">
        <v>12</v>
      </c>
      <c r="H901">
        <v>1357</v>
      </c>
      <c r="I901">
        <v>1363</v>
      </c>
      <c r="K901" s="2" t="s">
        <v>3808</v>
      </c>
      <c r="L901" s="2" t="s">
        <v>3809</v>
      </c>
      <c r="M901" t="s">
        <v>3810</v>
      </c>
      <c r="O901" t="s">
        <v>26</v>
      </c>
      <c r="P901" t="s">
        <v>27</v>
      </c>
      <c r="Q901" t="s">
        <v>28</v>
      </c>
      <c r="R901" t="s">
        <v>28</v>
      </c>
      <c r="S901" t="s">
        <v>28</v>
      </c>
      <c r="T901" t="s">
        <v>28</v>
      </c>
      <c r="U901" t="s">
        <v>28</v>
      </c>
      <c r="V901" t="s">
        <v>28</v>
      </c>
      <c r="W901" s="16" t="s">
        <v>5629</v>
      </c>
      <c r="X901" t="s">
        <v>5624</v>
      </c>
    </row>
    <row r="902" spans="1:52" x14ac:dyDescent="0.55000000000000004">
      <c r="A902" t="s">
        <v>5236</v>
      </c>
      <c r="B902" t="s">
        <v>3811</v>
      </c>
      <c r="C902">
        <v>2001</v>
      </c>
      <c r="D902" t="s">
        <v>152</v>
      </c>
      <c r="E902">
        <v>21</v>
      </c>
      <c r="F902">
        <v>18</v>
      </c>
      <c r="H902">
        <v>1319</v>
      </c>
      <c r="I902">
        <v>1326</v>
      </c>
      <c r="K902" s="2" t="s">
        <v>3812</v>
      </c>
      <c r="L902" s="2" t="s">
        <v>3813</v>
      </c>
      <c r="M902" t="s">
        <v>3814</v>
      </c>
      <c r="N902" t="s">
        <v>3815</v>
      </c>
      <c r="O902" t="s">
        <v>26</v>
      </c>
      <c r="P902" t="s">
        <v>27</v>
      </c>
      <c r="Q902" t="s">
        <v>28</v>
      </c>
      <c r="R902" t="s">
        <v>28</v>
      </c>
      <c r="S902" t="s">
        <v>28</v>
      </c>
      <c r="T902" t="s">
        <v>28</v>
      </c>
      <c r="U902" t="s">
        <v>28</v>
      </c>
      <c r="V902" t="s">
        <v>28</v>
      </c>
      <c r="W902" s="16" t="s">
        <v>5629</v>
      </c>
      <c r="X902" t="s">
        <v>5624</v>
      </c>
    </row>
    <row r="903" spans="1:52" x14ac:dyDescent="0.55000000000000004">
      <c r="A903" t="s">
        <v>3816</v>
      </c>
      <c r="B903" t="s">
        <v>3817</v>
      </c>
      <c r="C903">
        <v>2001</v>
      </c>
      <c r="D903" t="s">
        <v>1624</v>
      </c>
      <c r="E903">
        <v>3</v>
      </c>
      <c r="F903">
        <v>2</v>
      </c>
      <c r="H903">
        <v>221</v>
      </c>
      <c r="I903">
        <v>241</v>
      </c>
      <c r="K903" s="2" t="s">
        <v>3818</v>
      </c>
      <c r="L903" s="2" t="s">
        <v>3819</v>
      </c>
      <c r="M903" t="s">
        <v>5237</v>
      </c>
      <c r="N903" t="s">
        <v>3820</v>
      </c>
      <c r="O903" t="s">
        <v>26</v>
      </c>
      <c r="P903" t="s">
        <v>27</v>
      </c>
      <c r="Q903" t="s">
        <v>28</v>
      </c>
      <c r="R903" t="s">
        <v>28</v>
      </c>
      <c r="S903" t="s">
        <v>28</v>
      </c>
      <c r="T903" t="s">
        <v>28</v>
      </c>
      <c r="U903" t="s">
        <v>28</v>
      </c>
      <c r="V903" t="s">
        <v>28</v>
      </c>
      <c r="W903" s="16" t="s">
        <v>5629</v>
      </c>
      <c r="X903" t="s">
        <v>5624</v>
      </c>
    </row>
    <row r="904" spans="1:52" x14ac:dyDescent="0.55000000000000004">
      <c r="A904" t="s">
        <v>3816</v>
      </c>
      <c r="B904" t="s">
        <v>3821</v>
      </c>
      <c r="C904">
        <v>2001</v>
      </c>
      <c r="D904" t="s">
        <v>1624</v>
      </c>
      <c r="E904">
        <v>3</v>
      </c>
      <c r="F904">
        <v>2</v>
      </c>
      <c r="H904">
        <v>203</v>
      </c>
      <c r="I904">
        <v>220</v>
      </c>
      <c r="K904" s="2" t="s">
        <v>3822</v>
      </c>
      <c r="L904" s="2" t="s">
        <v>3823</v>
      </c>
      <c r="M904" t="s">
        <v>5238</v>
      </c>
      <c r="N904" t="s">
        <v>5239</v>
      </c>
      <c r="O904" t="s">
        <v>26</v>
      </c>
      <c r="P904" t="s">
        <v>27</v>
      </c>
      <c r="Q904" t="s">
        <v>28</v>
      </c>
      <c r="R904" t="s">
        <v>28</v>
      </c>
      <c r="S904" t="s">
        <v>28</v>
      </c>
      <c r="T904" t="s">
        <v>28</v>
      </c>
      <c r="U904" t="s">
        <v>28</v>
      </c>
      <c r="V904" t="s">
        <v>28</v>
      </c>
      <c r="W904" s="16" t="s">
        <v>5629</v>
      </c>
      <c r="X904" t="s">
        <v>5624</v>
      </c>
    </row>
    <row r="905" spans="1:52" x14ac:dyDescent="0.55000000000000004">
      <c r="A905" t="s">
        <v>3824</v>
      </c>
      <c r="B905" t="s">
        <v>3825</v>
      </c>
      <c r="C905">
        <v>2001</v>
      </c>
      <c r="D905" t="s">
        <v>2637</v>
      </c>
      <c r="E905">
        <v>127</v>
      </c>
      <c r="F905">
        <v>3</v>
      </c>
      <c r="H905">
        <v>1287</v>
      </c>
      <c r="I905">
        <v>1298</v>
      </c>
      <c r="K905" s="2" t="s">
        <v>3826</v>
      </c>
      <c r="L905" s="2" t="s">
        <v>3827</v>
      </c>
      <c r="M905" t="s">
        <v>3828</v>
      </c>
      <c r="O905" t="s">
        <v>26</v>
      </c>
      <c r="P905" t="s">
        <v>27</v>
      </c>
      <c r="Q905" t="s">
        <v>28</v>
      </c>
      <c r="R905" t="s">
        <v>28</v>
      </c>
      <c r="S905" t="s">
        <v>28</v>
      </c>
      <c r="T905" t="s">
        <v>28</v>
      </c>
      <c r="U905" t="s">
        <v>28</v>
      </c>
      <c r="V905" t="s">
        <v>28</v>
      </c>
      <c r="W905" s="16" t="s">
        <v>5629</v>
      </c>
      <c r="X905" t="s">
        <v>5624</v>
      </c>
    </row>
    <row r="906" spans="1:52" x14ac:dyDescent="0.55000000000000004">
      <c r="A906" t="s">
        <v>3835</v>
      </c>
      <c r="B906" t="s">
        <v>3836</v>
      </c>
      <c r="C906">
        <v>2001</v>
      </c>
      <c r="D906" t="s">
        <v>3837</v>
      </c>
      <c r="E906">
        <v>324</v>
      </c>
      <c r="F906">
        <v>9</v>
      </c>
      <c r="H906">
        <v>847</v>
      </c>
      <c r="I906">
        <v>853</v>
      </c>
      <c r="K906" s="2" t="s">
        <v>3838</v>
      </c>
      <c r="L906" s="2" t="s">
        <v>3839</v>
      </c>
      <c r="M906" t="s">
        <v>5240</v>
      </c>
      <c r="N906" t="s">
        <v>3840</v>
      </c>
      <c r="O906" t="s">
        <v>26</v>
      </c>
      <c r="P906" t="s">
        <v>27</v>
      </c>
      <c r="Q906" t="s">
        <v>28</v>
      </c>
      <c r="R906" t="s">
        <v>28</v>
      </c>
      <c r="S906" t="s">
        <v>28</v>
      </c>
      <c r="T906" t="s">
        <v>28</v>
      </c>
      <c r="U906" t="s">
        <v>28</v>
      </c>
      <c r="V906" t="s">
        <v>28</v>
      </c>
      <c r="W906" s="16" t="s">
        <v>5629</v>
      </c>
      <c r="X906" t="s">
        <v>5624</v>
      </c>
    </row>
    <row r="907" spans="1:52" x14ac:dyDescent="0.55000000000000004">
      <c r="A907" t="s">
        <v>3841</v>
      </c>
      <c r="B907" t="s">
        <v>3842</v>
      </c>
      <c r="C907">
        <v>2001</v>
      </c>
      <c r="D907" t="s">
        <v>3150</v>
      </c>
      <c r="E907">
        <v>58</v>
      </c>
      <c r="F907">
        <v>4</v>
      </c>
      <c r="H907">
        <v>423</v>
      </c>
      <c r="I907">
        <v>430</v>
      </c>
      <c r="K907" s="2" t="s">
        <v>3843</v>
      </c>
      <c r="L907" s="2" t="s">
        <v>3844</v>
      </c>
      <c r="M907" t="s">
        <v>3845</v>
      </c>
      <c r="N907" t="s">
        <v>3846</v>
      </c>
      <c r="O907" t="s">
        <v>26</v>
      </c>
      <c r="P907" t="s">
        <v>27</v>
      </c>
      <c r="Q907" t="s">
        <v>28</v>
      </c>
      <c r="R907" t="s">
        <v>28</v>
      </c>
      <c r="S907" t="s">
        <v>28</v>
      </c>
      <c r="T907" t="s">
        <v>28</v>
      </c>
      <c r="U907" t="s">
        <v>28</v>
      </c>
      <c r="V907" t="s">
        <v>28</v>
      </c>
      <c r="W907" s="16" t="s">
        <v>5629</v>
      </c>
      <c r="X907" t="s">
        <v>5624</v>
      </c>
    </row>
    <row r="908" spans="1:52" x14ac:dyDescent="0.55000000000000004">
      <c r="A908" t="s">
        <v>3847</v>
      </c>
      <c r="B908" t="s">
        <v>3848</v>
      </c>
      <c r="C908">
        <v>2000</v>
      </c>
      <c r="D908" t="s">
        <v>186</v>
      </c>
      <c r="E908">
        <v>226</v>
      </c>
      <c r="F908">
        <v>2</v>
      </c>
      <c r="H908">
        <v>255</v>
      </c>
      <c r="I908">
        <v>261</v>
      </c>
      <c r="K908" s="2" t="s">
        <v>3849</v>
      </c>
      <c r="L908" s="2" t="s">
        <v>3850</v>
      </c>
      <c r="M908" t="s">
        <v>3851</v>
      </c>
      <c r="N908" t="s">
        <v>3852</v>
      </c>
      <c r="O908" t="s">
        <v>1248</v>
      </c>
      <c r="P908" t="s">
        <v>27</v>
      </c>
      <c r="Q908" t="s">
        <v>28</v>
      </c>
      <c r="R908" t="s">
        <v>28</v>
      </c>
      <c r="S908" t="s">
        <v>28</v>
      </c>
      <c r="T908" t="s">
        <v>28</v>
      </c>
      <c r="U908" t="s">
        <v>28</v>
      </c>
      <c r="V908" t="s">
        <v>28</v>
      </c>
      <c r="W908" s="16" t="s">
        <v>5629</v>
      </c>
      <c r="X908" t="s">
        <v>5624</v>
      </c>
    </row>
    <row r="909" spans="1:52" x14ac:dyDescent="0.55000000000000004">
      <c r="A909" t="s">
        <v>3853</v>
      </c>
      <c r="B909" t="s">
        <v>3854</v>
      </c>
      <c r="C909">
        <v>2000</v>
      </c>
      <c r="D909" t="s">
        <v>159</v>
      </c>
      <c r="E909">
        <v>97</v>
      </c>
      <c r="F909" s="4">
        <v>44563</v>
      </c>
      <c r="H909">
        <v>125</v>
      </c>
      <c r="I909">
        <v>133</v>
      </c>
      <c r="K909" s="2" t="s">
        <v>3855</v>
      </c>
      <c r="L909" s="2" t="s">
        <v>3856</v>
      </c>
      <c r="M909" t="s">
        <v>5241</v>
      </c>
      <c r="N909" t="s">
        <v>3857</v>
      </c>
      <c r="O909" t="s">
        <v>26</v>
      </c>
      <c r="P909" t="s">
        <v>27</v>
      </c>
      <c r="Q909" t="s">
        <v>28</v>
      </c>
      <c r="R909" t="s">
        <v>28</v>
      </c>
      <c r="S909" t="s">
        <v>28</v>
      </c>
      <c r="T909" t="s">
        <v>28</v>
      </c>
      <c r="U909" t="s">
        <v>28</v>
      </c>
      <c r="V909" t="s">
        <v>28</v>
      </c>
      <c r="W909" s="16" t="s">
        <v>5629</v>
      </c>
      <c r="X909" t="s">
        <v>5624</v>
      </c>
    </row>
    <row r="910" spans="1:52" x14ac:dyDescent="0.55000000000000004">
      <c r="A910" t="s">
        <v>5242</v>
      </c>
      <c r="B910" t="s">
        <v>5243</v>
      </c>
      <c r="C910">
        <v>2000</v>
      </c>
      <c r="D910" t="s">
        <v>3768</v>
      </c>
      <c r="E910">
        <v>109</v>
      </c>
      <c r="F910">
        <v>3</v>
      </c>
      <c r="H910">
        <v>268</v>
      </c>
      <c r="I910">
        <v>273</v>
      </c>
      <c r="K910" s="2" t="s">
        <v>3858</v>
      </c>
      <c r="L910" s="2" t="s">
        <v>3859</v>
      </c>
      <c r="M910" t="s">
        <v>5244</v>
      </c>
      <c r="O910" t="s">
        <v>26</v>
      </c>
      <c r="P910" t="s">
        <v>27</v>
      </c>
      <c r="Q910" t="s">
        <v>28</v>
      </c>
      <c r="R910" t="s">
        <v>28</v>
      </c>
      <c r="S910" t="s">
        <v>28</v>
      </c>
      <c r="T910" t="s">
        <v>28</v>
      </c>
      <c r="U910" t="s">
        <v>28</v>
      </c>
      <c r="V910" t="s">
        <v>28</v>
      </c>
      <c r="W910" s="16" t="s">
        <v>5629</v>
      </c>
      <c r="X910" t="s">
        <v>5624</v>
      </c>
    </row>
    <row r="911" spans="1:52" x14ac:dyDescent="0.55000000000000004">
      <c r="A911" t="s">
        <v>3860</v>
      </c>
      <c r="B911" t="s">
        <v>3861</v>
      </c>
      <c r="C911">
        <v>2000</v>
      </c>
      <c r="D911" t="s">
        <v>433</v>
      </c>
      <c r="E911">
        <v>33</v>
      </c>
      <c r="F911">
        <v>1</v>
      </c>
      <c r="H911">
        <v>61</v>
      </c>
      <c r="I911">
        <v>67</v>
      </c>
      <c r="K911" s="2" t="s">
        <v>3862</v>
      </c>
      <c r="L911" s="2" t="s">
        <v>3863</v>
      </c>
      <c r="M911" t="s">
        <v>5245</v>
      </c>
      <c r="N911" t="s">
        <v>3864</v>
      </c>
      <c r="O911" t="s">
        <v>26</v>
      </c>
      <c r="P911" t="s">
        <v>27</v>
      </c>
      <c r="Q911" t="s">
        <v>28</v>
      </c>
      <c r="R911" t="s">
        <v>28</v>
      </c>
      <c r="S911" t="s">
        <v>28</v>
      </c>
      <c r="T911" t="s">
        <v>28</v>
      </c>
      <c r="U911" t="s">
        <v>28</v>
      </c>
      <c r="V911" t="s">
        <v>28</v>
      </c>
      <c r="W911" s="16" t="s">
        <v>5629</v>
      </c>
      <c r="X911" t="s">
        <v>5624</v>
      </c>
    </row>
    <row r="912" spans="1:52" x14ac:dyDescent="0.55000000000000004">
      <c r="A912" t="s">
        <v>3865</v>
      </c>
      <c r="B912" t="s">
        <v>3866</v>
      </c>
      <c r="C912">
        <v>2000</v>
      </c>
      <c r="D912" t="s">
        <v>68</v>
      </c>
      <c r="E912">
        <v>147</v>
      </c>
      <c r="F912">
        <v>1</v>
      </c>
      <c r="H912">
        <v>189</v>
      </c>
      <c r="I912">
        <v>200</v>
      </c>
      <c r="K912" s="2" t="s">
        <v>3867</v>
      </c>
      <c r="L912" s="2" t="s">
        <v>3868</v>
      </c>
      <c r="M912" t="s">
        <v>3869</v>
      </c>
      <c r="N912" t="s">
        <v>3870</v>
      </c>
      <c r="O912" t="s">
        <v>143</v>
      </c>
      <c r="P912" t="s">
        <v>27</v>
      </c>
      <c r="Q912" t="s">
        <v>28</v>
      </c>
      <c r="R912" t="s">
        <v>28</v>
      </c>
      <c r="S912" t="s">
        <v>28</v>
      </c>
      <c r="T912" t="s">
        <v>28</v>
      </c>
      <c r="U912" t="s">
        <v>28</v>
      </c>
      <c r="V912" t="s">
        <v>28</v>
      </c>
      <c r="W912" s="16" t="s">
        <v>5629</v>
      </c>
      <c r="X912" t="s">
        <v>5624</v>
      </c>
    </row>
    <row r="913" spans="1:51" x14ac:dyDescent="0.55000000000000004">
      <c r="A913" t="s">
        <v>3744</v>
      </c>
      <c r="B913" t="s">
        <v>3745</v>
      </c>
      <c r="C913">
        <v>2002</v>
      </c>
      <c r="D913" t="s">
        <v>68</v>
      </c>
      <c r="E913">
        <v>153</v>
      </c>
      <c r="F913">
        <v>2</v>
      </c>
      <c r="H913">
        <v>327</v>
      </c>
      <c r="I913">
        <v>334</v>
      </c>
      <c r="K913" s="2" t="s">
        <v>3746</v>
      </c>
      <c r="L913" s="2" t="s">
        <v>3747</v>
      </c>
      <c r="M913" t="s">
        <v>5225</v>
      </c>
      <c r="N913" t="s">
        <v>3748</v>
      </c>
      <c r="O913" t="s">
        <v>26</v>
      </c>
      <c r="P913" t="s">
        <v>27</v>
      </c>
      <c r="Q913" t="s">
        <v>43</v>
      </c>
      <c r="R913" t="s">
        <v>43</v>
      </c>
      <c r="S913" t="s">
        <v>28</v>
      </c>
      <c r="T913" t="s">
        <v>28</v>
      </c>
      <c r="U913" t="s">
        <v>28</v>
      </c>
      <c r="V913" t="s">
        <v>28</v>
      </c>
      <c r="W913" s="16" t="s">
        <v>5629</v>
      </c>
      <c r="X913" t="s">
        <v>5624</v>
      </c>
      <c r="Y913" t="s">
        <v>4498</v>
      </c>
      <c r="Z913" t="s">
        <v>4385</v>
      </c>
      <c r="AA913" t="s">
        <v>4360</v>
      </c>
      <c r="AB913" t="s">
        <v>5671</v>
      </c>
      <c r="AC913" t="s">
        <v>5637</v>
      </c>
      <c r="AF913" t="s">
        <v>5710</v>
      </c>
      <c r="AG913" t="s">
        <v>4419</v>
      </c>
      <c r="AH913" t="s">
        <v>4420</v>
      </c>
      <c r="AI913" t="s">
        <v>4357</v>
      </c>
      <c r="AJ913">
        <v>3.5</v>
      </c>
      <c r="AK913">
        <v>24</v>
      </c>
      <c r="AL913" t="s">
        <v>5408</v>
      </c>
      <c r="AM913" t="s">
        <v>4355</v>
      </c>
      <c r="AO913">
        <v>12</v>
      </c>
      <c r="AP913">
        <v>55.474041</v>
      </c>
      <c r="AQ913">
        <v>-2.2311130000000001</v>
      </c>
      <c r="AT913">
        <f>AVERAGE(20,18)</f>
        <v>19</v>
      </c>
      <c r="AV913" s="19">
        <v>6.2</v>
      </c>
      <c r="AW913">
        <v>1.7</v>
      </c>
      <c r="AX913" t="s">
        <v>5673</v>
      </c>
    </row>
    <row r="914" spans="1:51" x14ac:dyDescent="0.55000000000000004">
      <c r="A914" t="s">
        <v>3871</v>
      </c>
      <c r="B914" t="s">
        <v>3872</v>
      </c>
      <c r="C914">
        <v>2000</v>
      </c>
      <c r="D914" t="s">
        <v>68</v>
      </c>
      <c r="E914">
        <v>146</v>
      </c>
      <c r="F914">
        <v>1</v>
      </c>
      <c r="H914">
        <v>163</v>
      </c>
      <c r="I914">
        <v>168</v>
      </c>
      <c r="K914" s="2" t="s">
        <v>3873</v>
      </c>
      <c r="L914" s="2" t="s">
        <v>3874</v>
      </c>
      <c r="M914" t="s">
        <v>5246</v>
      </c>
      <c r="N914" t="s">
        <v>3875</v>
      </c>
      <c r="O914" t="s">
        <v>26</v>
      </c>
      <c r="P914" t="s">
        <v>27</v>
      </c>
      <c r="Q914" t="s">
        <v>43</v>
      </c>
      <c r="R914" t="s">
        <v>43</v>
      </c>
      <c r="S914" t="s">
        <v>28</v>
      </c>
      <c r="T914" t="s">
        <v>28</v>
      </c>
      <c r="U914" t="s">
        <v>28</v>
      </c>
      <c r="V914" t="s">
        <v>28</v>
      </c>
      <c r="W914" s="16" t="s">
        <v>5629</v>
      </c>
      <c r="X914" t="s">
        <v>5624</v>
      </c>
      <c r="Y914" t="s">
        <v>4495</v>
      </c>
      <c r="Z914" t="s">
        <v>4358</v>
      </c>
      <c r="AA914" t="s">
        <v>5369</v>
      </c>
      <c r="AB914" t="s">
        <v>4471</v>
      </c>
      <c r="AC914" t="s">
        <v>4460</v>
      </c>
      <c r="AE914" t="s">
        <v>5709</v>
      </c>
      <c r="AF914" t="s">
        <v>4356</v>
      </c>
      <c r="AG914" t="s">
        <v>4581</v>
      </c>
      <c r="AH914" t="s">
        <v>5407</v>
      </c>
      <c r="AI914" t="s">
        <v>4343</v>
      </c>
      <c r="AJ914">
        <v>672</v>
      </c>
      <c r="AK914">
        <f>28*24</f>
        <v>672</v>
      </c>
      <c r="AL914" t="s">
        <v>5408</v>
      </c>
      <c r="AM914" t="s">
        <v>4440</v>
      </c>
      <c r="AO914">
        <v>8</v>
      </c>
      <c r="AP914">
        <v>51.985416000000001</v>
      </c>
      <c r="AQ914">
        <v>5.6622690000000002</v>
      </c>
      <c r="AS914" t="s">
        <v>5412</v>
      </c>
      <c r="AT914">
        <f t="shared" ref="AT914" si="8">AVERAGE(20.14)</f>
        <v>20.14</v>
      </c>
      <c r="AU914">
        <v>400</v>
      </c>
      <c r="AV914" s="22">
        <f>((13.5/111.5)*100)*0.93</f>
        <v>11.260089686098656</v>
      </c>
      <c r="AX914" t="s">
        <v>5674</v>
      </c>
      <c r="AY914" t="s">
        <v>43</v>
      </c>
    </row>
    <row r="915" spans="1:51" x14ac:dyDescent="0.55000000000000004">
      <c r="A915" t="s">
        <v>5247</v>
      </c>
      <c r="B915" t="s">
        <v>5248</v>
      </c>
      <c r="C915">
        <v>2000</v>
      </c>
      <c r="D915" t="s">
        <v>186</v>
      </c>
      <c r="E915">
        <v>219</v>
      </c>
      <c r="F915" s="4">
        <v>44563</v>
      </c>
      <c r="H915">
        <v>197</v>
      </c>
      <c r="I915">
        <v>209</v>
      </c>
      <c r="K915" s="2" t="s">
        <v>3876</v>
      </c>
      <c r="L915" s="2" t="s">
        <v>3877</v>
      </c>
      <c r="M915" t="s">
        <v>5249</v>
      </c>
      <c r="N915" t="s">
        <v>5250</v>
      </c>
      <c r="O915" t="s">
        <v>26</v>
      </c>
      <c r="P915" t="s">
        <v>27</v>
      </c>
      <c r="Q915" t="s">
        <v>28</v>
      </c>
      <c r="R915" t="s">
        <v>28</v>
      </c>
      <c r="S915" t="s">
        <v>28</v>
      </c>
      <c r="T915" t="s">
        <v>28</v>
      </c>
      <c r="U915" t="s">
        <v>28</v>
      </c>
      <c r="V915" t="s">
        <v>28</v>
      </c>
      <c r="W915" s="16" t="s">
        <v>5629</v>
      </c>
      <c r="X915" t="s">
        <v>5624</v>
      </c>
    </row>
    <row r="916" spans="1:51" x14ac:dyDescent="0.55000000000000004">
      <c r="A916" t="s">
        <v>3878</v>
      </c>
      <c r="B916" t="s">
        <v>3879</v>
      </c>
      <c r="C916">
        <v>2000</v>
      </c>
      <c r="D916" t="s">
        <v>68</v>
      </c>
      <c r="E916">
        <v>145</v>
      </c>
      <c r="F916">
        <v>3</v>
      </c>
      <c r="H916">
        <v>575</v>
      </c>
      <c r="I916">
        <v>584</v>
      </c>
      <c r="K916" s="2" t="s">
        <v>3880</v>
      </c>
      <c r="L916" s="2" t="s">
        <v>3881</v>
      </c>
      <c r="M916" t="s">
        <v>3882</v>
      </c>
      <c r="N916" t="s">
        <v>3883</v>
      </c>
      <c r="O916" t="s">
        <v>26</v>
      </c>
      <c r="P916" t="s">
        <v>27</v>
      </c>
      <c r="Q916" t="s">
        <v>28</v>
      </c>
      <c r="R916" t="s">
        <v>28</v>
      </c>
      <c r="S916" t="s">
        <v>28</v>
      </c>
      <c r="T916" t="s">
        <v>28</v>
      </c>
      <c r="U916" t="s">
        <v>28</v>
      </c>
      <c r="V916" t="s">
        <v>28</v>
      </c>
      <c r="W916" s="16" t="s">
        <v>5629</v>
      </c>
      <c r="X916" t="s">
        <v>5624</v>
      </c>
    </row>
    <row r="917" spans="1:51" x14ac:dyDescent="0.55000000000000004">
      <c r="A917" t="s">
        <v>3884</v>
      </c>
      <c r="B917" t="s">
        <v>3885</v>
      </c>
      <c r="C917">
        <v>2000</v>
      </c>
      <c r="D917" t="s">
        <v>3545</v>
      </c>
      <c r="E917">
        <v>104</v>
      </c>
      <c r="F917">
        <v>1</v>
      </c>
      <c r="H917">
        <v>81</v>
      </c>
      <c r="I917">
        <v>86</v>
      </c>
      <c r="K917" s="2" t="s">
        <v>3886</v>
      </c>
      <c r="L917" s="2" t="s">
        <v>3887</v>
      </c>
      <c r="M917" t="s">
        <v>5251</v>
      </c>
      <c r="O917" t="s">
        <v>26</v>
      </c>
      <c r="P917" t="s">
        <v>27</v>
      </c>
      <c r="Q917" t="s">
        <v>28</v>
      </c>
      <c r="R917" t="s">
        <v>28</v>
      </c>
      <c r="S917" t="s">
        <v>28</v>
      </c>
      <c r="T917" t="s">
        <v>28</v>
      </c>
      <c r="U917" t="s">
        <v>28</v>
      </c>
      <c r="V917" t="s">
        <v>28</v>
      </c>
      <c r="W917" s="16" t="s">
        <v>5629</v>
      </c>
      <c r="X917" t="s">
        <v>5624</v>
      </c>
    </row>
    <row r="918" spans="1:51" x14ac:dyDescent="0.55000000000000004">
      <c r="A918" t="s">
        <v>3888</v>
      </c>
      <c r="B918" t="s">
        <v>3889</v>
      </c>
      <c r="C918">
        <v>2000</v>
      </c>
      <c r="D918" t="s">
        <v>2584</v>
      </c>
      <c r="E918">
        <v>23</v>
      </c>
      <c r="F918">
        <v>8</v>
      </c>
      <c r="H918">
        <v>797</v>
      </c>
      <c r="I918">
        <v>809</v>
      </c>
      <c r="K918" s="2" t="s">
        <v>3890</v>
      </c>
      <c r="L918" s="2" t="s">
        <v>3891</v>
      </c>
      <c r="M918" t="s">
        <v>5252</v>
      </c>
      <c r="N918" t="s">
        <v>3892</v>
      </c>
      <c r="O918" t="s">
        <v>143</v>
      </c>
      <c r="P918" t="s">
        <v>27</v>
      </c>
      <c r="Q918" t="s">
        <v>28</v>
      </c>
      <c r="R918" t="s">
        <v>28</v>
      </c>
      <c r="S918" t="s">
        <v>28</v>
      </c>
      <c r="T918" t="s">
        <v>28</v>
      </c>
      <c r="U918" t="s">
        <v>28</v>
      </c>
      <c r="V918" t="s">
        <v>28</v>
      </c>
      <c r="W918" s="16" t="s">
        <v>5629</v>
      </c>
      <c r="X918" t="s">
        <v>5624</v>
      </c>
    </row>
    <row r="919" spans="1:51" x14ac:dyDescent="0.55000000000000004">
      <c r="A919" t="s">
        <v>3893</v>
      </c>
      <c r="B919" t="s">
        <v>3894</v>
      </c>
      <c r="C919">
        <v>2000</v>
      </c>
      <c r="D919" t="s">
        <v>3895</v>
      </c>
      <c r="E919">
        <v>53</v>
      </c>
      <c r="F919">
        <v>5</v>
      </c>
      <c r="H919">
        <v>518</v>
      </c>
      <c r="I919">
        <v>528</v>
      </c>
      <c r="K919" s="2" t="s">
        <v>3896</v>
      </c>
      <c r="L919" s="2" t="s">
        <v>3897</v>
      </c>
      <c r="M919" t="s">
        <v>5253</v>
      </c>
      <c r="N919" t="s">
        <v>3898</v>
      </c>
      <c r="O919" t="s">
        <v>26</v>
      </c>
      <c r="P919" t="s">
        <v>27</v>
      </c>
      <c r="Q919" t="s">
        <v>28</v>
      </c>
      <c r="R919" t="s">
        <v>28</v>
      </c>
      <c r="S919" t="s">
        <v>28</v>
      </c>
      <c r="T919" t="s">
        <v>28</v>
      </c>
      <c r="U919" t="s">
        <v>28</v>
      </c>
      <c r="V919" t="s">
        <v>28</v>
      </c>
      <c r="W919" s="16" t="s">
        <v>5629</v>
      </c>
      <c r="X919" t="s">
        <v>5624</v>
      </c>
    </row>
    <row r="920" spans="1:51" x14ac:dyDescent="0.55000000000000004">
      <c r="A920" t="s">
        <v>3899</v>
      </c>
      <c r="B920" t="s">
        <v>3900</v>
      </c>
      <c r="C920">
        <v>2000</v>
      </c>
      <c r="D920" t="s">
        <v>3901</v>
      </c>
      <c r="E920">
        <v>45</v>
      </c>
      <c r="F920">
        <v>4</v>
      </c>
      <c r="H920">
        <v>721</v>
      </c>
      <c r="I920">
        <v>725</v>
      </c>
      <c r="L920" s="2" t="s">
        <v>3902</v>
      </c>
      <c r="M920" t="s">
        <v>3903</v>
      </c>
      <c r="N920" t="s">
        <v>3904</v>
      </c>
      <c r="O920" t="s">
        <v>26</v>
      </c>
      <c r="P920" t="s">
        <v>27</v>
      </c>
      <c r="Q920" t="s">
        <v>43</v>
      </c>
      <c r="R920" t="s">
        <v>28</v>
      </c>
      <c r="S920" t="s">
        <v>43</v>
      </c>
      <c r="T920" t="s">
        <v>28</v>
      </c>
      <c r="U920" t="s">
        <v>28</v>
      </c>
      <c r="V920" t="s">
        <v>28</v>
      </c>
      <c r="W920" s="16" t="s">
        <v>5629</v>
      </c>
      <c r="X920" t="s">
        <v>5624</v>
      </c>
    </row>
    <row r="921" spans="1:51" x14ac:dyDescent="0.55000000000000004">
      <c r="A921" t="s">
        <v>5254</v>
      </c>
      <c r="B921" t="s">
        <v>3905</v>
      </c>
      <c r="C921">
        <v>1999</v>
      </c>
      <c r="D921" t="s">
        <v>433</v>
      </c>
      <c r="E921">
        <v>30</v>
      </c>
      <c r="F921">
        <v>4</v>
      </c>
      <c r="H921">
        <v>355</v>
      </c>
      <c r="I921">
        <v>366</v>
      </c>
      <c r="K921" s="2" t="s">
        <v>3906</v>
      </c>
      <c r="L921" s="2" t="s">
        <v>3907</v>
      </c>
      <c r="M921" t="s">
        <v>5255</v>
      </c>
      <c r="N921" t="s">
        <v>3908</v>
      </c>
      <c r="O921" t="s">
        <v>26</v>
      </c>
      <c r="P921" t="s">
        <v>27</v>
      </c>
      <c r="Q921" t="s">
        <v>28</v>
      </c>
      <c r="R921" t="s">
        <v>28</v>
      </c>
      <c r="S921" t="s">
        <v>28</v>
      </c>
      <c r="T921" t="s">
        <v>28</v>
      </c>
      <c r="U921" t="s">
        <v>28</v>
      </c>
      <c r="V921" t="s">
        <v>28</v>
      </c>
      <c r="W921" s="16" t="s">
        <v>5629</v>
      </c>
      <c r="X921" t="s">
        <v>5624</v>
      </c>
    </row>
    <row r="922" spans="1:51" x14ac:dyDescent="0.55000000000000004">
      <c r="A922" t="s">
        <v>3909</v>
      </c>
      <c r="B922" t="s">
        <v>3910</v>
      </c>
      <c r="C922">
        <v>1999</v>
      </c>
      <c r="D922" t="s">
        <v>1036</v>
      </c>
      <c r="E922">
        <v>30</v>
      </c>
      <c r="F922" s="4">
        <v>44563</v>
      </c>
      <c r="H922">
        <v>75</v>
      </c>
      <c r="I922">
        <v>82</v>
      </c>
      <c r="K922" s="2" t="s">
        <v>3911</v>
      </c>
      <c r="L922" s="2" t="s">
        <v>3912</v>
      </c>
      <c r="M922" t="s">
        <v>3913</v>
      </c>
      <c r="N922" t="s">
        <v>3914</v>
      </c>
      <c r="O922" t="s">
        <v>26</v>
      </c>
      <c r="P922" t="s">
        <v>27</v>
      </c>
      <c r="Q922" t="s">
        <v>28</v>
      </c>
      <c r="R922" t="s">
        <v>28</v>
      </c>
      <c r="S922" t="s">
        <v>28</v>
      </c>
      <c r="T922" t="s">
        <v>28</v>
      </c>
      <c r="U922" t="s">
        <v>28</v>
      </c>
      <c r="V922" t="s">
        <v>28</v>
      </c>
      <c r="W922" s="16" t="s">
        <v>5629</v>
      </c>
      <c r="X922" t="s">
        <v>5624</v>
      </c>
    </row>
    <row r="923" spans="1:51" x14ac:dyDescent="0.55000000000000004">
      <c r="A923" t="s">
        <v>3915</v>
      </c>
      <c r="B923" t="s">
        <v>3916</v>
      </c>
      <c r="C923">
        <v>1999</v>
      </c>
      <c r="D923" t="s">
        <v>513</v>
      </c>
      <c r="E923">
        <v>9</v>
      </c>
      <c r="F923">
        <v>3</v>
      </c>
      <c r="H923">
        <v>137</v>
      </c>
      <c r="I923">
        <v>144</v>
      </c>
      <c r="K923" s="2" t="s">
        <v>3917</v>
      </c>
      <c r="L923" s="2" t="s">
        <v>3918</v>
      </c>
      <c r="M923" t="s">
        <v>3919</v>
      </c>
      <c r="N923" t="s">
        <v>3920</v>
      </c>
      <c r="O923" t="s">
        <v>26</v>
      </c>
      <c r="P923" t="s">
        <v>27</v>
      </c>
      <c r="Q923" t="s">
        <v>28</v>
      </c>
      <c r="R923" t="s">
        <v>28</v>
      </c>
      <c r="S923" t="s">
        <v>28</v>
      </c>
      <c r="T923" t="s">
        <v>28</v>
      </c>
      <c r="U923" t="s">
        <v>28</v>
      </c>
      <c r="V923" t="s">
        <v>28</v>
      </c>
      <c r="W923" s="16" t="s">
        <v>5629</v>
      </c>
      <c r="X923" t="s">
        <v>5624</v>
      </c>
    </row>
    <row r="924" spans="1:51" x14ac:dyDescent="0.55000000000000004">
      <c r="A924" t="s">
        <v>5256</v>
      </c>
      <c r="B924" t="s">
        <v>3921</v>
      </c>
      <c r="C924">
        <v>1999</v>
      </c>
      <c r="D924" t="s">
        <v>2612</v>
      </c>
      <c r="E924">
        <v>96</v>
      </c>
      <c r="F924">
        <v>15</v>
      </c>
      <c r="H924">
        <v>8534</v>
      </c>
      <c r="I924">
        <v>8539</v>
      </c>
      <c r="K924" s="2" t="s">
        <v>3922</v>
      </c>
      <c r="L924" s="2" t="s">
        <v>3923</v>
      </c>
      <c r="M924" t="s">
        <v>5257</v>
      </c>
      <c r="O924" t="s">
        <v>26</v>
      </c>
      <c r="P924" t="s">
        <v>27</v>
      </c>
      <c r="Q924" t="s">
        <v>28</v>
      </c>
      <c r="R924" t="s">
        <v>28</v>
      </c>
      <c r="S924" t="s">
        <v>28</v>
      </c>
      <c r="T924" t="s">
        <v>28</v>
      </c>
      <c r="U924" t="s">
        <v>28</v>
      </c>
      <c r="V924" t="s">
        <v>28</v>
      </c>
      <c r="W924" s="16" t="s">
        <v>5629</v>
      </c>
      <c r="X924" t="s">
        <v>5624</v>
      </c>
    </row>
    <row r="925" spans="1:51" x14ac:dyDescent="0.55000000000000004">
      <c r="A925" t="s">
        <v>3924</v>
      </c>
      <c r="B925" t="s">
        <v>3925</v>
      </c>
      <c r="C925">
        <v>1999</v>
      </c>
      <c r="D925" t="s">
        <v>413</v>
      </c>
      <c r="E925">
        <v>13</v>
      </c>
      <c r="F925">
        <v>2</v>
      </c>
      <c r="H925">
        <v>190</v>
      </c>
      <c r="I925">
        <v>199</v>
      </c>
      <c r="K925" s="2" t="s">
        <v>3926</v>
      </c>
      <c r="L925" s="2" t="s">
        <v>3927</v>
      </c>
      <c r="M925" t="s">
        <v>5258</v>
      </c>
      <c r="N925" t="s">
        <v>3928</v>
      </c>
      <c r="O925" t="s">
        <v>26</v>
      </c>
      <c r="P925" t="s">
        <v>27</v>
      </c>
      <c r="Q925" t="s">
        <v>28</v>
      </c>
      <c r="R925" t="s">
        <v>28</v>
      </c>
      <c r="S925" t="s">
        <v>28</v>
      </c>
      <c r="T925" t="s">
        <v>28</v>
      </c>
      <c r="U925" t="s">
        <v>28</v>
      </c>
      <c r="V925" t="s">
        <v>28</v>
      </c>
      <c r="W925" s="16" t="s">
        <v>5629</v>
      </c>
      <c r="X925" t="s">
        <v>5624</v>
      </c>
    </row>
    <row r="926" spans="1:51" x14ac:dyDescent="0.55000000000000004">
      <c r="A926" t="s">
        <v>3929</v>
      </c>
      <c r="B926" t="s">
        <v>3930</v>
      </c>
      <c r="C926">
        <v>1999</v>
      </c>
      <c r="D926" t="s">
        <v>68</v>
      </c>
      <c r="E926">
        <v>142</v>
      </c>
      <c r="F926">
        <v>1</v>
      </c>
      <c r="H926">
        <v>163</v>
      </c>
      <c r="I926">
        <v>167</v>
      </c>
      <c r="K926" s="2" t="s">
        <v>3931</v>
      </c>
      <c r="L926" s="2" t="s">
        <v>3932</v>
      </c>
      <c r="M926" t="s">
        <v>3933</v>
      </c>
      <c r="N926" t="s">
        <v>3934</v>
      </c>
      <c r="O926" t="s">
        <v>26</v>
      </c>
      <c r="P926" t="s">
        <v>27</v>
      </c>
      <c r="Q926" t="s">
        <v>28</v>
      </c>
      <c r="R926" t="s">
        <v>28</v>
      </c>
      <c r="S926" t="s">
        <v>28</v>
      </c>
      <c r="T926" t="s">
        <v>28</v>
      </c>
      <c r="U926" t="s">
        <v>28</v>
      </c>
      <c r="V926" t="s">
        <v>28</v>
      </c>
      <c r="W926" s="16" t="s">
        <v>5629</v>
      </c>
      <c r="X926" t="s">
        <v>5624</v>
      </c>
    </row>
    <row r="927" spans="1:51" x14ac:dyDescent="0.55000000000000004">
      <c r="A927" t="s">
        <v>3935</v>
      </c>
      <c r="B927" t="s">
        <v>3936</v>
      </c>
      <c r="C927">
        <v>1999</v>
      </c>
      <c r="D927" t="s">
        <v>923</v>
      </c>
      <c r="E927">
        <v>118</v>
      </c>
      <c r="F927">
        <v>3</v>
      </c>
      <c r="H927">
        <v>353</v>
      </c>
      <c r="I927">
        <v>360</v>
      </c>
      <c r="K927" s="2" t="s">
        <v>3937</v>
      </c>
      <c r="L927" s="2" t="s">
        <v>3938</v>
      </c>
      <c r="M927" t="s">
        <v>5259</v>
      </c>
      <c r="N927" t="s">
        <v>3939</v>
      </c>
      <c r="O927" t="s">
        <v>26</v>
      </c>
      <c r="P927" t="s">
        <v>27</v>
      </c>
      <c r="Q927" t="s">
        <v>28</v>
      </c>
      <c r="R927" t="s">
        <v>28</v>
      </c>
      <c r="S927" t="s">
        <v>28</v>
      </c>
      <c r="T927" t="s">
        <v>28</v>
      </c>
      <c r="U927" t="s">
        <v>28</v>
      </c>
      <c r="V927" t="s">
        <v>28</v>
      </c>
      <c r="W927" s="16" t="s">
        <v>5629</v>
      </c>
      <c r="X927" t="s">
        <v>5624</v>
      </c>
    </row>
    <row r="928" spans="1:51" x14ac:dyDescent="0.55000000000000004">
      <c r="A928" t="s">
        <v>3940</v>
      </c>
      <c r="B928" t="s">
        <v>3941</v>
      </c>
      <c r="C928">
        <v>1999</v>
      </c>
      <c r="D928" t="s">
        <v>807</v>
      </c>
      <c r="E928">
        <v>5</v>
      </c>
      <c r="F928">
        <v>3</v>
      </c>
      <c r="H928">
        <v>347</v>
      </c>
      <c r="I928">
        <v>358</v>
      </c>
      <c r="K928" s="2" t="s">
        <v>3942</v>
      </c>
      <c r="L928" s="2" t="s">
        <v>3943</v>
      </c>
      <c r="M928" t="s">
        <v>5260</v>
      </c>
      <c r="N928" t="s">
        <v>3944</v>
      </c>
      <c r="O928" t="s">
        <v>26</v>
      </c>
      <c r="P928" t="s">
        <v>27</v>
      </c>
      <c r="Q928" t="s">
        <v>28</v>
      </c>
      <c r="R928" t="s">
        <v>28</v>
      </c>
      <c r="S928" t="s">
        <v>28</v>
      </c>
      <c r="T928" t="s">
        <v>28</v>
      </c>
      <c r="U928" t="s">
        <v>28</v>
      </c>
      <c r="V928" t="s">
        <v>28</v>
      </c>
      <c r="W928" s="16" t="s">
        <v>5629</v>
      </c>
      <c r="X928" t="s">
        <v>5624</v>
      </c>
    </row>
    <row r="929" spans="1:24" x14ac:dyDescent="0.55000000000000004">
      <c r="A929" t="s">
        <v>3945</v>
      </c>
      <c r="B929" t="s">
        <v>3946</v>
      </c>
      <c r="C929">
        <v>1999</v>
      </c>
      <c r="D929" t="s">
        <v>3947</v>
      </c>
      <c r="E929">
        <v>24</v>
      </c>
      <c r="F929">
        <v>3</v>
      </c>
      <c r="H929">
        <v>309</v>
      </c>
      <c r="I929">
        <v>318</v>
      </c>
      <c r="K929" s="2" t="s">
        <v>3948</v>
      </c>
      <c r="L929" s="2" t="s">
        <v>3949</v>
      </c>
      <c r="M929" t="s">
        <v>3950</v>
      </c>
      <c r="O929" t="s">
        <v>26</v>
      </c>
      <c r="P929" t="s">
        <v>27</v>
      </c>
      <c r="Q929" t="s">
        <v>28</v>
      </c>
      <c r="R929" t="s">
        <v>28</v>
      </c>
      <c r="S929" t="s">
        <v>28</v>
      </c>
      <c r="T929" t="s">
        <v>28</v>
      </c>
      <c r="U929" t="s">
        <v>28</v>
      </c>
      <c r="V929" t="s">
        <v>28</v>
      </c>
      <c r="W929" s="16" t="s">
        <v>5629</v>
      </c>
      <c r="X929" t="s">
        <v>5624</v>
      </c>
    </row>
    <row r="930" spans="1:24" x14ac:dyDescent="0.55000000000000004">
      <c r="A930" t="s">
        <v>5261</v>
      </c>
      <c r="B930" t="s">
        <v>3951</v>
      </c>
      <c r="C930">
        <v>1999</v>
      </c>
      <c r="D930" t="s">
        <v>2637</v>
      </c>
      <c r="E930">
        <v>121</v>
      </c>
      <c r="F930">
        <v>1</v>
      </c>
      <c r="H930">
        <v>263</v>
      </c>
      <c r="I930">
        <v>271</v>
      </c>
      <c r="K930" s="2" t="s">
        <v>3952</v>
      </c>
      <c r="L930" s="2" t="s">
        <v>3953</v>
      </c>
      <c r="M930" t="s">
        <v>3954</v>
      </c>
      <c r="O930" t="s">
        <v>26</v>
      </c>
      <c r="P930" t="s">
        <v>27</v>
      </c>
      <c r="Q930" t="s">
        <v>28</v>
      </c>
      <c r="R930" t="s">
        <v>28</v>
      </c>
      <c r="S930" t="s">
        <v>28</v>
      </c>
      <c r="T930" t="s">
        <v>28</v>
      </c>
      <c r="U930" t="s">
        <v>28</v>
      </c>
      <c r="V930" t="s">
        <v>28</v>
      </c>
      <c r="W930" s="16" t="s">
        <v>5629</v>
      </c>
      <c r="X930" t="s">
        <v>5624</v>
      </c>
    </row>
    <row r="931" spans="1:24" x14ac:dyDescent="0.55000000000000004">
      <c r="A931" t="s">
        <v>3955</v>
      </c>
      <c r="B931" t="s">
        <v>3956</v>
      </c>
      <c r="C931">
        <v>1999</v>
      </c>
      <c r="D931" t="s">
        <v>1819</v>
      </c>
      <c r="E931">
        <v>50</v>
      </c>
      <c r="F931">
        <v>335</v>
      </c>
      <c r="H931">
        <v>853</v>
      </c>
      <c r="I931">
        <v>860</v>
      </c>
      <c r="K931" s="2" t="s">
        <v>3957</v>
      </c>
      <c r="L931" s="2" t="s">
        <v>3958</v>
      </c>
      <c r="M931" t="s">
        <v>5262</v>
      </c>
      <c r="N931" t="s">
        <v>3959</v>
      </c>
      <c r="O931" t="s">
        <v>26</v>
      </c>
      <c r="P931" t="s">
        <v>27</v>
      </c>
      <c r="Q931" t="s">
        <v>28</v>
      </c>
      <c r="R931" t="s">
        <v>28</v>
      </c>
      <c r="S931" t="s">
        <v>28</v>
      </c>
      <c r="T931" t="s">
        <v>28</v>
      </c>
      <c r="U931" t="s">
        <v>28</v>
      </c>
      <c r="V931" t="s">
        <v>28</v>
      </c>
      <c r="W931" s="16" t="s">
        <v>5629</v>
      </c>
      <c r="X931" t="s">
        <v>5624</v>
      </c>
    </row>
    <row r="932" spans="1:24" x14ac:dyDescent="0.55000000000000004">
      <c r="A932" t="s">
        <v>3960</v>
      </c>
      <c r="B932" t="s">
        <v>3961</v>
      </c>
      <c r="C932">
        <v>1999</v>
      </c>
      <c r="D932" t="s">
        <v>1819</v>
      </c>
      <c r="E932">
        <v>50</v>
      </c>
      <c r="F932">
        <v>330</v>
      </c>
      <c r="H932">
        <v>9</v>
      </c>
      <c r="I932">
        <v>13</v>
      </c>
      <c r="K932" s="2" t="s">
        <v>3962</v>
      </c>
      <c r="L932" s="2" t="s">
        <v>3963</v>
      </c>
      <c r="M932" t="s">
        <v>3964</v>
      </c>
      <c r="N932" t="s">
        <v>3965</v>
      </c>
      <c r="O932" t="s">
        <v>26</v>
      </c>
      <c r="P932" t="s">
        <v>27</v>
      </c>
      <c r="Q932" t="s">
        <v>43</v>
      </c>
      <c r="R932" t="s">
        <v>28</v>
      </c>
      <c r="S932" t="s">
        <v>43</v>
      </c>
      <c r="T932" t="s">
        <v>28</v>
      </c>
      <c r="U932" t="s">
        <v>28</v>
      </c>
      <c r="V932" t="s">
        <v>28</v>
      </c>
      <c r="W932" s="16" t="s">
        <v>5629</v>
      </c>
      <c r="X932" t="s">
        <v>5624</v>
      </c>
    </row>
    <row r="933" spans="1:24" x14ac:dyDescent="0.55000000000000004">
      <c r="A933" t="s">
        <v>3966</v>
      </c>
      <c r="B933" t="s">
        <v>3967</v>
      </c>
      <c r="C933">
        <v>1999</v>
      </c>
      <c r="D933" t="s">
        <v>2584</v>
      </c>
      <c r="E933">
        <v>22</v>
      </c>
      <c r="F933">
        <v>2</v>
      </c>
      <c r="H933">
        <v>179</v>
      </c>
      <c r="I933">
        <v>187</v>
      </c>
      <c r="K933" s="2" t="s">
        <v>3968</v>
      </c>
      <c r="L933" s="2" t="s">
        <v>3969</v>
      </c>
      <c r="M933" t="s">
        <v>3970</v>
      </c>
      <c r="N933" t="s">
        <v>3971</v>
      </c>
      <c r="O933" t="s">
        <v>26</v>
      </c>
      <c r="P933" t="s">
        <v>27</v>
      </c>
      <c r="Q933" t="s">
        <v>28</v>
      </c>
      <c r="R933" t="s">
        <v>28</v>
      </c>
      <c r="S933" t="s">
        <v>28</v>
      </c>
      <c r="T933" t="s">
        <v>28</v>
      </c>
      <c r="U933" t="s">
        <v>28</v>
      </c>
      <c r="V933" t="s">
        <v>28</v>
      </c>
      <c r="W933" s="16" t="s">
        <v>5629</v>
      </c>
      <c r="X933" t="s">
        <v>5624</v>
      </c>
    </row>
    <row r="934" spans="1:24" x14ac:dyDescent="0.55000000000000004">
      <c r="A934" t="s">
        <v>3972</v>
      </c>
      <c r="B934" t="s">
        <v>3973</v>
      </c>
      <c r="C934">
        <v>1999</v>
      </c>
      <c r="D934" t="s">
        <v>1368</v>
      </c>
      <c r="E934">
        <v>65</v>
      </c>
      <c r="F934">
        <v>9</v>
      </c>
      <c r="H934">
        <v>4021</v>
      </c>
      <c r="I934">
        <v>4027</v>
      </c>
      <c r="K934" s="2" t="s">
        <v>3974</v>
      </c>
      <c r="L934" s="2" t="s">
        <v>3975</v>
      </c>
      <c r="M934" t="s">
        <v>3976</v>
      </c>
      <c r="O934" t="s">
        <v>26</v>
      </c>
      <c r="P934" t="s">
        <v>27</v>
      </c>
      <c r="Q934" t="s">
        <v>28</v>
      </c>
      <c r="R934" t="s">
        <v>28</v>
      </c>
      <c r="S934" t="s">
        <v>28</v>
      </c>
      <c r="T934" t="s">
        <v>28</v>
      </c>
      <c r="U934" t="s">
        <v>28</v>
      </c>
      <c r="V934" t="s">
        <v>28</v>
      </c>
      <c r="W934" s="16" t="s">
        <v>5629</v>
      </c>
      <c r="X934" t="s">
        <v>5624</v>
      </c>
    </row>
    <row r="935" spans="1:24" x14ac:dyDescent="0.55000000000000004">
      <c r="A935" t="s">
        <v>3977</v>
      </c>
      <c r="B935" t="s">
        <v>3978</v>
      </c>
      <c r="C935">
        <v>1999</v>
      </c>
      <c r="D935" t="s">
        <v>3979</v>
      </c>
      <c r="E935">
        <v>72</v>
      </c>
      <c r="F935">
        <v>3</v>
      </c>
      <c r="H935">
        <v>223</v>
      </c>
      <c r="I935">
        <v>235</v>
      </c>
      <c r="K935" s="2" t="s">
        <v>3980</v>
      </c>
      <c r="L935" s="2" t="s">
        <v>3981</v>
      </c>
      <c r="M935" t="s">
        <v>3982</v>
      </c>
      <c r="O935" t="s">
        <v>26</v>
      </c>
      <c r="P935" t="s">
        <v>27</v>
      </c>
      <c r="Q935" t="s">
        <v>28</v>
      </c>
      <c r="R935" t="s">
        <v>28</v>
      </c>
      <c r="S935" t="s">
        <v>28</v>
      </c>
      <c r="T935" t="s">
        <v>28</v>
      </c>
      <c r="U935" t="s">
        <v>28</v>
      </c>
      <c r="V935" t="s">
        <v>28</v>
      </c>
      <c r="W935" s="16" t="s">
        <v>5629</v>
      </c>
      <c r="X935" t="s">
        <v>5624</v>
      </c>
    </row>
    <row r="936" spans="1:24" x14ac:dyDescent="0.55000000000000004">
      <c r="A936" t="s">
        <v>5263</v>
      </c>
      <c r="B936" t="s">
        <v>3983</v>
      </c>
      <c r="C936">
        <v>1999</v>
      </c>
      <c r="D936" t="s">
        <v>2637</v>
      </c>
      <c r="E936">
        <v>120</v>
      </c>
      <c r="F936">
        <v>2</v>
      </c>
      <c r="H936">
        <v>587</v>
      </c>
      <c r="I936">
        <v>598</v>
      </c>
      <c r="K936" s="2" t="s">
        <v>3984</v>
      </c>
      <c r="L936" s="2" t="s">
        <v>3985</v>
      </c>
      <c r="M936" t="s">
        <v>3986</v>
      </c>
      <c r="O936" t="s">
        <v>26</v>
      </c>
      <c r="P936" t="s">
        <v>27</v>
      </c>
      <c r="Q936" t="s">
        <v>28</v>
      </c>
      <c r="R936" t="s">
        <v>28</v>
      </c>
      <c r="S936" t="s">
        <v>28</v>
      </c>
      <c r="T936" t="s">
        <v>28</v>
      </c>
      <c r="U936" t="s">
        <v>28</v>
      </c>
      <c r="V936" t="s">
        <v>28</v>
      </c>
      <c r="W936" s="16" t="s">
        <v>5629</v>
      </c>
      <c r="X936" t="s">
        <v>5624</v>
      </c>
    </row>
    <row r="937" spans="1:24" x14ac:dyDescent="0.55000000000000004">
      <c r="A937" t="s">
        <v>3987</v>
      </c>
      <c r="B937" t="s">
        <v>3988</v>
      </c>
      <c r="C937">
        <v>1999</v>
      </c>
      <c r="D937" t="s">
        <v>532</v>
      </c>
      <c r="E937">
        <v>84</v>
      </c>
      <c r="F937">
        <v>5</v>
      </c>
      <c r="H937">
        <v>577</v>
      </c>
      <c r="I937">
        <v>590</v>
      </c>
      <c r="K937" s="2" t="s">
        <v>3989</v>
      </c>
      <c r="L937" s="2" t="s">
        <v>3990</v>
      </c>
      <c r="M937" t="s">
        <v>3991</v>
      </c>
      <c r="N937" t="s">
        <v>3992</v>
      </c>
      <c r="O937" t="s">
        <v>143</v>
      </c>
      <c r="P937" t="s">
        <v>27</v>
      </c>
      <c r="Q937" t="s">
        <v>28</v>
      </c>
      <c r="R937" t="s">
        <v>28</v>
      </c>
      <c r="S937" t="s">
        <v>28</v>
      </c>
      <c r="T937" t="s">
        <v>28</v>
      </c>
      <c r="U937" t="s">
        <v>28</v>
      </c>
      <c r="V937" t="s">
        <v>28</v>
      </c>
      <c r="W937" s="16" t="s">
        <v>5629</v>
      </c>
      <c r="X937" t="s">
        <v>5624</v>
      </c>
    </row>
    <row r="938" spans="1:24" x14ac:dyDescent="0.55000000000000004">
      <c r="A938" t="s">
        <v>3993</v>
      </c>
      <c r="B938" t="s">
        <v>3994</v>
      </c>
      <c r="C938">
        <v>1999</v>
      </c>
      <c r="D938" t="s">
        <v>1586</v>
      </c>
      <c r="E938">
        <v>63</v>
      </c>
      <c r="F938">
        <v>5</v>
      </c>
      <c r="H938">
        <v>1429</v>
      </c>
      <c r="I938">
        <v>1435</v>
      </c>
      <c r="K938" s="2" t="s">
        <v>3995</v>
      </c>
      <c r="L938" s="2" t="s">
        <v>3996</v>
      </c>
      <c r="M938" t="s">
        <v>3997</v>
      </c>
      <c r="O938" t="s">
        <v>26</v>
      </c>
      <c r="P938" t="s">
        <v>27</v>
      </c>
      <c r="Q938" t="s">
        <v>28</v>
      </c>
      <c r="R938" t="s">
        <v>28</v>
      </c>
      <c r="S938" t="s">
        <v>28</v>
      </c>
      <c r="T938" t="s">
        <v>28</v>
      </c>
      <c r="U938" t="s">
        <v>28</v>
      </c>
      <c r="V938" t="s">
        <v>28</v>
      </c>
      <c r="W938" s="16" t="s">
        <v>5629</v>
      </c>
      <c r="X938" t="s">
        <v>5624</v>
      </c>
    </row>
    <row r="939" spans="1:24" x14ac:dyDescent="0.55000000000000004">
      <c r="A939" t="s">
        <v>3998</v>
      </c>
      <c r="B939" t="s">
        <v>3999</v>
      </c>
      <c r="C939">
        <v>1999</v>
      </c>
      <c r="D939" t="s">
        <v>1624</v>
      </c>
      <c r="E939">
        <v>1</v>
      </c>
      <c r="F939">
        <v>3</v>
      </c>
      <c r="H939">
        <v>241</v>
      </c>
      <c r="I939">
        <v>253</v>
      </c>
      <c r="K939" s="2" t="s">
        <v>4000</v>
      </c>
      <c r="L939" s="2" t="s">
        <v>4001</v>
      </c>
      <c r="M939" t="s">
        <v>4002</v>
      </c>
      <c r="N939" t="s">
        <v>4003</v>
      </c>
      <c r="O939" t="s">
        <v>26</v>
      </c>
      <c r="P939" t="s">
        <v>27</v>
      </c>
      <c r="Q939" t="s">
        <v>28</v>
      </c>
      <c r="R939" t="s">
        <v>28</v>
      </c>
      <c r="S939" t="s">
        <v>28</v>
      </c>
      <c r="T939" t="s">
        <v>28</v>
      </c>
      <c r="U939" t="s">
        <v>28</v>
      </c>
      <c r="V939" t="s">
        <v>28</v>
      </c>
      <c r="W939" s="16" t="s">
        <v>5629</v>
      </c>
      <c r="X939" t="s">
        <v>5624</v>
      </c>
    </row>
    <row r="940" spans="1:24" x14ac:dyDescent="0.55000000000000004">
      <c r="A940" t="s">
        <v>4004</v>
      </c>
      <c r="B940" t="s">
        <v>4005</v>
      </c>
      <c r="C940">
        <v>1998</v>
      </c>
      <c r="D940" t="s">
        <v>4006</v>
      </c>
      <c r="E940">
        <v>13</v>
      </c>
      <c r="F940">
        <v>11</v>
      </c>
      <c r="H940">
        <v>455</v>
      </c>
      <c r="I940">
        <v>458</v>
      </c>
      <c r="K940" s="2" t="s">
        <v>4007</v>
      </c>
      <c r="L940" s="2" t="s">
        <v>4008</v>
      </c>
      <c r="M940" t="s">
        <v>4009</v>
      </c>
      <c r="O940" t="s">
        <v>143</v>
      </c>
      <c r="P940" t="s">
        <v>27</v>
      </c>
      <c r="Q940" t="s">
        <v>28</v>
      </c>
      <c r="R940" t="s">
        <v>28</v>
      </c>
      <c r="S940" t="s">
        <v>28</v>
      </c>
      <c r="T940" t="s">
        <v>28</v>
      </c>
      <c r="U940" t="s">
        <v>28</v>
      </c>
      <c r="V940" t="s">
        <v>28</v>
      </c>
      <c r="W940" s="16" t="s">
        <v>5629</v>
      </c>
      <c r="X940" t="s">
        <v>5624</v>
      </c>
    </row>
    <row r="941" spans="1:24" x14ac:dyDescent="0.55000000000000004">
      <c r="A941" t="s">
        <v>4015</v>
      </c>
      <c r="B941" t="s">
        <v>4016</v>
      </c>
      <c r="C941">
        <v>1998</v>
      </c>
      <c r="D941" t="s">
        <v>413</v>
      </c>
      <c r="E941">
        <v>12</v>
      </c>
      <c r="F941">
        <v>3</v>
      </c>
      <c r="H941">
        <v>406</v>
      </c>
      <c r="I941">
        <v>412</v>
      </c>
      <c r="K941" s="2" t="s">
        <v>4017</v>
      </c>
      <c r="L941" s="2" t="s">
        <v>4018</v>
      </c>
      <c r="M941" t="s">
        <v>5265</v>
      </c>
      <c r="N941" t="s">
        <v>4019</v>
      </c>
      <c r="O941" t="s">
        <v>26</v>
      </c>
      <c r="P941" t="s">
        <v>27</v>
      </c>
      <c r="Q941" t="s">
        <v>43</v>
      </c>
      <c r="R941" t="s">
        <v>28</v>
      </c>
      <c r="S941" t="s">
        <v>43</v>
      </c>
      <c r="T941" t="s">
        <v>28</v>
      </c>
      <c r="U941" t="s">
        <v>28</v>
      </c>
      <c r="V941" t="s">
        <v>28</v>
      </c>
      <c r="W941" s="16" t="s">
        <v>5629</v>
      </c>
      <c r="X941" t="s">
        <v>5624</v>
      </c>
    </row>
    <row r="942" spans="1:24" x14ac:dyDescent="0.55000000000000004">
      <c r="A942" t="s">
        <v>3924</v>
      </c>
      <c r="B942" t="s">
        <v>4020</v>
      </c>
      <c r="C942">
        <v>1998</v>
      </c>
      <c r="D942" t="s">
        <v>68</v>
      </c>
      <c r="E942">
        <v>139</v>
      </c>
      <c r="F942">
        <v>3</v>
      </c>
      <c r="H942">
        <v>571</v>
      </c>
      <c r="I942">
        <v>580</v>
      </c>
      <c r="K942" s="2" t="s">
        <v>4021</v>
      </c>
      <c r="L942" s="2" t="s">
        <v>4022</v>
      </c>
      <c r="M942" t="s">
        <v>5266</v>
      </c>
      <c r="N942" t="s">
        <v>4023</v>
      </c>
      <c r="O942" t="s">
        <v>26</v>
      </c>
      <c r="P942" t="s">
        <v>27</v>
      </c>
      <c r="Q942" t="s">
        <v>28</v>
      </c>
      <c r="R942" t="s">
        <v>28</v>
      </c>
      <c r="S942" t="s">
        <v>28</v>
      </c>
      <c r="T942" t="s">
        <v>28</v>
      </c>
      <c r="U942" t="s">
        <v>28</v>
      </c>
      <c r="V942" t="s">
        <v>28</v>
      </c>
      <c r="W942" s="16" t="s">
        <v>5629</v>
      </c>
      <c r="X942" t="s">
        <v>5624</v>
      </c>
    </row>
    <row r="943" spans="1:24" x14ac:dyDescent="0.55000000000000004">
      <c r="A943" t="s">
        <v>4024</v>
      </c>
      <c r="B943" t="s">
        <v>4025</v>
      </c>
      <c r="C943">
        <v>1998</v>
      </c>
      <c r="D943" t="s">
        <v>68</v>
      </c>
      <c r="E943">
        <v>139</v>
      </c>
      <c r="F943">
        <v>2</v>
      </c>
      <c r="H943">
        <v>367</v>
      </c>
      <c r="I943">
        <v>373</v>
      </c>
      <c r="K943" s="2" t="s">
        <v>4026</v>
      </c>
      <c r="L943" s="2" t="s">
        <v>4027</v>
      </c>
      <c r="M943" t="s">
        <v>5267</v>
      </c>
      <c r="N943" t="s">
        <v>4028</v>
      </c>
      <c r="O943" t="s">
        <v>26</v>
      </c>
      <c r="P943" t="s">
        <v>27</v>
      </c>
      <c r="Q943" t="s">
        <v>28</v>
      </c>
      <c r="R943" t="s">
        <v>28</v>
      </c>
      <c r="S943" t="s">
        <v>28</v>
      </c>
      <c r="T943" t="s">
        <v>28</v>
      </c>
      <c r="U943" t="s">
        <v>28</v>
      </c>
      <c r="V943" t="s">
        <v>28</v>
      </c>
      <c r="W943" s="16" t="s">
        <v>5629</v>
      </c>
      <c r="X943" t="s">
        <v>5624</v>
      </c>
    </row>
    <row r="944" spans="1:24" x14ac:dyDescent="0.55000000000000004">
      <c r="A944" t="s">
        <v>5268</v>
      </c>
      <c r="B944" t="s">
        <v>4029</v>
      </c>
      <c r="C944">
        <v>1998</v>
      </c>
      <c r="D944" t="s">
        <v>2167</v>
      </c>
      <c r="E944">
        <v>392</v>
      </c>
      <c r="F944">
        <v>6679</v>
      </c>
      <c r="H944">
        <v>914</v>
      </c>
      <c r="I944">
        <v>917</v>
      </c>
      <c r="K944" s="2" t="s">
        <v>4030</v>
      </c>
      <c r="L944" s="2" t="s">
        <v>4031</v>
      </c>
      <c r="M944" t="s">
        <v>4032</v>
      </c>
      <c r="O944" t="s">
        <v>26</v>
      </c>
      <c r="P944" t="s">
        <v>27</v>
      </c>
      <c r="Q944" t="s">
        <v>28</v>
      </c>
      <c r="R944" t="s">
        <v>28</v>
      </c>
      <c r="S944" t="s">
        <v>28</v>
      </c>
      <c r="T944" t="s">
        <v>28</v>
      </c>
      <c r="U944" t="s">
        <v>28</v>
      </c>
      <c r="V944" t="s">
        <v>28</v>
      </c>
      <c r="W944" s="16" t="s">
        <v>5629</v>
      </c>
      <c r="X944" t="s">
        <v>5624</v>
      </c>
    </row>
    <row r="945" spans="1:24" x14ac:dyDescent="0.55000000000000004">
      <c r="A945" t="s">
        <v>4033</v>
      </c>
      <c r="B945" t="s">
        <v>4034</v>
      </c>
      <c r="C945">
        <v>1998</v>
      </c>
      <c r="D945" t="s">
        <v>4035</v>
      </c>
      <c r="E945">
        <v>39</v>
      </c>
      <c r="F945">
        <v>7</v>
      </c>
      <c r="H945">
        <v>521</v>
      </c>
      <c r="I945">
        <v>524</v>
      </c>
      <c r="K945" s="2" t="s">
        <v>4036</v>
      </c>
      <c r="L945" s="2" t="s">
        <v>4037</v>
      </c>
      <c r="M945" t="s">
        <v>4038</v>
      </c>
      <c r="O945" t="s">
        <v>26</v>
      </c>
      <c r="P945" t="s">
        <v>27</v>
      </c>
      <c r="Q945" t="s">
        <v>28</v>
      </c>
      <c r="R945" t="s">
        <v>28</v>
      </c>
      <c r="S945" t="s">
        <v>28</v>
      </c>
      <c r="T945" t="s">
        <v>28</v>
      </c>
      <c r="U945" t="s">
        <v>28</v>
      </c>
      <c r="V945" t="s">
        <v>28</v>
      </c>
      <c r="W945" s="16" t="s">
        <v>5629</v>
      </c>
      <c r="X945" t="s">
        <v>5624</v>
      </c>
    </row>
    <row r="946" spans="1:24" x14ac:dyDescent="0.55000000000000004">
      <c r="A946" t="s">
        <v>5269</v>
      </c>
      <c r="B946" t="s">
        <v>4039</v>
      </c>
      <c r="C946">
        <v>1997</v>
      </c>
      <c r="D946" t="s">
        <v>68</v>
      </c>
      <c r="E946">
        <v>137</v>
      </c>
      <c r="F946">
        <v>2</v>
      </c>
      <c r="H946">
        <v>179</v>
      </c>
      <c r="I946">
        <v>203</v>
      </c>
      <c r="K946" s="2" t="s">
        <v>4040</v>
      </c>
      <c r="L946" s="2" t="s">
        <v>4041</v>
      </c>
      <c r="M946" t="s">
        <v>5270</v>
      </c>
      <c r="N946" t="s">
        <v>4042</v>
      </c>
      <c r="O946" t="s">
        <v>143</v>
      </c>
      <c r="P946" t="s">
        <v>27</v>
      </c>
      <c r="Q946" t="s">
        <v>28</v>
      </c>
      <c r="R946" t="s">
        <v>28</v>
      </c>
      <c r="S946" t="s">
        <v>28</v>
      </c>
      <c r="T946" t="s">
        <v>28</v>
      </c>
      <c r="U946" t="s">
        <v>28</v>
      </c>
      <c r="V946" t="s">
        <v>28</v>
      </c>
      <c r="W946" s="16" t="s">
        <v>5629</v>
      </c>
      <c r="X946" t="s">
        <v>5624</v>
      </c>
    </row>
    <row r="947" spans="1:24" x14ac:dyDescent="0.55000000000000004">
      <c r="A947" t="s">
        <v>4043</v>
      </c>
      <c r="B947" t="s">
        <v>4044</v>
      </c>
      <c r="C947">
        <v>1997</v>
      </c>
      <c r="D947" t="s">
        <v>68</v>
      </c>
      <c r="E947">
        <v>136</v>
      </c>
      <c r="F947">
        <v>3</v>
      </c>
      <c r="H947">
        <v>533</v>
      </c>
      <c r="I947">
        <v>538</v>
      </c>
      <c r="K947" s="2" t="s">
        <v>4045</v>
      </c>
      <c r="L947" s="2" t="s">
        <v>4046</v>
      </c>
      <c r="M947" t="s">
        <v>5271</v>
      </c>
      <c r="N947" t="s">
        <v>4047</v>
      </c>
      <c r="O947" t="s">
        <v>26</v>
      </c>
      <c r="P947" t="s">
        <v>27</v>
      </c>
      <c r="Q947" t="s">
        <v>28</v>
      </c>
      <c r="R947" t="s">
        <v>28</v>
      </c>
      <c r="S947" t="s">
        <v>28</v>
      </c>
      <c r="T947" t="s">
        <v>28</v>
      </c>
      <c r="U947" t="s">
        <v>28</v>
      </c>
      <c r="V947" t="s">
        <v>28</v>
      </c>
      <c r="W947" s="16" t="s">
        <v>5629</v>
      </c>
      <c r="X947" t="s">
        <v>5624</v>
      </c>
    </row>
    <row r="948" spans="1:24" x14ac:dyDescent="0.55000000000000004">
      <c r="A948" t="s">
        <v>4048</v>
      </c>
      <c r="B948" t="s">
        <v>4049</v>
      </c>
      <c r="C948">
        <v>1997</v>
      </c>
      <c r="D948" t="s">
        <v>1900</v>
      </c>
      <c r="E948">
        <v>96</v>
      </c>
      <c r="F948" s="4">
        <v>44565</v>
      </c>
      <c r="H948">
        <v>233</v>
      </c>
      <c r="I948">
        <v>248</v>
      </c>
      <c r="K948" s="2" t="s">
        <v>4050</v>
      </c>
      <c r="L948" s="2" t="s">
        <v>4051</v>
      </c>
      <c r="M948" t="s">
        <v>4052</v>
      </c>
      <c r="N948" t="s">
        <v>4053</v>
      </c>
      <c r="O948" t="s">
        <v>26</v>
      </c>
      <c r="P948" t="s">
        <v>27</v>
      </c>
      <c r="Q948" t="s">
        <v>28</v>
      </c>
      <c r="R948" t="s">
        <v>28</v>
      </c>
      <c r="S948" t="s">
        <v>28</v>
      </c>
      <c r="T948" t="s">
        <v>28</v>
      </c>
      <c r="U948" t="s">
        <v>28</v>
      </c>
      <c r="V948" t="s">
        <v>28</v>
      </c>
      <c r="W948" s="16" t="s">
        <v>5629</v>
      </c>
      <c r="X948" t="s">
        <v>5624</v>
      </c>
    </row>
    <row r="949" spans="1:24" x14ac:dyDescent="0.55000000000000004">
      <c r="A949" t="s">
        <v>4054</v>
      </c>
      <c r="B949" t="s">
        <v>4055</v>
      </c>
      <c r="C949">
        <v>1997</v>
      </c>
      <c r="D949" t="s">
        <v>4056</v>
      </c>
      <c r="E949">
        <v>67</v>
      </c>
      <c r="F949">
        <v>6</v>
      </c>
      <c r="H949">
        <v>245</v>
      </c>
      <c r="I949">
        <v>248</v>
      </c>
      <c r="L949" s="2" t="s">
        <v>4057</v>
      </c>
      <c r="M949" t="s">
        <v>4058</v>
      </c>
      <c r="N949" t="s">
        <v>4059</v>
      </c>
      <c r="O949" t="s">
        <v>26</v>
      </c>
      <c r="P949" t="s">
        <v>27</v>
      </c>
      <c r="Q949" t="s">
        <v>28</v>
      </c>
      <c r="R949" t="s">
        <v>28</v>
      </c>
      <c r="S949" t="s">
        <v>28</v>
      </c>
      <c r="T949" t="s">
        <v>28</v>
      </c>
      <c r="U949" t="s">
        <v>28</v>
      </c>
      <c r="V949" t="s">
        <v>28</v>
      </c>
      <c r="W949" s="16" t="s">
        <v>5629</v>
      </c>
      <c r="X949" t="s">
        <v>5624</v>
      </c>
    </row>
    <row r="950" spans="1:24" x14ac:dyDescent="0.55000000000000004">
      <c r="A950" t="s">
        <v>4048</v>
      </c>
      <c r="B950" t="s">
        <v>4049</v>
      </c>
      <c r="C950">
        <v>1997</v>
      </c>
      <c r="D950" t="s">
        <v>1900</v>
      </c>
      <c r="E950">
        <v>96</v>
      </c>
      <c r="F950" s="4">
        <v>44565</v>
      </c>
      <c r="H950">
        <v>233</v>
      </c>
      <c r="I950">
        <v>248</v>
      </c>
      <c r="K950" s="2" t="s">
        <v>4060</v>
      </c>
      <c r="L950" s="2" t="s">
        <v>4061</v>
      </c>
      <c r="M950" t="s">
        <v>5272</v>
      </c>
      <c r="N950" t="s">
        <v>4062</v>
      </c>
      <c r="O950" t="s">
        <v>26</v>
      </c>
      <c r="P950" t="s">
        <v>27</v>
      </c>
      <c r="Q950" t="s">
        <v>28</v>
      </c>
      <c r="R950" t="s">
        <v>28</v>
      </c>
      <c r="S950" t="s">
        <v>28</v>
      </c>
      <c r="T950" t="s">
        <v>28</v>
      </c>
      <c r="U950" t="s">
        <v>28</v>
      </c>
      <c r="V950" t="s">
        <v>28</v>
      </c>
      <c r="W950" s="16" t="s">
        <v>5629</v>
      </c>
      <c r="X950" t="s">
        <v>5624</v>
      </c>
    </row>
    <row r="951" spans="1:24" x14ac:dyDescent="0.55000000000000004">
      <c r="A951" t="s">
        <v>5273</v>
      </c>
      <c r="B951" t="s">
        <v>4063</v>
      </c>
      <c r="C951">
        <v>1997</v>
      </c>
      <c r="D951" t="s">
        <v>4064</v>
      </c>
      <c r="E951">
        <v>42</v>
      </c>
      <c r="F951">
        <v>5</v>
      </c>
      <c r="H951">
        <v>489</v>
      </c>
      <c r="I951">
        <v>494</v>
      </c>
      <c r="K951" s="2" t="s">
        <v>4065</v>
      </c>
      <c r="L951" s="2" t="s">
        <v>4066</v>
      </c>
      <c r="M951" t="s">
        <v>4067</v>
      </c>
      <c r="O951" t="s">
        <v>26</v>
      </c>
      <c r="P951" t="s">
        <v>27</v>
      </c>
      <c r="Q951" t="s">
        <v>28</v>
      </c>
      <c r="R951" t="s">
        <v>28</v>
      </c>
      <c r="S951" t="s">
        <v>28</v>
      </c>
      <c r="T951" t="s">
        <v>28</v>
      </c>
      <c r="U951" t="s">
        <v>28</v>
      </c>
      <c r="V951" t="s">
        <v>28</v>
      </c>
      <c r="W951" s="16" t="s">
        <v>5629</v>
      </c>
      <c r="X951" t="s">
        <v>5624</v>
      </c>
    </row>
    <row r="952" spans="1:24" x14ac:dyDescent="0.55000000000000004">
      <c r="A952" t="s">
        <v>4068</v>
      </c>
      <c r="B952" t="s">
        <v>4069</v>
      </c>
      <c r="C952">
        <v>1997</v>
      </c>
      <c r="D952" t="s">
        <v>4070</v>
      </c>
      <c r="E952">
        <v>664</v>
      </c>
      <c r="H952">
        <v>152</v>
      </c>
      <c r="I952">
        <v>160</v>
      </c>
      <c r="K952" s="2" t="s">
        <v>4071</v>
      </c>
      <c r="L952" s="2" t="s">
        <v>4072</v>
      </c>
      <c r="M952" t="s">
        <v>4073</v>
      </c>
      <c r="O952" t="s">
        <v>26</v>
      </c>
      <c r="P952" t="s">
        <v>27</v>
      </c>
      <c r="Q952" t="s">
        <v>28</v>
      </c>
      <c r="R952" t="s">
        <v>28</v>
      </c>
      <c r="S952" t="s">
        <v>28</v>
      </c>
      <c r="T952" t="s">
        <v>28</v>
      </c>
      <c r="U952" t="s">
        <v>28</v>
      </c>
      <c r="V952" t="s">
        <v>28</v>
      </c>
      <c r="W952" s="16" t="s">
        <v>5629</v>
      </c>
      <c r="X952" t="s">
        <v>5624</v>
      </c>
    </row>
    <row r="953" spans="1:24" x14ac:dyDescent="0.55000000000000004">
      <c r="A953" t="s">
        <v>4074</v>
      </c>
      <c r="B953" t="s">
        <v>4075</v>
      </c>
      <c r="C953">
        <v>1997</v>
      </c>
      <c r="D953" t="s">
        <v>186</v>
      </c>
      <c r="E953">
        <v>189</v>
      </c>
      <c r="F953">
        <v>1</v>
      </c>
      <c r="H953">
        <v>11</v>
      </c>
      <c r="I953">
        <v>20</v>
      </c>
      <c r="K953" s="2" t="s">
        <v>4076</v>
      </c>
      <c r="L953" s="2" t="s">
        <v>4077</v>
      </c>
      <c r="M953" t="s">
        <v>4078</v>
      </c>
      <c r="N953" t="s">
        <v>4079</v>
      </c>
      <c r="O953" t="s">
        <v>26</v>
      </c>
      <c r="P953" t="s">
        <v>27</v>
      </c>
      <c r="Q953" t="s">
        <v>28</v>
      </c>
      <c r="R953" t="s">
        <v>28</v>
      </c>
      <c r="S953" t="s">
        <v>28</v>
      </c>
      <c r="T953" t="s">
        <v>28</v>
      </c>
      <c r="U953" t="s">
        <v>28</v>
      </c>
      <c r="V953" t="s">
        <v>28</v>
      </c>
      <c r="W953" s="16" t="s">
        <v>5629</v>
      </c>
      <c r="X953" t="s">
        <v>5624</v>
      </c>
    </row>
    <row r="954" spans="1:24" x14ac:dyDescent="0.55000000000000004">
      <c r="A954" t="s">
        <v>4080</v>
      </c>
      <c r="B954" t="s">
        <v>4081</v>
      </c>
      <c r="C954">
        <v>1997</v>
      </c>
      <c r="D954" t="s">
        <v>186</v>
      </c>
      <c r="E954">
        <v>192</v>
      </c>
      <c r="F954">
        <v>2</v>
      </c>
      <c r="H954">
        <v>153</v>
      </c>
      <c r="I954">
        <v>159</v>
      </c>
      <c r="K954" s="2" t="s">
        <v>4082</v>
      </c>
      <c r="L954" s="2" t="s">
        <v>4083</v>
      </c>
      <c r="M954" t="s">
        <v>4084</v>
      </c>
      <c r="N954" t="s">
        <v>5274</v>
      </c>
      <c r="O954" t="s">
        <v>26</v>
      </c>
      <c r="P954" t="s">
        <v>27</v>
      </c>
      <c r="Q954" t="s">
        <v>28</v>
      </c>
      <c r="R954" t="s">
        <v>28</v>
      </c>
      <c r="S954" t="s">
        <v>28</v>
      </c>
      <c r="T954" t="s">
        <v>28</v>
      </c>
      <c r="U954" t="s">
        <v>28</v>
      </c>
      <c r="V954" t="s">
        <v>28</v>
      </c>
      <c r="W954" s="16" t="s">
        <v>5629</v>
      </c>
      <c r="X954" t="s">
        <v>5624</v>
      </c>
    </row>
    <row r="955" spans="1:24" x14ac:dyDescent="0.55000000000000004">
      <c r="A955" t="s">
        <v>4089</v>
      </c>
      <c r="B955" t="s">
        <v>4090</v>
      </c>
      <c r="C955">
        <v>1996</v>
      </c>
      <c r="D955" t="s">
        <v>53</v>
      </c>
      <c r="E955">
        <v>28</v>
      </c>
      <c r="F955" s="4">
        <v>44656</v>
      </c>
      <c r="H955">
        <v>471</v>
      </c>
      <c r="I955">
        <v>477</v>
      </c>
      <c r="K955" s="2" t="s">
        <v>4091</v>
      </c>
      <c r="L955" s="2" t="s">
        <v>4092</v>
      </c>
      <c r="M955" t="s">
        <v>5276</v>
      </c>
      <c r="O955" t="s">
        <v>26</v>
      </c>
      <c r="P955" t="s">
        <v>27</v>
      </c>
      <c r="Q955" t="s">
        <v>28</v>
      </c>
      <c r="R955" t="s">
        <v>28</v>
      </c>
      <c r="S955" t="s">
        <v>28</v>
      </c>
      <c r="T955" t="s">
        <v>28</v>
      </c>
      <c r="U955" t="s">
        <v>28</v>
      </c>
      <c r="V955" t="s">
        <v>28</v>
      </c>
      <c r="W955" s="16" t="s">
        <v>5629</v>
      </c>
      <c r="X955" t="s">
        <v>5624</v>
      </c>
    </row>
    <row r="956" spans="1:24" x14ac:dyDescent="0.55000000000000004">
      <c r="A956" t="s">
        <v>4093</v>
      </c>
      <c r="B956" t="s">
        <v>4094</v>
      </c>
      <c r="C956">
        <v>1996</v>
      </c>
      <c r="D956" t="s">
        <v>532</v>
      </c>
      <c r="E956">
        <v>77</v>
      </c>
      <c r="F956">
        <v>4</v>
      </c>
      <c r="H956">
        <v>389</v>
      </c>
      <c r="I956">
        <v>398</v>
      </c>
      <c r="K956" s="2" t="s">
        <v>4095</v>
      </c>
      <c r="L956" s="2" t="s">
        <v>4096</v>
      </c>
      <c r="M956" t="s">
        <v>5277</v>
      </c>
      <c r="N956" t="s">
        <v>4097</v>
      </c>
      <c r="O956" t="s">
        <v>26</v>
      </c>
      <c r="P956" t="s">
        <v>27</v>
      </c>
      <c r="Q956" t="s">
        <v>28</v>
      </c>
      <c r="R956" t="s">
        <v>28</v>
      </c>
      <c r="S956" t="s">
        <v>28</v>
      </c>
      <c r="T956" t="s">
        <v>28</v>
      </c>
      <c r="U956" t="s">
        <v>28</v>
      </c>
      <c r="V956" t="s">
        <v>28</v>
      </c>
      <c r="W956" s="16" t="s">
        <v>5629</v>
      </c>
      <c r="X956" t="s">
        <v>5624</v>
      </c>
    </row>
    <row r="957" spans="1:24" x14ac:dyDescent="0.55000000000000004">
      <c r="A957" t="s">
        <v>4548</v>
      </c>
      <c r="B957" t="s">
        <v>4549</v>
      </c>
      <c r="C957">
        <v>1995</v>
      </c>
      <c r="D957" t="s">
        <v>923</v>
      </c>
      <c r="E957">
        <v>103</v>
      </c>
      <c r="H957">
        <v>17</v>
      </c>
      <c r="I957">
        <v>23</v>
      </c>
      <c r="K957" s="2" t="s">
        <v>4551</v>
      </c>
      <c r="L957" s="2" t="s">
        <v>4550</v>
      </c>
      <c r="O957" t="s">
        <v>26</v>
      </c>
      <c r="P957" t="s">
        <v>4384</v>
      </c>
      <c r="Q957" t="s">
        <v>43</v>
      </c>
      <c r="R957" t="s">
        <v>28</v>
      </c>
      <c r="S957" t="s">
        <v>28</v>
      </c>
      <c r="T957" t="s">
        <v>28</v>
      </c>
      <c r="U957" t="s">
        <v>28</v>
      </c>
      <c r="V957" t="s">
        <v>28</v>
      </c>
      <c r="W957" t="s">
        <v>4336</v>
      </c>
      <c r="X957" t="s">
        <v>5624</v>
      </c>
    </row>
    <row r="958" spans="1:24" x14ac:dyDescent="0.55000000000000004">
      <c r="A958" t="s">
        <v>4098</v>
      </c>
      <c r="B958" t="s">
        <v>4099</v>
      </c>
      <c r="C958">
        <v>1995</v>
      </c>
      <c r="D958" t="s">
        <v>4100</v>
      </c>
      <c r="E958">
        <v>187</v>
      </c>
      <c r="F958">
        <v>2</v>
      </c>
      <c r="H958">
        <v>119</v>
      </c>
      <c r="I958">
        <v>131</v>
      </c>
      <c r="K958" s="2" t="s">
        <v>4101</v>
      </c>
      <c r="L958" s="2" t="s">
        <v>4102</v>
      </c>
      <c r="M958" t="s">
        <v>5278</v>
      </c>
      <c r="N958" t="s">
        <v>4103</v>
      </c>
      <c r="O958" t="s">
        <v>26</v>
      </c>
      <c r="P958" t="s">
        <v>27</v>
      </c>
      <c r="Q958" t="s">
        <v>28</v>
      </c>
      <c r="R958" t="s">
        <v>28</v>
      </c>
      <c r="S958" t="s">
        <v>28</v>
      </c>
      <c r="T958" t="s">
        <v>28</v>
      </c>
      <c r="U958" t="s">
        <v>28</v>
      </c>
      <c r="V958" t="s">
        <v>28</v>
      </c>
      <c r="W958" s="16" t="s">
        <v>5629</v>
      </c>
      <c r="X958" t="s">
        <v>5624</v>
      </c>
    </row>
    <row r="959" spans="1:24" x14ac:dyDescent="0.55000000000000004">
      <c r="A959" t="s">
        <v>4104</v>
      </c>
      <c r="B959" t="s">
        <v>4105</v>
      </c>
      <c r="C959">
        <v>1995</v>
      </c>
      <c r="D959" t="s">
        <v>68</v>
      </c>
      <c r="E959">
        <v>131</v>
      </c>
      <c r="F959">
        <v>4</v>
      </c>
      <c r="H959">
        <v>471</v>
      </c>
      <c r="I959">
        <v>480</v>
      </c>
      <c r="K959" s="2" t="s">
        <v>4106</v>
      </c>
      <c r="L959" s="2" t="s">
        <v>4107</v>
      </c>
      <c r="M959" t="s">
        <v>5279</v>
      </c>
      <c r="N959" t="s">
        <v>4108</v>
      </c>
      <c r="O959" t="s">
        <v>26</v>
      </c>
      <c r="P959" t="s">
        <v>27</v>
      </c>
      <c r="Q959" t="s">
        <v>28</v>
      </c>
      <c r="R959" t="s">
        <v>28</v>
      </c>
      <c r="S959" t="s">
        <v>28</v>
      </c>
      <c r="T959" t="s">
        <v>28</v>
      </c>
      <c r="U959" t="s">
        <v>28</v>
      </c>
      <c r="V959" t="s">
        <v>28</v>
      </c>
      <c r="W959" s="16" t="s">
        <v>5629</v>
      </c>
      <c r="X959" t="s">
        <v>5624</v>
      </c>
    </row>
    <row r="960" spans="1:24" x14ac:dyDescent="0.55000000000000004">
      <c r="A960" t="s">
        <v>4109</v>
      </c>
      <c r="B960" t="s">
        <v>4110</v>
      </c>
      <c r="C960">
        <v>1995</v>
      </c>
      <c r="D960" t="s">
        <v>2637</v>
      </c>
      <c r="E960">
        <v>108</v>
      </c>
      <c r="F960">
        <v>1</v>
      </c>
      <c r="H960">
        <v>7</v>
      </c>
      <c r="I960">
        <v>15</v>
      </c>
      <c r="L960" s="2" t="s">
        <v>4111</v>
      </c>
      <c r="M960" t="s">
        <v>4112</v>
      </c>
      <c r="O960" t="s">
        <v>26</v>
      </c>
      <c r="P960" t="s">
        <v>27</v>
      </c>
      <c r="Q960" t="s">
        <v>28</v>
      </c>
      <c r="R960" t="s">
        <v>28</v>
      </c>
      <c r="S960" t="s">
        <v>28</v>
      </c>
      <c r="T960" t="s">
        <v>28</v>
      </c>
      <c r="U960" t="s">
        <v>28</v>
      </c>
      <c r="V960" t="s">
        <v>28</v>
      </c>
      <c r="W960" s="16" t="s">
        <v>5629</v>
      </c>
      <c r="X960" t="s">
        <v>5624</v>
      </c>
    </row>
    <row r="961" spans="1:51" x14ac:dyDescent="0.55000000000000004">
      <c r="A961" t="s">
        <v>5281</v>
      </c>
      <c r="B961" t="s">
        <v>4113</v>
      </c>
      <c r="C961">
        <v>1994</v>
      </c>
      <c r="D961" t="s">
        <v>3716</v>
      </c>
      <c r="E961">
        <v>71</v>
      </c>
      <c r="F961">
        <v>2</v>
      </c>
      <c r="H961">
        <v>246</v>
      </c>
      <c r="I961">
        <v>252</v>
      </c>
      <c r="K961" s="2" t="s">
        <v>4114</v>
      </c>
      <c r="L961" s="2" t="s">
        <v>4115</v>
      </c>
      <c r="M961" t="s">
        <v>932</v>
      </c>
      <c r="O961" t="s">
        <v>26</v>
      </c>
      <c r="P961" t="s">
        <v>27</v>
      </c>
      <c r="Q961" t="s">
        <v>28</v>
      </c>
      <c r="R961" t="s">
        <v>28</v>
      </c>
      <c r="S961" t="s">
        <v>28</v>
      </c>
      <c r="T961" t="s">
        <v>28</v>
      </c>
      <c r="U961" t="s">
        <v>28</v>
      </c>
      <c r="V961" t="s">
        <v>28</v>
      </c>
      <c r="W961" s="16" t="s">
        <v>5629</v>
      </c>
      <c r="X961" t="s">
        <v>5624</v>
      </c>
    </row>
    <row r="962" spans="1:51" x14ac:dyDescent="0.55000000000000004">
      <c r="A962" t="s">
        <v>4116</v>
      </c>
      <c r="B962" t="s">
        <v>5282</v>
      </c>
      <c r="C962">
        <v>1994</v>
      </c>
      <c r="D962" t="s">
        <v>68</v>
      </c>
      <c r="E962">
        <v>127</v>
      </c>
      <c r="F962">
        <v>4</v>
      </c>
      <c r="H962">
        <v>725</v>
      </c>
      <c r="I962">
        <v>729</v>
      </c>
      <c r="K962" s="2" t="s">
        <v>4117</v>
      </c>
      <c r="L962" s="2" t="s">
        <v>4118</v>
      </c>
      <c r="M962" t="s">
        <v>5283</v>
      </c>
      <c r="N962" t="s">
        <v>4119</v>
      </c>
      <c r="O962" t="s">
        <v>26</v>
      </c>
      <c r="P962" t="s">
        <v>27</v>
      </c>
      <c r="Q962" t="s">
        <v>28</v>
      </c>
      <c r="R962" t="s">
        <v>28</v>
      </c>
      <c r="S962" t="s">
        <v>28</v>
      </c>
      <c r="T962" t="s">
        <v>28</v>
      </c>
      <c r="U962" t="s">
        <v>28</v>
      </c>
      <c r="V962" t="s">
        <v>28</v>
      </c>
      <c r="W962" s="16" t="s">
        <v>5629</v>
      </c>
      <c r="X962" t="s">
        <v>5624</v>
      </c>
    </row>
    <row r="963" spans="1:51" x14ac:dyDescent="0.55000000000000004">
      <c r="A963" t="s">
        <v>4120</v>
      </c>
      <c r="B963" t="s">
        <v>4121</v>
      </c>
      <c r="C963">
        <v>1994</v>
      </c>
      <c r="D963" t="s">
        <v>68</v>
      </c>
      <c r="E963">
        <v>128</v>
      </c>
      <c r="F963">
        <v>1</v>
      </c>
      <c r="H963">
        <v>115</v>
      </c>
      <c r="I963">
        <v>122</v>
      </c>
      <c r="K963" s="2" t="s">
        <v>4122</v>
      </c>
      <c r="L963" s="2" t="s">
        <v>4123</v>
      </c>
      <c r="M963" t="s">
        <v>5284</v>
      </c>
      <c r="N963" t="s">
        <v>5285</v>
      </c>
      <c r="O963" t="s">
        <v>26</v>
      </c>
      <c r="P963" t="s">
        <v>27</v>
      </c>
      <c r="Q963" t="s">
        <v>28</v>
      </c>
      <c r="R963" t="s">
        <v>28</v>
      </c>
      <c r="S963" t="s">
        <v>28</v>
      </c>
      <c r="T963" t="s">
        <v>28</v>
      </c>
      <c r="U963" t="s">
        <v>28</v>
      </c>
      <c r="V963" t="s">
        <v>28</v>
      </c>
      <c r="W963" s="16" t="s">
        <v>5629</v>
      </c>
      <c r="X963" t="s">
        <v>5624</v>
      </c>
    </row>
    <row r="964" spans="1:51" x14ac:dyDescent="0.55000000000000004">
      <c r="A964" t="s">
        <v>4124</v>
      </c>
      <c r="B964" t="s">
        <v>4125</v>
      </c>
      <c r="C964">
        <v>1994</v>
      </c>
      <c r="D964" t="s">
        <v>68</v>
      </c>
      <c r="E964">
        <v>126</v>
      </c>
      <c r="F964">
        <v>1</v>
      </c>
      <c r="H964">
        <v>99</v>
      </c>
      <c r="I964">
        <v>104</v>
      </c>
      <c r="K964" s="2" t="s">
        <v>4126</v>
      </c>
      <c r="L964" s="2" t="s">
        <v>4127</v>
      </c>
      <c r="M964" t="s">
        <v>5286</v>
      </c>
      <c r="N964" t="s">
        <v>5287</v>
      </c>
      <c r="O964" t="s">
        <v>26</v>
      </c>
      <c r="P964" t="s">
        <v>27</v>
      </c>
      <c r="Q964" t="s">
        <v>28</v>
      </c>
      <c r="R964" t="s">
        <v>28</v>
      </c>
      <c r="S964" t="s">
        <v>28</v>
      </c>
      <c r="T964" t="s">
        <v>28</v>
      </c>
      <c r="U964" t="s">
        <v>28</v>
      </c>
      <c r="V964" t="s">
        <v>28</v>
      </c>
      <c r="W964" s="16" t="s">
        <v>5629</v>
      </c>
      <c r="X964" t="s">
        <v>5624</v>
      </c>
    </row>
    <row r="965" spans="1:51" x14ac:dyDescent="0.55000000000000004">
      <c r="A965" t="s">
        <v>4132</v>
      </c>
      <c r="B965" t="s">
        <v>4133</v>
      </c>
      <c r="C965">
        <v>1994</v>
      </c>
      <c r="D965" t="s">
        <v>68</v>
      </c>
      <c r="E965">
        <v>127</v>
      </c>
      <c r="F965">
        <v>4</v>
      </c>
      <c r="H965">
        <v>719</v>
      </c>
      <c r="I965">
        <v>724</v>
      </c>
      <c r="K965" s="2" t="s">
        <v>4134</v>
      </c>
      <c r="L965" s="2" t="s">
        <v>4135</v>
      </c>
      <c r="M965" t="s">
        <v>5290</v>
      </c>
      <c r="N965" t="s">
        <v>4136</v>
      </c>
      <c r="O965" t="s">
        <v>26</v>
      </c>
      <c r="P965" t="s">
        <v>27</v>
      </c>
      <c r="Q965" t="s">
        <v>28</v>
      </c>
      <c r="R965" t="s">
        <v>28</v>
      </c>
      <c r="S965" t="s">
        <v>28</v>
      </c>
      <c r="T965" t="s">
        <v>28</v>
      </c>
      <c r="U965" t="s">
        <v>28</v>
      </c>
      <c r="V965" t="s">
        <v>28</v>
      </c>
      <c r="W965" s="16" t="s">
        <v>5629</v>
      </c>
      <c r="X965" t="s">
        <v>5624</v>
      </c>
    </row>
    <row r="966" spans="1:51" x14ac:dyDescent="0.55000000000000004">
      <c r="A966" t="s">
        <v>4137</v>
      </c>
      <c r="B966" t="s">
        <v>5291</v>
      </c>
      <c r="C966">
        <v>1994</v>
      </c>
      <c r="D966" t="s">
        <v>4138</v>
      </c>
      <c r="E966">
        <v>19</v>
      </c>
      <c r="F966">
        <v>4</v>
      </c>
      <c r="H966">
        <v>277</v>
      </c>
      <c r="I966">
        <v>280</v>
      </c>
      <c r="K966" s="2" t="s">
        <v>4139</v>
      </c>
      <c r="L966" s="2" t="s">
        <v>4140</v>
      </c>
      <c r="M966" t="s">
        <v>5292</v>
      </c>
      <c r="O966" t="s">
        <v>26</v>
      </c>
      <c r="P966" t="s">
        <v>27</v>
      </c>
      <c r="Q966" t="s">
        <v>28</v>
      </c>
      <c r="R966" t="s">
        <v>28</v>
      </c>
      <c r="S966" t="s">
        <v>28</v>
      </c>
      <c r="T966" t="s">
        <v>28</v>
      </c>
      <c r="U966" t="s">
        <v>28</v>
      </c>
      <c r="V966" t="s">
        <v>28</v>
      </c>
      <c r="W966" s="16" t="s">
        <v>5629</v>
      </c>
      <c r="X966" t="s">
        <v>5624</v>
      </c>
    </row>
    <row r="967" spans="1:51" x14ac:dyDescent="0.55000000000000004">
      <c r="A967" t="s">
        <v>4146</v>
      </c>
      <c r="B967" t="s">
        <v>4147</v>
      </c>
      <c r="C967">
        <v>1993</v>
      </c>
      <c r="D967" t="s">
        <v>68</v>
      </c>
      <c r="E967">
        <v>124</v>
      </c>
      <c r="F967">
        <v>2</v>
      </c>
      <c r="H967">
        <v>215</v>
      </c>
      <c r="I967">
        <v>219</v>
      </c>
      <c r="K967" s="2" t="s">
        <v>4148</v>
      </c>
      <c r="L967" s="2" t="s">
        <v>4149</v>
      </c>
      <c r="M967" t="s">
        <v>5294</v>
      </c>
      <c r="N967" t="s">
        <v>4150</v>
      </c>
      <c r="O967" t="s">
        <v>26</v>
      </c>
      <c r="P967" t="s">
        <v>27</v>
      </c>
      <c r="Q967" t="s">
        <v>28</v>
      </c>
      <c r="R967" t="s">
        <v>28</v>
      </c>
      <c r="S967" t="s">
        <v>28</v>
      </c>
      <c r="T967" t="s">
        <v>28</v>
      </c>
      <c r="U967" t="s">
        <v>28</v>
      </c>
      <c r="V967" t="s">
        <v>28</v>
      </c>
      <c r="W967" s="16" t="s">
        <v>5629</v>
      </c>
      <c r="X967" t="s">
        <v>5624</v>
      </c>
    </row>
    <row r="968" spans="1:51" x14ac:dyDescent="0.55000000000000004">
      <c r="A968" t="s">
        <v>4151</v>
      </c>
      <c r="B968" t="s">
        <v>4152</v>
      </c>
      <c r="C968">
        <v>1993</v>
      </c>
      <c r="D968" t="s">
        <v>532</v>
      </c>
      <c r="E968">
        <v>71</v>
      </c>
      <c r="F968">
        <v>1</v>
      </c>
      <c r="H968">
        <v>1</v>
      </c>
      <c r="I968">
        <v>10</v>
      </c>
      <c r="K968" s="2" t="s">
        <v>4153</v>
      </c>
      <c r="L968" s="2" t="s">
        <v>4154</v>
      </c>
      <c r="M968" t="s">
        <v>5295</v>
      </c>
      <c r="N968" t="s">
        <v>4155</v>
      </c>
      <c r="O968" t="s">
        <v>26</v>
      </c>
      <c r="P968" t="s">
        <v>27</v>
      </c>
      <c r="Q968" t="s">
        <v>28</v>
      </c>
      <c r="R968" t="s">
        <v>28</v>
      </c>
      <c r="S968" t="s">
        <v>28</v>
      </c>
      <c r="T968" t="s">
        <v>28</v>
      </c>
      <c r="U968" t="s">
        <v>28</v>
      </c>
      <c r="V968" t="s">
        <v>28</v>
      </c>
      <c r="W968" s="16" t="s">
        <v>5629</v>
      </c>
      <c r="X968" t="s">
        <v>5624</v>
      </c>
    </row>
    <row r="969" spans="1:51" x14ac:dyDescent="0.55000000000000004">
      <c r="A969" t="s">
        <v>4156</v>
      </c>
      <c r="B969" t="s">
        <v>4157</v>
      </c>
      <c r="C969">
        <v>1992</v>
      </c>
      <c r="D969" t="s">
        <v>513</v>
      </c>
      <c r="E969">
        <v>2</v>
      </c>
      <c r="F969">
        <v>2</v>
      </c>
      <c r="H969">
        <v>69</v>
      </c>
      <c r="I969">
        <v>73</v>
      </c>
      <c r="K969" s="2" t="s">
        <v>4158</v>
      </c>
      <c r="L969" s="2" t="s">
        <v>4159</v>
      </c>
      <c r="M969" t="s">
        <v>5296</v>
      </c>
      <c r="N969" t="s">
        <v>4160</v>
      </c>
      <c r="O969" t="s">
        <v>26</v>
      </c>
      <c r="P969" t="s">
        <v>27</v>
      </c>
      <c r="Q969" t="s">
        <v>43</v>
      </c>
      <c r="R969" t="s">
        <v>28</v>
      </c>
      <c r="S969" t="s">
        <v>43</v>
      </c>
      <c r="T969" t="s">
        <v>28</v>
      </c>
      <c r="U969" t="s">
        <v>28</v>
      </c>
      <c r="V969" t="s">
        <v>28</v>
      </c>
      <c r="W969" s="16" t="s">
        <v>5629</v>
      </c>
      <c r="X969" t="s">
        <v>5624</v>
      </c>
    </row>
    <row r="970" spans="1:51" x14ac:dyDescent="0.55000000000000004">
      <c r="A970" t="s">
        <v>4161</v>
      </c>
      <c r="B970" t="s">
        <v>4162</v>
      </c>
      <c r="C970">
        <v>1992</v>
      </c>
      <c r="D970" t="s">
        <v>68</v>
      </c>
      <c r="E970">
        <v>122</v>
      </c>
      <c r="F970">
        <v>1</v>
      </c>
      <c r="H970">
        <v>153</v>
      </c>
      <c r="I970">
        <v>158</v>
      </c>
      <c r="K970" s="2" t="s">
        <v>4163</v>
      </c>
      <c r="L970" s="2" t="s">
        <v>4164</v>
      </c>
      <c r="M970" t="s">
        <v>5297</v>
      </c>
      <c r="N970" t="s">
        <v>4165</v>
      </c>
      <c r="O970" t="s">
        <v>26</v>
      </c>
      <c r="P970" t="s">
        <v>27</v>
      </c>
      <c r="Q970" t="s">
        <v>28</v>
      </c>
      <c r="R970" t="s">
        <v>28</v>
      </c>
      <c r="S970" t="s">
        <v>28</v>
      </c>
      <c r="T970" t="s">
        <v>28</v>
      </c>
      <c r="U970" t="s">
        <v>28</v>
      </c>
      <c r="V970" t="s">
        <v>28</v>
      </c>
      <c r="W970" s="16" t="s">
        <v>5629</v>
      </c>
      <c r="X970" t="s">
        <v>5624</v>
      </c>
    </row>
    <row r="971" spans="1:51" x14ac:dyDescent="0.55000000000000004">
      <c r="A971" t="s">
        <v>4166</v>
      </c>
      <c r="B971" t="s">
        <v>5298</v>
      </c>
      <c r="C971">
        <v>1992</v>
      </c>
      <c r="D971" t="s">
        <v>68</v>
      </c>
      <c r="E971">
        <v>120</v>
      </c>
      <c r="F971">
        <v>3</v>
      </c>
      <c r="H971">
        <v>381</v>
      </c>
      <c r="I971">
        <v>387</v>
      </c>
      <c r="K971" s="2" t="s">
        <v>4167</v>
      </c>
      <c r="L971" s="2" t="s">
        <v>4168</v>
      </c>
      <c r="M971" t="s">
        <v>5299</v>
      </c>
      <c r="N971" t="s">
        <v>5300</v>
      </c>
      <c r="O971" t="s">
        <v>26</v>
      </c>
      <c r="P971" t="s">
        <v>27</v>
      </c>
      <c r="Q971" t="s">
        <v>28</v>
      </c>
      <c r="R971" t="s">
        <v>28</v>
      </c>
      <c r="S971" t="s">
        <v>28</v>
      </c>
      <c r="T971" t="s">
        <v>28</v>
      </c>
      <c r="U971" t="s">
        <v>28</v>
      </c>
      <c r="V971" t="s">
        <v>28</v>
      </c>
      <c r="W971" s="16" t="s">
        <v>5629</v>
      </c>
      <c r="X971" t="s">
        <v>5624</v>
      </c>
    </row>
    <row r="972" spans="1:51" x14ac:dyDescent="0.55000000000000004">
      <c r="A972" t="s">
        <v>3871</v>
      </c>
      <c r="B972" t="s">
        <v>3872</v>
      </c>
      <c r="C972">
        <v>2000</v>
      </c>
      <c r="D972" t="s">
        <v>68</v>
      </c>
      <c r="E972">
        <v>146</v>
      </c>
      <c r="F972">
        <v>1</v>
      </c>
      <c r="H972">
        <v>163</v>
      </c>
      <c r="I972">
        <v>168</v>
      </c>
      <c r="K972" s="2" t="s">
        <v>3873</v>
      </c>
      <c r="L972" s="2" t="s">
        <v>3874</v>
      </c>
      <c r="M972" t="s">
        <v>5246</v>
      </c>
      <c r="N972" t="s">
        <v>3875</v>
      </c>
      <c r="O972" t="s">
        <v>26</v>
      </c>
      <c r="P972" t="s">
        <v>27</v>
      </c>
      <c r="Q972" t="s">
        <v>43</v>
      </c>
      <c r="R972" t="s">
        <v>43</v>
      </c>
      <c r="S972" t="s">
        <v>28</v>
      </c>
      <c r="T972" t="s">
        <v>28</v>
      </c>
      <c r="U972" t="s">
        <v>28</v>
      </c>
      <c r="V972" t="s">
        <v>28</v>
      </c>
      <c r="W972" s="16" t="s">
        <v>5629</v>
      </c>
      <c r="X972" t="s">
        <v>5624</v>
      </c>
      <c r="Y972" t="s">
        <v>4495</v>
      </c>
      <c r="Z972" t="s">
        <v>4358</v>
      </c>
      <c r="AA972" t="s">
        <v>5369</v>
      </c>
      <c r="AB972" t="s">
        <v>4471</v>
      </c>
      <c r="AC972" t="s">
        <v>4460</v>
      </c>
      <c r="AE972" t="s">
        <v>5709</v>
      </c>
      <c r="AF972" t="s">
        <v>4356</v>
      </c>
      <c r="AG972" t="s">
        <v>5406</v>
      </c>
      <c r="AH972" t="s">
        <v>4524</v>
      </c>
      <c r="AI972" t="s">
        <v>4343</v>
      </c>
      <c r="AJ972">
        <v>672</v>
      </c>
      <c r="AK972">
        <f t="shared" ref="AK972:AK974" si="9">28*24</f>
        <v>672</v>
      </c>
      <c r="AL972" t="s">
        <v>5408</v>
      </c>
      <c r="AM972" t="s">
        <v>4440</v>
      </c>
      <c r="AO972">
        <v>8</v>
      </c>
      <c r="AP972">
        <v>51.985416000000001</v>
      </c>
      <c r="AQ972">
        <v>5.6622690000000002</v>
      </c>
      <c r="AS972" t="s">
        <v>5410</v>
      </c>
      <c r="AT972">
        <f t="shared" ref="AT972:AT974" si="10">AVERAGE(20.14)</f>
        <v>20.14</v>
      </c>
      <c r="AU972">
        <v>400</v>
      </c>
      <c r="AV972" s="22">
        <f>((4.9/57.9)*100)*0.93</f>
        <v>7.8704663212435246</v>
      </c>
      <c r="AX972" t="s">
        <v>5674</v>
      </c>
      <c r="AY972" t="s">
        <v>43</v>
      </c>
    </row>
    <row r="973" spans="1:51" x14ac:dyDescent="0.55000000000000004">
      <c r="A973" t="s">
        <v>3871</v>
      </c>
      <c r="B973" t="s">
        <v>3872</v>
      </c>
      <c r="C973">
        <v>2000</v>
      </c>
      <c r="D973" t="s">
        <v>68</v>
      </c>
      <c r="E973">
        <v>146</v>
      </c>
      <c r="F973">
        <v>1</v>
      </c>
      <c r="H973">
        <v>163</v>
      </c>
      <c r="I973">
        <v>168</v>
      </c>
      <c r="K973" s="2" t="s">
        <v>3873</v>
      </c>
      <c r="L973" s="2" t="s">
        <v>3874</v>
      </c>
      <c r="M973" t="s">
        <v>5246</v>
      </c>
      <c r="N973" t="s">
        <v>3875</v>
      </c>
      <c r="O973" t="s">
        <v>26</v>
      </c>
      <c r="P973" t="s">
        <v>27</v>
      </c>
      <c r="Q973" t="s">
        <v>43</v>
      </c>
      <c r="R973" t="s">
        <v>43</v>
      </c>
      <c r="S973" t="s">
        <v>28</v>
      </c>
      <c r="T973" t="s">
        <v>28</v>
      </c>
      <c r="U973" t="s">
        <v>28</v>
      </c>
      <c r="V973" t="s">
        <v>28</v>
      </c>
      <c r="W973" s="16" t="s">
        <v>5629</v>
      </c>
      <c r="X973" t="s">
        <v>5624</v>
      </c>
      <c r="Y973" t="s">
        <v>4495</v>
      </c>
      <c r="Z973" t="s">
        <v>4358</v>
      </c>
      <c r="AA973" t="s">
        <v>5369</v>
      </c>
      <c r="AB973" t="s">
        <v>4471</v>
      </c>
      <c r="AC973" t="s">
        <v>4460</v>
      </c>
      <c r="AE973" t="s">
        <v>5709</v>
      </c>
      <c r="AF973" t="s">
        <v>4356</v>
      </c>
      <c r="AG973" t="s">
        <v>4581</v>
      </c>
      <c r="AH973" t="s">
        <v>5407</v>
      </c>
      <c r="AI973" t="s">
        <v>4343</v>
      </c>
      <c r="AJ973">
        <v>672</v>
      </c>
      <c r="AK973">
        <f t="shared" si="9"/>
        <v>672</v>
      </c>
      <c r="AL973" t="s">
        <v>5409</v>
      </c>
      <c r="AM973" t="s">
        <v>4440</v>
      </c>
      <c r="AO973">
        <v>8</v>
      </c>
      <c r="AP973">
        <v>51.985416000000001</v>
      </c>
      <c r="AQ973">
        <v>5.6622690000000002</v>
      </c>
      <c r="AS973" t="s">
        <v>5413</v>
      </c>
      <c r="AT973">
        <f t="shared" si="10"/>
        <v>20.14</v>
      </c>
      <c r="AU973">
        <v>400</v>
      </c>
      <c r="AV973" s="22">
        <f>((30.1/188.1)*100)*0.93</f>
        <v>14.881977671451359</v>
      </c>
      <c r="AX973" t="s">
        <v>5674</v>
      </c>
      <c r="AY973" t="s">
        <v>43</v>
      </c>
    </row>
    <row r="974" spans="1:51" x14ac:dyDescent="0.55000000000000004">
      <c r="A974" t="s">
        <v>3871</v>
      </c>
      <c r="B974" t="s">
        <v>3872</v>
      </c>
      <c r="C974">
        <v>2000</v>
      </c>
      <c r="D974" t="s">
        <v>68</v>
      </c>
      <c r="E974">
        <v>146</v>
      </c>
      <c r="F974">
        <v>1</v>
      </c>
      <c r="H974">
        <v>163</v>
      </c>
      <c r="I974">
        <v>168</v>
      </c>
      <c r="K974" s="2" t="s">
        <v>3873</v>
      </c>
      <c r="L974" s="2" t="s">
        <v>3874</v>
      </c>
      <c r="M974" t="s">
        <v>5246</v>
      </c>
      <c r="N974" t="s">
        <v>3875</v>
      </c>
      <c r="O974" t="s">
        <v>26</v>
      </c>
      <c r="P974" t="s">
        <v>27</v>
      </c>
      <c r="Q974" t="s">
        <v>43</v>
      </c>
      <c r="R974" t="s">
        <v>43</v>
      </c>
      <c r="S974" t="s">
        <v>28</v>
      </c>
      <c r="T974" t="s">
        <v>28</v>
      </c>
      <c r="U974" t="s">
        <v>28</v>
      </c>
      <c r="V974" t="s">
        <v>28</v>
      </c>
      <c r="W974" s="16" t="s">
        <v>5629</v>
      </c>
      <c r="X974" t="s">
        <v>5624</v>
      </c>
      <c r="Y974" t="s">
        <v>4495</v>
      </c>
      <c r="Z974" t="s">
        <v>4358</v>
      </c>
      <c r="AA974" t="s">
        <v>5369</v>
      </c>
      <c r="AB974" t="s">
        <v>4471</v>
      </c>
      <c r="AC974" t="s">
        <v>4460</v>
      </c>
      <c r="AE974" t="s">
        <v>5709</v>
      </c>
      <c r="AF974" t="s">
        <v>4356</v>
      </c>
      <c r="AG974" t="s">
        <v>5406</v>
      </c>
      <c r="AH974" t="s">
        <v>4524</v>
      </c>
      <c r="AI974" t="s">
        <v>4343</v>
      </c>
      <c r="AJ974">
        <v>672</v>
      </c>
      <c r="AK974">
        <f t="shared" si="9"/>
        <v>672</v>
      </c>
      <c r="AL974" t="s">
        <v>5409</v>
      </c>
      <c r="AM974" t="s">
        <v>4440</v>
      </c>
      <c r="AO974">
        <v>8</v>
      </c>
      <c r="AP974">
        <v>51.985416000000001</v>
      </c>
      <c r="AQ974">
        <v>5.6622690000000002</v>
      </c>
      <c r="AS974" t="s">
        <v>5411</v>
      </c>
      <c r="AT974">
        <f t="shared" si="10"/>
        <v>20.14</v>
      </c>
      <c r="AU974">
        <v>400</v>
      </c>
      <c r="AV974" s="22">
        <f>((6.6/90.5)*100)*0.93</f>
        <v>6.7823204419889507</v>
      </c>
      <c r="AX974" t="s">
        <v>5674</v>
      </c>
      <c r="AY974" t="s">
        <v>43</v>
      </c>
    </row>
    <row r="975" spans="1:51" x14ac:dyDescent="0.55000000000000004">
      <c r="A975" t="s">
        <v>4169</v>
      </c>
      <c r="B975" t="s">
        <v>4170</v>
      </c>
      <c r="C975">
        <v>1991</v>
      </c>
      <c r="D975" t="s">
        <v>4171</v>
      </c>
      <c r="E975">
        <v>5</v>
      </c>
      <c r="F975">
        <v>1</v>
      </c>
      <c r="H975">
        <v>36</v>
      </c>
      <c r="I975">
        <v>43</v>
      </c>
      <c r="K975" s="2" t="s">
        <v>4172</v>
      </c>
      <c r="L975" s="2" t="s">
        <v>4173</v>
      </c>
      <c r="M975" t="s">
        <v>5301</v>
      </c>
      <c r="N975" t="s">
        <v>4174</v>
      </c>
      <c r="O975" t="s">
        <v>26</v>
      </c>
      <c r="P975" t="s">
        <v>27</v>
      </c>
      <c r="Q975" t="s">
        <v>43</v>
      </c>
      <c r="R975" t="s">
        <v>28</v>
      </c>
      <c r="S975" t="s">
        <v>28</v>
      </c>
      <c r="T975" t="s">
        <v>28</v>
      </c>
      <c r="U975" t="s">
        <v>28</v>
      </c>
      <c r="V975" t="s">
        <v>28</v>
      </c>
      <c r="W975" s="16" t="s">
        <v>5629</v>
      </c>
      <c r="X975" t="s">
        <v>5624</v>
      </c>
    </row>
    <row r="976" spans="1:51" x14ac:dyDescent="0.55000000000000004">
      <c r="A976" t="s">
        <v>4175</v>
      </c>
      <c r="B976" t="s">
        <v>4176</v>
      </c>
      <c r="C976">
        <v>1991</v>
      </c>
      <c r="D976" t="s">
        <v>68</v>
      </c>
      <c r="E976">
        <v>119</v>
      </c>
      <c r="F976">
        <v>2</v>
      </c>
      <c r="H976">
        <v>243</v>
      </c>
      <c r="I976">
        <v>250</v>
      </c>
      <c r="K976" s="2" t="s">
        <v>4177</v>
      </c>
      <c r="L976" s="2" t="s">
        <v>4178</v>
      </c>
      <c r="M976" t="s">
        <v>5302</v>
      </c>
      <c r="N976" t="s">
        <v>4179</v>
      </c>
      <c r="O976" t="s">
        <v>26</v>
      </c>
      <c r="P976" t="s">
        <v>27</v>
      </c>
      <c r="Q976" t="s">
        <v>28</v>
      </c>
      <c r="R976" t="s">
        <v>28</v>
      </c>
      <c r="S976" t="s">
        <v>28</v>
      </c>
      <c r="T976" t="s">
        <v>28</v>
      </c>
      <c r="U976" t="s">
        <v>28</v>
      </c>
      <c r="V976" t="s">
        <v>28</v>
      </c>
      <c r="W976" s="16" t="s">
        <v>5629</v>
      </c>
      <c r="X976" t="s">
        <v>5624</v>
      </c>
    </row>
    <row r="977" spans="1:50" x14ac:dyDescent="0.55000000000000004">
      <c r="A977" t="s">
        <v>5303</v>
      </c>
      <c r="B977" t="s">
        <v>5304</v>
      </c>
      <c r="C977">
        <v>1991</v>
      </c>
      <c r="D977" t="s">
        <v>68</v>
      </c>
      <c r="E977">
        <v>118</v>
      </c>
      <c r="F977">
        <v>4</v>
      </c>
      <c r="H977">
        <v>547</v>
      </c>
      <c r="I977">
        <v>552</v>
      </c>
      <c r="K977" s="2" t="s">
        <v>4180</v>
      </c>
      <c r="L977" s="2" t="s">
        <v>4181</v>
      </c>
      <c r="M977" t="s">
        <v>5305</v>
      </c>
      <c r="N977" t="s">
        <v>5306</v>
      </c>
      <c r="O977" t="s">
        <v>26</v>
      </c>
      <c r="P977" t="s">
        <v>27</v>
      </c>
      <c r="Q977" t="s">
        <v>28</v>
      </c>
      <c r="R977" t="s">
        <v>28</v>
      </c>
      <c r="S977" t="s">
        <v>28</v>
      </c>
      <c r="T977" t="s">
        <v>28</v>
      </c>
      <c r="U977" t="s">
        <v>28</v>
      </c>
      <c r="V977" t="s">
        <v>28</v>
      </c>
      <c r="W977" s="16" t="s">
        <v>5629</v>
      </c>
      <c r="X977" t="s">
        <v>5624</v>
      </c>
    </row>
    <row r="978" spans="1:50" x14ac:dyDescent="0.55000000000000004">
      <c r="A978" t="s">
        <v>4185</v>
      </c>
      <c r="B978" t="s">
        <v>4186</v>
      </c>
      <c r="C978">
        <v>1991</v>
      </c>
      <c r="D978" t="s">
        <v>4187</v>
      </c>
      <c r="E978">
        <v>53</v>
      </c>
      <c r="F978" t="s">
        <v>4188</v>
      </c>
      <c r="H978">
        <v>205</v>
      </c>
      <c r="I978">
        <v>246</v>
      </c>
      <c r="K978" s="2" t="s">
        <v>4189</v>
      </c>
      <c r="L978" s="2" t="s">
        <v>4190</v>
      </c>
      <c r="M978" t="s">
        <v>5310</v>
      </c>
      <c r="O978" t="s">
        <v>26</v>
      </c>
      <c r="P978" t="s">
        <v>27</v>
      </c>
      <c r="Q978" t="s">
        <v>28</v>
      </c>
      <c r="R978" t="s">
        <v>28</v>
      </c>
      <c r="S978" t="s">
        <v>28</v>
      </c>
      <c r="T978" t="s">
        <v>28</v>
      </c>
      <c r="U978" t="s">
        <v>28</v>
      </c>
      <c r="V978" t="s">
        <v>28</v>
      </c>
      <c r="W978" s="16" t="s">
        <v>5629</v>
      </c>
      <c r="X978" t="s">
        <v>5624</v>
      </c>
      <c r="AV978" s="22"/>
    </row>
    <row r="979" spans="1:50" x14ac:dyDescent="0.55000000000000004">
      <c r="A979" t="s">
        <v>4191</v>
      </c>
      <c r="B979" t="s">
        <v>4192</v>
      </c>
      <c r="C979">
        <v>1991</v>
      </c>
      <c r="D979" t="s">
        <v>68</v>
      </c>
      <c r="E979">
        <v>119</v>
      </c>
      <c r="F979">
        <v>1</v>
      </c>
      <c r="H979">
        <v>99</v>
      </c>
      <c r="I979">
        <v>106</v>
      </c>
      <c r="K979" s="2" t="s">
        <v>4193</v>
      </c>
      <c r="L979" s="2" t="s">
        <v>4194</v>
      </c>
      <c r="M979" t="s">
        <v>5311</v>
      </c>
      <c r="N979" t="s">
        <v>4195</v>
      </c>
      <c r="O979" t="s">
        <v>26</v>
      </c>
      <c r="P979" t="s">
        <v>27</v>
      </c>
      <c r="Q979" t="s">
        <v>28</v>
      </c>
      <c r="R979" t="s">
        <v>28</v>
      </c>
      <c r="S979" t="s">
        <v>28</v>
      </c>
      <c r="T979" t="s">
        <v>28</v>
      </c>
      <c r="U979" t="s">
        <v>28</v>
      </c>
      <c r="V979" t="s">
        <v>28</v>
      </c>
      <c r="W979" s="16" t="s">
        <v>5629</v>
      </c>
      <c r="X979" t="s">
        <v>5624</v>
      </c>
      <c r="AV979" s="22"/>
    </row>
    <row r="980" spans="1:50" x14ac:dyDescent="0.55000000000000004">
      <c r="A980" t="s">
        <v>3945</v>
      </c>
      <c r="B980" t="s">
        <v>4196</v>
      </c>
      <c r="C980">
        <v>1991</v>
      </c>
      <c r="D980" t="s">
        <v>681</v>
      </c>
      <c r="E980">
        <v>73</v>
      </c>
      <c r="F980" s="4">
        <v>44624</v>
      </c>
      <c r="H980">
        <v>217</v>
      </c>
      <c r="I980">
        <v>244</v>
      </c>
      <c r="K980" s="2" t="s">
        <v>4197</v>
      </c>
      <c r="L980" s="2" t="s">
        <v>4198</v>
      </c>
      <c r="M980" t="s">
        <v>5312</v>
      </c>
      <c r="O980" t="s">
        <v>26</v>
      </c>
      <c r="P980" t="s">
        <v>27</v>
      </c>
      <c r="Q980" t="s">
        <v>28</v>
      </c>
      <c r="R980" t="s">
        <v>28</v>
      </c>
      <c r="S980" t="s">
        <v>28</v>
      </c>
      <c r="T980" t="s">
        <v>28</v>
      </c>
      <c r="U980" t="s">
        <v>28</v>
      </c>
      <c r="V980" t="s">
        <v>28</v>
      </c>
      <c r="W980" s="16" t="s">
        <v>5629</v>
      </c>
      <c r="X980" t="s">
        <v>5624</v>
      </c>
      <c r="AV980" s="22"/>
    </row>
    <row r="981" spans="1:50" x14ac:dyDescent="0.55000000000000004">
      <c r="A981" t="s">
        <v>4199</v>
      </c>
      <c r="B981" t="s">
        <v>4200</v>
      </c>
      <c r="C981">
        <v>1991</v>
      </c>
      <c r="D981" t="s">
        <v>4201</v>
      </c>
      <c r="E981">
        <v>23</v>
      </c>
      <c r="F981" t="s">
        <v>4188</v>
      </c>
      <c r="H981">
        <v>121</v>
      </c>
      <c r="I981">
        <v>148</v>
      </c>
      <c r="K981" s="2" t="s">
        <v>4202</v>
      </c>
      <c r="L981" s="2" t="s">
        <v>4203</v>
      </c>
      <c r="M981" t="s">
        <v>5313</v>
      </c>
      <c r="O981" t="s">
        <v>26</v>
      </c>
      <c r="P981" t="s">
        <v>27</v>
      </c>
      <c r="Q981" t="s">
        <v>28</v>
      </c>
      <c r="R981" t="s">
        <v>28</v>
      </c>
      <c r="S981" t="s">
        <v>28</v>
      </c>
      <c r="T981" t="s">
        <v>28</v>
      </c>
      <c r="U981" t="s">
        <v>28</v>
      </c>
      <c r="V981" t="s">
        <v>28</v>
      </c>
      <c r="W981" s="16" t="s">
        <v>5629</v>
      </c>
      <c r="X981" t="s">
        <v>5624</v>
      </c>
      <c r="AV981" s="22"/>
    </row>
    <row r="982" spans="1:50" x14ac:dyDescent="0.55000000000000004">
      <c r="A982" t="s">
        <v>4204</v>
      </c>
      <c r="B982" t="s">
        <v>4205</v>
      </c>
      <c r="C982">
        <v>1990</v>
      </c>
      <c r="D982" t="s">
        <v>814</v>
      </c>
      <c r="E982">
        <v>153</v>
      </c>
      <c r="F982">
        <v>4</v>
      </c>
      <c r="H982">
        <v>352</v>
      </c>
      <c r="I982">
        <v>354</v>
      </c>
      <c r="K982" s="2" t="s">
        <v>4206</v>
      </c>
      <c r="L982" s="2" t="s">
        <v>4207</v>
      </c>
      <c r="M982" t="s">
        <v>5314</v>
      </c>
      <c r="N982" t="s">
        <v>4208</v>
      </c>
      <c r="O982" t="s">
        <v>26</v>
      </c>
      <c r="P982" t="s">
        <v>27</v>
      </c>
      <c r="Q982" t="s">
        <v>43</v>
      </c>
      <c r="R982" t="s">
        <v>28</v>
      </c>
      <c r="S982" t="s">
        <v>43</v>
      </c>
      <c r="T982" t="s">
        <v>28</v>
      </c>
      <c r="U982" t="s">
        <v>28</v>
      </c>
      <c r="V982" t="s">
        <v>28</v>
      </c>
      <c r="W982" s="16" t="s">
        <v>5629</v>
      </c>
      <c r="X982" t="s">
        <v>5624</v>
      </c>
    </row>
    <row r="983" spans="1:50" x14ac:dyDescent="0.55000000000000004">
      <c r="A983" t="s">
        <v>4213</v>
      </c>
      <c r="B983" t="s">
        <v>4214</v>
      </c>
      <c r="C983">
        <v>1990</v>
      </c>
      <c r="D983" t="s">
        <v>1362</v>
      </c>
      <c r="E983">
        <v>28</v>
      </c>
      <c r="F983" s="4">
        <v>44565</v>
      </c>
      <c r="H983">
        <v>101</v>
      </c>
      <c r="I983">
        <v>105</v>
      </c>
      <c r="K983" s="2" t="s">
        <v>4215</v>
      </c>
      <c r="L983" s="2" t="s">
        <v>4216</v>
      </c>
      <c r="M983" t="s">
        <v>5317</v>
      </c>
      <c r="O983" t="s">
        <v>26</v>
      </c>
      <c r="P983" t="s">
        <v>27</v>
      </c>
      <c r="Q983" t="s">
        <v>43</v>
      </c>
      <c r="R983" t="s">
        <v>28</v>
      </c>
      <c r="S983" t="s">
        <v>28</v>
      </c>
      <c r="T983" t="s">
        <v>28</v>
      </c>
      <c r="U983" t="s">
        <v>28</v>
      </c>
      <c r="V983" t="s">
        <v>28</v>
      </c>
      <c r="W983" s="16" t="s">
        <v>5629</v>
      </c>
      <c r="X983" t="s">
        <v>5624</v>
      </c>
    </row>
    <row r="984" spans="1:50" x14ac:dyDescent="0.55000000000000004">
      <c r="A984" t="s">
        <v>4217</v>
      </c>
      <c r="B984" t="s">
        <v>4218</v>
      </c>
      <c r="C984">
        <v>1990</v>
      </c>
      <c r="D984" t="s">
        <v>53</v>
      </c>
      <c r="E984">
        <v>22</v>
      </c>
      <c r="F984">
        <v>4</v>
      </c>
      <c r="H984">
        <v>449</v>
      </c>
      <c r="I984">
        <v>455</v>
      </c>
      <c r="K984" s="2" t="s">
        <v>4219</v>
      </c>
      <c r="L984" s="2" t="s">
        <v>4220</v>
      </c>
      <c r="M984" t="s">
        <v>5318</v>
      </c>
      <c r="O984" t="s">
        <v>26</v>
      </c>
      <c r="P984" t="s">
        <v>27</v>
      </c>
      <c r="Q984" t="s">
        <v>43</v>
      </c>
      <c r="R984" t="s">
        <v>43</v>
      </c>
      <c r="S984" t="s">
        <v>28</v>
      </c>
      <c r="T984" t="s">
        <v>28</v>
      </c>
      <c r="U984" t="s">
        <v>28</v>
      </c>
      <c r="V984" t="s">
        <v>28</v>
      </c>
      <c r="W984" s="16" t="s">
        <v>5629</v>
      </c>
      <c r="X984" t="s">
        <v>5624</v>
      </c>
      <c r="Y984" t="s">
        <v>4495</v>
      </c>
      <c r="Z984" t="s">
        <v>4358</v>
      </c>
      <c r="AA984" t="s">
        <v>5369</v>
      </c>
      <c r="AB984" t="s">
        <v>4471</v>
      </c>
      <c r="AC984" t="s">
        <v>5675</v>
      </c>
      <c r="AE984" t="s">
        <v>5709</v>
      </c>
      <c r="AF984" t="s">
        <v>4356</v>
      </c>
      <c r="AG984" t="s">
        <v>4419</v>
      </c>
      <c r="AH984" t="s">
        <v>4420</v>
      </c>
      <c r="AI984" t="s">
        <v>4343</v>
      </c>
      <c r="AJ984">
        <f>5*24</f>
        <v>120</v>
      </c>
      <c r="AK984">
        <v>0</v>
      </c>
      <c r="AL984" t="s">
        <v>5408</v>
      </c>
      <c r="AM984" t="s">
        <v>4334</v>
      </c>
      <c r="AO984">
        <v>4</v>
      </c>
      <c r="AP984">
        <v>37.871898999999999</v>
      </c>
      <c r="AQ984">
        <v>-122.25854</v>
      </c>
      <c r="AV984" s="19">
        <v>31</v>
      </c>
      <c r="AW984">
        <v>3</v>
      </c>
      <c r="AX984" t="s">
        <v>5676</v>
      </c>
    </row>
    <row r="985" spans="1:50" x14ac:dyDescent="0.55000000000000004">
      <c r="A985" t="s">
        <v>4221</v>
      </c>
      <c r="B985" t="s">
        <v>4222</v>
      </c>
      <c r="C985">
        <v>1989</v>
      </c>
      <c r="D985" t="s">
        <v>4171</v>
      </c>
      <c r="E985">
        <v>3</v>
      </c>
      <c r="F985">
        <v>1</v>
      </c>
      <c r="H985">
        <v>17</v>
      </c>
      <c r="I985">
        <v>23</v>
      </c>
      <c r="K985" s="2" t="s">
        <v>4223</v>
      </c>
      <c r="L985" s="2" t="s">
        <v>4224</v>
      </c>
      <c r="M985" t="s">
        <v>5319</v>
      </c>
      <c r="N985" t="s">
        <v>4225</v>
      </c>
      <c r="O985" t="s">
        <v>26</v>
      </c>
      <c r="P985" t="s">
        <v>27</v>
      </c>
      <c r="Q985" t="s">
        <v>43</v>
      </c>
      <c r="R985" t="s">
        <v>28</v>
      </c>
      <c r="S985" t="s">
        <v>43</v>
      </c>
      <c r="T985" t="s">
        <v>28</v>
      </c>
      <c r="U985" t="s">
        <v>28</v>
      </c>
      <c r="V985" t="s">
        <v>28</v>
      </c>
      <c r="W985" s="16" t="s">
        <v>5629</v>
      </c>
      <c r="X985" t="s">
        <v>5624</v>
      </c>
    </row>
    <row r="986" spans="1:50" x14ac:dyDescent="0.55000000000000004">
      <c r="A986" t="s">
        <v>4226</v>
      </c>
      <c r="B986" t="s">
        <v>4227</v>
      </c>
      <c r="C986">
        <v>1989</v>
      </c>
      <c r="D986" t="s">
        <v>68</v>
      </c>
      <c r="E986">
        <v>112</v>
      </c>
      <c r="F986">
        <v>4</v>
      </c>
      <c r="H986">
        <v>495</v>
      </c>
      <c r="I986">
        <v>500</v>
      </c>
      <c r="K986" s="2" t="s">
        <v>4228</v>
      </c>
      <c r="L986" s="2" t="s">
        <v>4229</v>
      </c>
      <c r="M986" t="s">
        <v>5320</v>
      </c>
      <c r="N986" t="s">
        <v>4230</v>
      </c>
      <c r="O986" t="s">
        <v>26</v>
      </c>
      <c r="P986" t="s">
        <v>27</v>
      </c>
      <c r="Q986" t="s">
        <v>28</v>
      </c>
      <c r="R986" t="s">
        <v>28</v>
      </c>
      <c r="S986" t="s">
        <v>43</v>
      </c>
      <c r="T986" t="s">
        <v>28</v>
      </c>
      <c r="U986" t="s">
        <v>28</v>
      </c>
      <c r="V986" t="s">
        <v>28</v>
      </c>
      <c r="W986" s="16" t="s">
        <v>5629</v>
      </c>
      <c r="X986" t="s">
        <v>5624</v>
      </c>
    </row>
    <row r="987" spans="1:50" x14ac:dyDescent="0.55000000000000004">
      <c r="A987" t="s">
        <v>5321</v>
      </c>
      <c r="B987" t="s">
        <v>5322</v>
      </c>
      <c r="C987">
        <v>1989</v>
      </c>
      <c r="D987" t="s">
        <v>68</v>
      </c>
      <c r="E987">
        <v>112</v>
      </c>
      <c r="F987">
        <v>3</v>
      </c>
      <c r="H987">
        <v>389</v>
      </c>
      <c r="I987">
        <v>398</v>
      </c>
      <c r="K987" s="2" t="s">
        <v>4231</v>
      </c>
      <c r="L987" s="2" t="s">
        <v>4232</v>
      </c>
      <c r="M987" t="s">
        <v>5323</v>
      </c>
      <c r="N987" t="s">
        <v>4233</v>
      </c>
      <c r="O987" t="s">
        <v>26</v>
      </c>
      <c r="P987" t="s">
        <v>27</v>
      </c>
      <c r="Q987" t="s">
        <v>28</v>
      </c>
      <c r="R987" t="s">
        <v>28</v>
      </c>
      <c r="S987" t="s">
        <v>28</v>
      </c>
      <c r="T987" t="s">
        <v>28</v>
      </c>
      <c r="U987" t="s">
        <v>28</v>
      </c>
      <c r="V987" t="s">
        <v>28</v>
      </c>
      <c r="W987" s="16" t="s">
        <v>5629</v>
      </c>
      <c r="X987" t="s">
        <v>5624</v>
      </c>
    </row>
    <row r="988" spans="1:50" x14ac:dyDescent="0.55000000000000004">
      <c r="A988" t="s">
        <v>4234</v>
      </c>
      <c r="B988" t="s">
        <v>5324</v>
      </c>
      <c r="C988">
        <v>1988</v>
      </c>
      <c r="D988" t="s">
        <v>3768</v>
      </c>
      <c r="E988">
        <v>72</v>
      </c>
      <c r="F988">
        <v>4</v>
      </c>
      <c r="H988">
        <v>733</v>
      </c>
      <c r="I988">
        <v>746</v>
      </c>
      <c r="K988" s="2" t="s">
        <v>4235</v>
      </c>
      <c r="L988" s="2" t="s">
        <v>4236</v>
      </c>
      <c r="M988" t="s">
        <v>5325</v>
      </c>
      <c r="N988" t="s">
        <v>5326</v>
      </c>
      <c r="O988" t="s">
        <v>26</v>
      </c>
      <c r="P988" t="s">
        <v>27</v>
      </c>
      <c r="Q988" t="s">
        <v>28</v>
      </c>
      <c r="R988" t="s">
        <v>28</v>
      </c>
      <c r="S988" t="s">
        <v>28</v>
      </c>
      <c r="T988" t="s">
        <v>28</v>
      </c>
      <c r="U988" t="s">
        <v>28</v>
      </c>
      <c r="V988" t="s">
        <v>28</v>
      </c>
      <c r="W988" s="16" t="s">
        <v>5629</v>
      </c>
      <c r="X988" t="s">
        <v>5624</v>
      </c>
    </row>
    <row r="989" spans="1:50" x14ac:dyDescent="0.55000000000000004">
      <c r="A989" t="s">
        <v>4237</v>
      </c>
      <c r="B989" t="s">
        <v>4238</v>
      </c>
      <c r="C989">
        <v>1988</v>
      </c>
      <c r="D989" t="s">
        <v>68</v>
      </c>
      <c r="E989">
        <v>110</v>
      </c>
      <c r="F989">
        <v>4</v>
      </c>
      <c r="H989">
        <v>535</v>
      </c>
      <c r="I989">
        <v>540</v>
      </c>
      <c r="K989" s="2" t="s">
        <v>4239</v>
      </c>
      <c r="L989" s="2" t="s">
        <v>4240</v>
      </c>
      <c r="M989" t="s">
        <v>5327</v>
      </c>
      <c r="N989" t="s">
        <v>4241</v>
      </c>
      <c r="O989" t="s">
        <v>26</v>
      </c>
      <c r="P989" t="s">
        <v>27</v>
      </c>
      <c r="Q989" t="s">
        <v>28</v>
      </c>
      <c r="R989" t="s">
        <v>28</v>
      </c>
      <c r="S989" t="s">
        <v>28</v>
      </c>
      <c r="T989" t="s">
        <v>28</v>
      </c>
      <c r="U989" t="s">
        <v>28</v>
      </c>
      <c r="V989" t="s">
        <v>28</v>
      </c>
      <c r="W989" s="16" t="s">
        <v>5629</v>
      </c>
      <c r="X989" t="s">
        <v>5624</v>
      </c>
    </row>
    <row r="990" spans="1:50" x14ac:dyDescent="0.55000000000000004">
      <c r="A990" t="s">
        <v>5328</v>
      </c>
      <c r="B990" t="s">
        <v>5329</v>
      </c>
      <c r="C990">
        <v>1988</v>
      </c>
      <c r="D990" t="s">
        <v>68</v>
      </c>
      <c r="E990">
        <v>108</v>
      </c>
      <c r="F990">
        <v>2</v>
      </c>
      <c r="H990">
        <v>183</v>
      </c>
      <c r="I990">
        <v>188</v>
      </c>
      <c r="K990" s="2" t="s">
        <v>4242</v>
      </c>
      <c r="L990" s="2" t="s">
        <v>4243</v>
      </c>
      <c r="M990" t="s">
        <v>5330</v>
      </c>
      <c r="N990" t="s">
        <v>5331</v>
      </c>
      <c r="O990" t="s">
        <v>26</v>
      </c>
      <c r="P990" t="s">
        <v>27</v>
      </c>
      <c r="Q990" t="s">
        <v>28</v>
      </c>
      <c r="R990" t="s">
        <v>28</v>
      </c>
      <c r="S990" t="s">
        <v>43</v>
      </c>
      <c r="T990" t="s">
        <v>28</v>
      </c>
      <c r="U990" t="s">
        <v>28</v>
      </c>
      <c r="V990" t="s">
        <v>28</v>
      </c>
      <c r="W990" s="16" t="s">
        <v>5629</v>
      </c>
      <c r="X990" t="s">
        <v>5624</v>
      </c>
    </row>
    <row r="991" spans="1:50" x14ac:dyDescent="0.55000000000000004">
      <c r="A991" t="s">
        <v>4247</v>
      </c>
      <c r="B991" t="s">
        <v>4248</v>
      </c>
      <c r="C991">
        <v>1985</v>
      </c>
      <c r="D991" t="s">
        <v>68</v>
      </c>
      <c r="E991">
        <v>101</v>
      </c>
      <c r="F991">
        <v>4</v>
      </c>
      <c r="H991">
        <v>657</v>
      </c>
      <c r="I991">
        <v>665</v>
      </c>
      <c r="K991" s="2" t="s">
        <v>4249</v>
      </c>
      <c r="L991" s="2" t="s">
        <v>4250</v>
      </c>
      <c r="M991" t="s">
        <v>5335</v>
      </c>
      <c r="N991" t="s">
        <v>4251</v>
      </c>
      <c r="O991" t="s">
        <v>26</v>
      </c>
      <c r="P991" t="s">
        <v>27</v>
      </c>
      <c r="Q991" t="s">
        <v>28</v>
      </c>
      <c r="R991" t="s">
        <v>28</v>
      </c>
      <c r="S991" t="s">
        <v>28</v>
      </c>
      <c r="T991" t="s">
        <v>28</v>
      </c>
      <c r="U991" t="s">
        <v>28</v>
      </c>
      <c r="V991" t="s">
        <v>28</v>
      </c>
      <c r="W991" s="16" t="s">
        <v>5629</v>
      </c>
      <c r="X991" t="s">
        <v>5624</v>
      </c>
    </row>
    <row r="992" spans="1:50" x14ac:dyDescent="0.55000000000000004">
      <c r="A992" t="s">
        <v>5336</v>
      </c>
      <c r="B992" t="s">
        <v>4252</v>
      </c>
      <c r="C992">
        <v>1984</v>
      </c>
      <c r="D992" t="s">
        <v>814</v>
      </c>
      <c r="E992">
        <v>139</v>
      </c>
      <c r="F992" s="4">
        <v>44595</v>
      </c>
      <c r="H992">
        <v>202</v>
      </c>
      <c r="I992">
        <v>206</v>
      </c>
      <c r="K992" s="2" t="s">
        <v>4253</v>
      </c>
      <c r="L992" s="2" t="s">
        <v>4254</v>
      </c>
      <c r="M992" t="s">
        <v>5337</v>
      </c>
      <c r="N992" t="s">
        <v>4255</v>
      </c>
      <c r="O992" t="s">
        <v>26</v>
      </c>
      <c r="P992" t="s">
        <v>27</v>
      </c>
      <c r="Q992" t="s">
        <v>28</v>
      </c>
      <c r="R992" t="s">
        <v>28</v>
      </c>
      <c r="S992" t="s">
        <v>28</v>
      </c>
      <c r="T992" t="s">
        <v>28</v>
      </c>
      <c r="U992" t="s">
        <v>28</v>
      </c>
      <c r="V992" t="s">
        <v>28</v>
      </c>
      <c r="W992" s="16" t="s">
        <v>5629</v>
      </c>
      <c r="X992" t="s">
        <v>5624</v>
      </c>
    </row>
    <row r="993" spans="1:50" x14ac:dyDescent="0.55000000000000004">
      <c r="A993" t="s">
        <v>4256</v>
      </c>
      <c r="B993" t="s">
        <v>4257</v>
      </c>
      <c r="C993">
        <v>1984</v>
      </c>
      <c r="D993" t="s">
        <v>68</v>
      </c>
      <c r="E993">
        <v>96</v>
      </c>
      <c r="F993">
        <v>2</v>
      </c>
      <c r="H993">
        <v>263</v>
      </c>
      <c r="I993">
        <v>273</v>
      </c>
      <c r="K993" s="2" t="s">
        <v>4258</v>
      </c>
      <c r="L993" s="2" t="s">
        <v>4259</v>
      </c>
      <c r="M993" t="s">
        <v>5338</v>
      </c>
      <c r="N993" t="s">
        <v>4260</v>
      </c>
      <c r="O993" t="s">
        <v>26</v>
      </c>
      <c r="P993" t="s">
        <v>27</v>
      </c>
      <c r="Q993" t="s">
        <v>28</v>
      </c>
      <c r="R993" t="s">
        <v>28</v>
      </c>
      <c r="S993" t="s">
        <v>28</v>
      </c>
      <c r="T993" t="s">
        <v>28</v>
      </c>
      <c r="U993" t="s">
        <v>28</v>
      </c>
      <c r="V993" t="s">
        <v>28</v>
      </c>
      <c r="W993" s="16" t="s">
        <v>5629</v>
      </c>
      <c r="X993" t="s">
        <v>5624</v>
      </c>
    </row>
    <row r="994" spans="1:50" x14ac:dyDescent="0.55000000000000004">
      <c r="A994" t="s">
        <v>4261</v>
      </c>
      <c r="B994" t="s">
        <v>4262</v>
      </c>
      <c r="C994">
        <v>1983</v>
      </c>
      <c r="D994" t="s">
        <v>3716</v>
      </c>
      <c r="E994">
        <v>40</v>
      </c>
      <c r="F994">
        <v>2</v>
      </c>
      <c r="H994">
        <v>249</v>
      </c>
      <c r="I994">
        <v>257</v>
      </c>
      <c r="K994" s="2" t="s">
        <v>4263</v>
      </c>
      <c r="L994" s="2" t="s">
        <v>4264</v>
      </c>
      <c r="M994" t="s">
        <v>4265</v>
      </c>
      <c r="O994" t="s">
        <v>26</v>
      </c>
      <c r="P994" t="s">
        <v>27</v>
      </c>
      <c r="Q994" t="s">
        <v>28</v>
      </c>
      <c r="R994" t="s">
        <v>28</v>
      </c>
      <c r="S994" t="s">
        <v>28</v>
      </c>
      <c r="T994" t="s">
        <v>28</v>
      </c>
      <c r="U994" t="s">
        <v>28</v>
      </c>
      <c r="V994" t="s">
        <v>28</v>
      </c>
      <c r="W994" s="16" t="s">
        <v>5629</v>
      </c>
      <c r="X994" t="s">
        <v>5624</v>
      </c>
    </row>
    <row r="995" spans="1:50" x14ac:dyDescent="0.55000000000000004">
      <c r="A995" t="s">
        <v>4274</v>
      </c>
      <c r="B995" t="s">
        <v>4275</v>
      </c>
      <c r="C995">
        <v>1981</v>
      </c>
      <c r="D995" t="s">
        <v>68</v>
      </c>
      <c r="E995">
        <v>88</v>
      </c>
      <c r="F995">
        <v>1</v>
      </c>
      <c r="H995">
        <v>1</v>
      </c>
      <c r="I995">
        <v>30</v>
      </c>
      <c r="K995" s="2" t="s">
        <v>4276</v>
      </c>
      <c r="L995" s="2" t="s">
        <v>4277</v>
      </c>
      <c r="M995" t="s">
        <v>5342</v>
      </c>
      <c r="O995" t="s">
        <v>26</v>
      </c>
      <c r="P995" t="s">
        <v>27</v>
      </c>
      <c r="Q995" t="s">
        <v>28</v>
      </c>
      <c r="R995" t="s">
        <v>28</v>
      </c>
      <c r="S995" t="s">
        <v>28</v>
      </c>
      <c r="T995" t="s">
        <v>28</v>
      </c>
      <c r="U995" t="s">
        <v>28</v>
      </c>
      <c r="V995" t="s">
        <v>28</v>
      </c>
      <c r="W995" s="16" t="s">
        <v>5629</v>
      </c>
      <c r="X995" t="s">
        <v>5624</v>
      </c>
    </row>
    <row r="996" spans="1:50" x14ac:dyDescent="0.55000000000000004">
      <c r="A996" t="s">
        <v>4278</v>
      </c>
      <c r="B996" t="s">
        <v>4279</v>
      </c>
      <c r="C996">
        <v>1981</v>
      </c>
      <c r="D996" t="s">
        <v>4280</v>
      </c>
      <c r="E996">
        <v>18</v>
      </c>
      <c r="F996">
        <v>2</v>
      </c>
      <c r="H996">
        <v>417</v>
      </c>
      <c r="I996">
        <v>431</v>
      </c>
      <c r="K996" s="2" t="s">
        <v>4281</v>
      </c>
      <c r="L996" s="2" t="s">
        <v>4282</v>
      </c>
      <c r="M996" t="s">
        <v>4283</v>
      </c>
      <c r="O996" t="s">
        <v>26</v>
      </c>
      <c r="P996" t="s">
        <v>27</v>
      </c>
      <c r="Q996" t="s">
        <v>28</v>
      </c>
      <c r="R996" t="s">
        <v>28</v>
      </c>
      <c r="S996" t="s">
        <v>28</v>
      </c>
      <c r="T996" t="s">
        <v>28</v>
      </c>
      <c r="U996" t="s">
        <v>28</v>
      </c>
      <c r="V996" t="s">
        <v>28</v>
      </c>
      <c r="W996" s="16" t="s">
        <v>5629</v>
      </c>
      <c r="X996" t="s">
        <v>5624</v>
      </c>
    </row>
    <row r="997" spans="1:50" x14ac:dyDescent="0.55000000000000004">
      <c r="A997" t="s">
        <v>4284</v>
      </c>
      <c r="B997" t="s">
        <v>4285</v>
      </c>
      <c r="C997">
        <v>1981</v>
      </c>
      <c r="D997" t="s">
        <v>4286</v>
      </c>
      <c r="E997">
        <v>29</v>
      </c>
      <c r="F997">
        <v>2</v>
      </c>
      <c r="H997">
        <v>396</v>
      </c>
      <c r="I997">
        <v>401</v>
      </c>
      <c r="K997" s="2" t="s">
        <v>4287</v>
      </c>
      <c r="L997" s="2" t="s">
        <v>4288</v>
      </c>
      <c r="M997" t="s">
        <v>5343</v>
      </c>
      <c r="O997" t="s">
        <v>26</v>
      </c>
      <c r="P997" t="s">
        <v>27</v>
      </c>
      <c r="Q997" t="s">
        <v>28</v>
      </c>
      <c r="R997" t="s">
        <v>28</v>
      </c>
      <c r="S997" t="s">
        <v>28</v>
      </c>
      <c r="T997" t="s">
        <v>28</v>
      </c>
      <c r="U997" t="s">
        <v>28</v>
      </c>
      <c r="V997" t="s">
        <v>28</v>
      </c>
      <c r="W997" s="16" t="s">
        <v>5629</v>
      </c>
      <c r="X997" t="s">
        <v>5624</v>
      </c>
    </row>
    <row r="998" spans="1:50" x14ac:dyDescent="0.55000000000000004">
      <c r="A998" t="s">
        <v>4289</v>
      </c>
      <c r="B998" t="s">
        <v>4290</v>
      </c>
      <c r="C998">
        <v>1980</v>
      </c>
      <c r="D998" t="s">
        <v>68</v>
      </c>
      <c r="E998">
        <v>84</v>
      </c>
      <c r="F998">
        <v>4</v>
      </c>
      <c r="H998">
        <v>661</v>
      </c>
      <c r="I998">
        <v>667</v>
      </c>
      <c r="K998" s="2" t="s">
        <v>4291</v>
      </c>
      <c r="L998" s="2" t="s">
        <v>4292</v>
      </c>
      <c r="M998" t="s">
        <v>5344</v>
      </c>
      <c r="O998" t="s">
        <v>26</v>
      </c>
      <c r="P998" t="s">
        <v>27</v>
      </c>
      <c r="Q998" t="s">
        <v>28</v>
      </c>
      <c r="R998" t="s">
        <v>28</v>
      </c>
      <c r="S998" t="s">
        <v>28</v>
      </c>
      <c r="T998" t="s">
        <v>28</v>
      </c>
      <c r="U998" t="s">
        <v>28</v>
      </c>
      <c r="V998" t="s">
        <v>28</v>
      </c>
      <c r="W998" s="16" t="s">
        <v>5629</v>
      </c>
      <c r="X998" t="s">
        <v>5624</v>
      </c>
    </row>
    <row r="999" spans="1:50" x14ac:dyDescent="0.55000000000000004">
      <c r="A999" t="s">
        <v>5345</v>
      </c>
      <c r="B999" t="s">
        <v>5346</v>
      </c>
      <c r="C999">
        <v>1979</v>
      </c>
      <c r="D999" t="s">
        <v>68</v>
      </c>
      <c r="E999">
        <v>83</v>
      </c>
      <c r="F999">
        <v>2</v>
      </c>
      <c r="H999">
        <v>415</v>
      </c>
      <c r="I999">
        <v>426</v>
      </c>
      <c r="K999" s="2" t="s">
        <v>4293</v>
      </c>
      <c r="L999" s="2" t="s">
        <v>4294</v>
      </c>
      <c r="M999" t="s">
        <v>5347</v>
      </c>
      <c r="O999" t="s">
        <v>26</v>
      </c>
      <c r="P999" t="s">
        <v>27</v>
      </c>
      <c r="Q999" t="s">
        <v>28</v>
      </c>
      <c r="R999" t="s">
        <v>28</v>
      </c>
      <c r="S999" t="s">
        <v>28</v>
      </c>
      <c r="T999" t="s">
        <v>28</v>
      </c>
      <c r="U999" t="s">
        <v>28</v>
      </c>
      <c r="V999" t="s">
        <v>28</v>
      </c>
      <c r="W999" s="16" t="s">
        <v>5629</v>
      </c>
      <c r="X999" t="s">
        <v>5624</v>
      </c>
    </row>
    <row r="1000" spans="1:50" x14ac:dyDescent="0.55000000000000004">
      <c r="A1000" t="s">
        <v>4295</v>
      </c>
      <c r="B1000" t="s">
        <v>4296</v>
      </c>
      <c r="C1000">
        <v>1977</v>
      </c>
      <c r="D1000" t="s">
        <v>53</v>
      </c>
      <c r="E1000">
        <v>9</v>
      </c>
      <c r="F1000">
        <v>6</v>
      </c>
      <c r="H1000">
        <v>417</v>
      </c>
      <c r="I1000">
        <v>421</v>
      </c>
      <c r="K1000" s="2" t="s">
        <v>4297</v>
      </c>
      <c r="L1000" s="2" t="s">
        <v>4298</v>
      </c>
      <c r="M1000" t="s">
        <v>5348</v>
      </c>
      <c r="O1000" t="s">
        <v>26</v>
      </c>
      <c r="P1000" t="s">
        <v>27</v>
      </c>
      <c r="Q1000" t="s">
        <v>28</v>
      </c>
      <c r="R1000" t="s">
        <v>28</v>
      </c>
      <c r="S1000" t="s">
        <v>28</v>
      </c>
      <c r="T1000" t="s">
        <v>28</v>
      </c>
      <c r="U1000" t="s">
        <v>28</v>
      </c>
      <c r="V1000" t="s">
        <v>28</v>
      </c>
      <c r="W1000" s="16" t="s">
        <v>5629</v>
      </c>
      <c r="X1000" t="s">
        <v>5624</v>
      </c>
    </row>
    <row r="1001" spans="1:50" x14ac:dyDescent="0.55000000000000004">
      <c r="A1001" t="s">
        <v>4303</v>
      </c>
      <c r="B1001" t="s">
        <v>5480</v>
      </c>
      <c r="C1001">
        <v>1974</v>
      </c>
      <c r="D1001" t="s">
        <v>68</v>
      </c>
      <c r="E1001">
        <v>73</v>
      </c>
      <c r="F1001">
        <v>4</v>
      </c>
      <c r="H1001">
        <v>731</v>
      </c>
      <c r="I1001">
        <v>741</v>
      </c>
      <c r="K1001" s="2" t="s">
        <v>4304</v>
      </c>
      <c r="L1001" s="2" t="s">
        <v>4305</v>
      </c>
      <c r="M1001" t="s">
        <v>5350</v>
      </c>
      <c r="O1001" t="s">
        <v>26</v>
      </c>
      <c r="P1001" t="s">
        <v>27</v>
      </c>
      <c r="Q1001" t="s">
        <v>28</v>
      </c>
      <c r="R1001" t="s">
        <v>28</v>
      </c>
      <c r="S1001" t="s">
        <v>28</v>
      </c>
      <c r="T1001" t="s">
        <v>28</v>
      </c>
      <c r="U1001" t="s">
        <v>28</v>
      </c>
      <c r="V1001" t="s">
        <v>28</v>
      </c>
      <c r="W1001" s="16" t="s">
        <v>5629</v>
      </c>
      <c r="X1001" t="s">
        <v>5624</v>
      </c>
    </row>
    <row r="1002" spans="1:50" x14ac:dyDescent="0.55000000000000004">
      <c r="A1002" t="s">
        <v>4310</v>
      </c>
      <c r="B1002" t="s">
        <v>4311</v>
      </c>
      <c r="C1002">
        <v>1968</v>
      </c>
      <c r="D1002" t="s">
        <v>532</v>
      </c>
      <c r="E1002">
        <v>32</v>
      </c>
      <c r="F1002">
        <v>1</v>
      </c>
      <c r="H1002">
        <v>33</v>
      </c>
      <c r="I1002">
        <v>43</v>
      </c>
      <c r="K1002" s="2" t="s">
        <v>4312</v>
      </c>
      <c r="L1002" s="2" t="s">
        <v>4313</v>
      </c>
      <c r="M1002" t="s">
        <v>5352</v>
      </c>
      <c r="O1002" t="s">
        <v>26</v>
      </c>
      <c r="P1002" t="s">
        <v>27</v>
      </c>
      <c r="Q1002" t="s">
        <v>28</v>
      </c>
      <c r="R1002" t="s">
        <v>28</v>
      </c>
      <c r="S1002" t="s">
        <v>28</v>
      </c>
      <c r="T1002" t="s">
        <v>28</v>
      </c>
      <c r="U1002" t="s">
        <v>28</v>
      </c>
      <c r="V1002" t="s">
        <v>28</v>
      </c>
      <c r="W1002" s="16" t="s">
        <v>5629</v>
      </c>
      <c r="X1002" t="s">
        <v>5624</v>
      </c>
    </row>
    <row r="1003" spans="1:50" x14ac:dyDescent="0.55000000000000004">
      <c r="A1003" t="s">
        <v>4314</v>
      </c>
      <c r="B1003" t="s">
        <v>4315</v>
      </c>
      <c r="C1003">
        <v>1967</v>
      </c>
      <c r="D1003" t="s">
        <v>68</v>
      </c>
      <c r="E1003">
        <v>66</v>
      </c>
      <c r="F1003">
        <v>3</v>
      </c>
      <c r="H1003">
        <v>371</v>
      </c>
      <c r="I1003">
        <v>378</v>
      </c>
      <c r="K1003" s="2" t="s">
        <v>4316</v>
      </c>
      <c r="L1003" s="2" t="s">
        <v>4317</v>
      </c>
      <c r="M1003" t="s">
        <v>5353</v>
      </c>
      <c r="O1003" t="s">
        <v>26</v>
      </c>
      <c r="P1003" t="s">
        <v>27</v>
      </c>
      <c r="Q1003" t="s">
        <v>28</v>
      </c>
      <c r="R1003" t="s">
        <v>28</v>
      </c>
      <c r="S1003" t="s">
        <v>28</v>
      </c>
      <c r="T1003" t="s">
        <v>28</v>
      </c>
      <c r="U1003" t="s">
        <v>28</v>
      </c>
      <c r="V1003" t="s">
        <v>28</v>
      </c>
      <c r="W1003" s="16" t="s">
        <v>5629</v>
      </c>
      <c r="X1003" t="s">
        <v>5624</v>
      </c>
    </row>
    <row r="1004" spans="1:50" x14ac:dyDescent="0.55000000000000004">
      <c r="A1004" t="s">
        <v>4318</v>
      </c>
      <c r="B1004" t="s">
        <v>4319</v>
      </c>
      <c r="C1004">
        <v>1965</v>
      </c>
      <c r="D1004" t="s">
        <v>68</v>
      </c>
      <c r="E1004">
        <v>64</v>
      </c>
      <c r="F1004">
        <v>2</v>
      </c>
      <c r="H1004">
        <v>238</v>
      </c>
      <c r="I1004">
        <v>255</v>
      </c>
      <c r="K1004" s="2" t="s">
        <v>4320</v>
      </c>
      <c r="L1004" s="2" t="s">
        <v>4321</v>
      </c>
      <c r="M1004" t="s">
        <v>5354</v>
      </c>
      <c r="O1004" t="s">
        <v>26</v>
      </c>
      <c r="P1004" t="s">
        <v>27</v>
      </c>
      <c r="Q1004" t="s">
        <v>28</v>
      </c>
      <c r="R1004" t="s">
        <v>28</v>
      </c>
      <c r="S1004" t="s">
        <v>28</v>
      </c>
      <c r="T1004" t="s">
        <v>28</v>
      </c>
      <c r="U1004" t="s">
        <v>28</v>
      </c>
      <c r="V1004" t="s">
        <v>28</v>
      </c>
      <c r="W1004" s="16" t="s">
        <v>5629</v>
      </c>
      <c r="X1004" t="s">
        <v>5624</v>
      </c>
    </row>
    <row r="1005" spans="1:50" x14ac:dyDescent="0.55000000000000004">
      <c r="A1005" t="s">
        <v>4318</v>
      </c>
      <c r="B1005" t="s">
        <v>4322</v>
      </c>
      <c r="C1005">
        <v>1965</v>
      </c>
      <c r="D1005" t="s">
        <v>68</v>
      </c>
      <c r="E1005">
        <v>64</v>
      </c>
      <c r="F1005">
        <v>2</v>
      </c>
      <c r="H1005">
        <v>256</v>
      </c>
      <c r="I1005">
        <v>269</v>
      </c>
      <c r="K1005" s="2" t="s">
        <v>4323</v>
      </c>
      <c r="L1005" s="2" t="s">
        <v>4324</v>
      </c>
      <c r="M1005" t="s">
        <v>5355</v>
      </c>
      <c r="O1005" t="s">
        <v>26</v>
      </c>
      <c r="P1005" t="s">
        <v>27</v>
      </c>
      <c r="Q1005" t="s">
        <v>43</v>
      </c>
      <c r="R1005" t="s">
        <v>28</v>
      </c>
      <c r="S1005" t="s">
        <v>43</v>
      </c>
      <c r="T1005" t="s">
        <v>28</v>
      </c>
      <c r="U1005" t="s">
        <v>28</v>
      </c>
      <c r="V1005" t="s">
        <v>28</v>
      </c>
      <c r="W1005" s="16" t="s">
        <v>5629</v>
      </c>
      <c r="X1005" t="s">
        <v>5624</v>
      </c>
    </row>
    <row r="1006" spans="1:50" x14ac:dyDescent="0.55000000000000004">
      <c r="A1006" t="s">
        <v>4325</v>
      </c>
      <c r="B1006" t="s">
        <v>4326</v>
      </c>
      <c r="C1006">
        <v>1964</v>
      </c>
      <c r="D1006" t="s">
        <v>68</v>
      </c>
      <c r="E1006">
        <v>63</v>
      </c>
      <c r="F1006">
        <v>2</v>
      </c>
      <c r="H1006">
        <v>203</v>
      </c>
      <c r="I1006">
        <v>208</v>
      </c>
      <c r="K1006" s="2" t="s">
        <v>4327</v>
      </c>
      <c r="L1006" s="2" t="s">
        <v>4328</v>
      </c>
      <c r="M1006" t="s">
        <v>5356</v>
      </c>
      <c r="O1006" t="s">
        <v>26</v>
      </c>
      <c r="P1006" t="s">
        <v>27</v>
      </c>
      <c r="Q1006" t="s">
        <v>28</v>
      </c>
      <c r="R1006" t="s">
        <v>28</v>
      </c>
      <c r="S1006" t="s">
        <v>28</v>
      </c>
      <c r="T1006" t="s">
        <v>28</v>
      </c>
      <c r="U1006" t="s">
        <v>28</v>
      </c>
      <c r="V1006" t="s">
        <v>28</v>
      </c>
      <c r="W1006" s="16" t="s">
        <v>5629</v>
      </c>
      <c r="X1006" t="s">
        <v>5624</v>
      </c>
    </row>
    <row r="1007" spans="1:50" x14ac:dyDescent="0.55000000000000004">
      <c r="A1007" t="s">
        <v>5631</v>
      </c>
      <c r="B1007" t="s">
        <v>5632</v>
      </c>
      <c r="C1007">
        <v>2022</v>
      </c>
      <c r="D1007" t="s">
        <v>4336</v>
      </c>
      <c r="E1007" t="s">
        <v>4336</v>
      </c>
      <c r="F1007" t="s">
        <v>4336</v>
      </c>
      <c r="G1007" t="s">
        <v>4336</v>
      </c>
      <c r="H1007" t="s">
        <v>4336</v>
      </c>
      <c r="I1007" t="s">
        <v>4336</v>
      </c>
      <c r="J1007" t="s">
        <v>4336</v>
      </c>
      <c r="K1007" t="s">
        <v>4336</v>
      </c>
      <c r="L1007" t="s">
        <v>4336</v>
      </c>
      <c r="M1007" t="s">
        <v>4336</v>
      </c>
      <c r="N1007" t="s">
        <v>4336</v>
      </c>
      <c r="O1007" t="s">
        <v>5633</v>
      </c>
      <c r="P1007" t="s">
        <v>5634</v>
      </c>
      <c r="Q1007" t="s">
        <v>43</v>
      </c>
      <c r="R1007" t="s">
        <v>43</v>
      </c>
      <c r="S1007" t="s">
        <v>28</v>
      </c>
      <c r="T1007" t="s">
        <v>28</v>
      </c>
      <c r="U1007" t="s">
        <v>28</v>
      </c>
      <c r="V1007" t="s">
        <v>28</v>
      </c>
      <c r="W1007" t="s">
        <v>4336</v>
      </c>
      <c r="Y1007" t="s">
        <v>5638</v>
      </c>
      <c r="Z1007" t="s">
        <v>5635</v>
      </c>
      <c r="AA1007" t="s">
        <v>4360</v>
      </c>
      <c r="AB1007" t="s">
        <v>5636</v>
      </c>
      <c r="AC1007" t="s">
        <v>5637</v>
      </c>
      <c r="AF1007" t="s">
        <v>5710</v>
      </c>
      <c r="AG1007" t="s">
        <v>4419</v>
      </c>
      <c r="AH1007" t="s">
        <v>4420</v>
      </c>
      <c r="AI1007" t="s">
        <v>4343</v>
      </c>
      <c r="AJ1007" s="2">
        <v>22</v>
      </c>
      <c r="AK1007" s="2">
        <v>22</v>
      </c>
      <c r="AL1007" t="s">
        <v>5408</v>
      </c>
      <c r="AM1007" t="s">
        <v>5645</v>
      </c>
      <c r="AO1007">
        <v>9</v>
      </c>
      <c r="AP1007" s="2">
        <v>53.806680999999998</v>
      </c>
      <c r="AQ1007" s="2">
        <v>-1.5550330000000001</v>
      </c>
      <c r="AR1007" s="2"/>
      <c r="AS1007" s="1"/>
      <c r="AT1007" s="2">
        <v>20</v>
      </c>
      <c r="AU1007" s="2">
        <v>225</v>
      </c>
      <c r="AV1007" s="21">
        <v>1.1040000000000001</v>
      </c>
      <c r="AW1007" s="17">
        <v>0.19850000000000001</v>
      </c>
      <c r="AX1007" t="s">
        <v>5649</v>
      </c>
    </row>
    <row r="1008" spans="1:50" x14ac:dyDescent="0.55000000000000004">
      <c r="A1008" t="s">
        <v>5631</v>
      </c>
      <c r="B1008" t="s">
        <v>5632</v>
      </c>
      <c r="C1008">
        <v>2022</v>
      </c>
      <c r="D1008" t="s">
        <v>4336</v>
      </c>
      <c r="E1008" t="s">
        <v>4336</v>
      </c>
      <c r="F1008" t="s">
        <v>4336</v>
      </c>
      <c r="G1008" t="s">
        <v>4336</v>
      </c>
      <c r="H1008" t="s">
        <v>4336</v>
      </c>
      <c r="I1008" t="s">
        <v>4336</v>
      </c>
      <c r="J1008" t="s">
        <v>4336</v>
      </c>
      <c r="K1008" t="s">
        <v>4336</v>
      </c>
      <c r="L1008" t="s">
        <v>4336</v>
      </c>
      <c r="M1008" t="s">
        <v>4336</v>
      </c>
      <c r="N1008" t="s">
        <v>4336</v>
      </c>
      <c r="O1008" t="s">
        <v>5633</v>
      </c>
      <c r="P1008" t="s">
        <v>5634</v>
      </c>
      <c r="Q1008" t="s">
        <v>43</v>
      </c>
      <c r="R1008" t="s">
        <v>43</v>
      </c>
      <c r="S1008" t="s">
        <v>28</v>
      </c>
      <c r="T1008" t="s">
        <v>28</v>
      </c>
      <c r="U1008" t="s">
        <v>28</v>
      </c>
      <c r="V1008" t="s">
        <v>28</v>
      </c>
      <c r="W1008" t="s">
        <v>4336</v>
      </c>
      <c r="Y1008" t="s">
        <v>5638</v>
      </c>
      <c r="Z1008" t="s">
        <v>5635</v>
      </c>
      <c r="AA1008" t="s">
        <v>4360</v>
      </c>
      <c r="AB1008" t="s">
        <v>5639</v>
      </c>
      <c r="AC1008" t="s">
        <v>5637</v>
      </c>
      <c r="AF1008" t="s">
        <v>5710</v>
      </c>
      <c r="AG1008" t="s">
        <v>5648</v>
      </c>
      <c r="AH1008" t="s">
        <v>4420</v>
      </c>
      <c r="AI1008" t="s">
        <v>4343</v>
      </c>
      <c r="AJ1008" s="2">
        <v>22</v>
      </c>
      <c r="AK1008" s="2">
        <v>22</v>
      </c>
      <c r="AL1008" t="s">
        <v>5408</v>
      </c>
      <c r="AM1008" t="s">
        <v>5645</v>
      </c>
      <c r="AO1008">
        <v>8</v>
      </c>
      <c r="AP1008" s="2">
        <v>53.806680999999998</v>
      </c>
      <c r="AQ1008" s="2">
        <v>-1.5550330000000001</v>
      </c>
      <c r="AR1008" s="2"/>
      <c r="AS1008" s="1"/>
      <c r="AT1008" s="2">
        <v>20</v>
      </c>
      <c r="AU1008" s="2">
        <v>225</v>
      </c>
      <c r="AV1008" s="21">
        <v>0.31798022279331706</v>
      </c>
      <c r="AW1008" s="17">
        <v>0.21414749678517245</v>
      </c>
      <c r="AX1008" t="s">
        <v>5649</v>
      </c>
    </row>
    <row r="1009" spans="1:52" x14ac:dyDescent="0.55000000000000004">
      <c r="A1009" t="s">
        <v>5631</v>
      </c>
      <c r="B1009" t="s">
        <v>5632</v>
      </c>
      <c r="C1009">
        <v>2022</v>
      </c>
      <c r="D1009" t="s">
        <v>4336</v>
      </c>
      <c r="E1009" t="s">
        <v>4336</v>
      </c>
      <c r="F1009" t="s">
        <v>4336</v>
      </c>
      <c r="G1009" t="s">
        <v>4336</v>
      </c>
      <c r="H1009" t="s">
        <v>4336</v>
      </c>
      <c r="I1009" t="s">
        <v>4336</v>
      </c>
      <c r="J1009" t="s">
        <v>4336</v>
      </c>
      <c r="K1009" t="s">
        <v>4336</v>
      </c>
      <c r="L1009" t="s">
        <v>4336</v>
      </c>
      <c r="M1009" t="s">
        <v>4336</v>
      </c>
      <c r="N1009" t="s">
        <v>4336</v>
      </c>
      <c r="O1009" t="s">
        <v>5633</v>
      </c>
      <c r="P1009" t="s">
        <v>5634</v>
      </c>
      <c r="Q1009" t="s">
        <v>43</v>
      </c>
      <c r="R1009" t="s">
        <v>43</v>
      </c>
      <c r="S1009" t="s">
        <v>28</v>
      </c>
      <c r="T1009" t="s">
        <v>28</v>
      </c>
      <c r="U1009" t="s">
        <v>28</v>
      </c>
      <c r="V1009" t="s">
        <v>28</v>
      </c>
      <c r="W1009" t="s">
        <v>4336</v>
      </c>
      <c r="Y1009" t="s">
        <v>4498</v>
      </c>
      <c r="Z1009" t="s">
        <v>4385</v>
      </c>
      <c r="AA1009" t="s">
        <v>4360</v>
      </c>
      <c r="AB1009" t="s">
        <v>5643</v>
      </c>
      <c r="AC1009" t="s">
        <v>5644</v>
      </c>
      <c r="AF1009" t="s">
        <v>5710</v>
      </c>
      <c r="AG1009" t="s">
        <v>4367</v>
      </c>
      <c r="AH1009" t="s">
        <v>4368</v>
      </c>
      <c r="AI1009" t="s">
        <v>4343</v>
      </c>
      <c r="AJ1009" s="2">
        <v>22</v>
      </c>
      <c r="AK1009" s="2">
        <v>22</v>
      </c>
      <c r="AL1009" t="s">
        <v>5408</v>
      </c>
      <c r="AM1009" t="s">
        <v>5645</v>
      </c>
      <c r="AO1009">
        <v>4</v>
      </c>
      <c r="AP1009" s="2">
        <v>53.806680999999998</v>
      </c>
      <c r="AQ1009" s="2">
        <v>-1.5550330000000001</v>
      </c>
      <c r="AR1009" s="2"/>
      <c r="AS1009" s="1"/>
      <c r="AT1009" s="2">
        <v>20</v>
      </c>
      <c r="AU1009" s="2">
        <v>225</v>
      </c>
      <c r="AV1009" s="21">
        <v>3.4660368141385393E-2</v>
      </c>
      <c r="AW1009" s="17">
        <v>3.360945569478795E-3</v>
      </c>
      <c r="AX1009" t="s">
        <v>5651</v>
      </c>
    </row>
    <row r="1010" spans="1:52" x14ac:dyDescent="0.55000000000000004">
      <c r="A1010" t="s">
        <v>5631</v>
      </c>
      <c r="B1010" t="s">
        <v>5632</v>
      </c>
      <c r="C1010">
        <v>2022</v>
      </c>
      <c r="D1010" t="s">
        <v>4336</v>
      </c>
      <c r="E1010" t="s">
        <v>4336</v>
      </c>
      <c r="F1010" t="s">
        <v>4336</v>
      </c>
      <c r="G1010" t="s">
        <v>4336</v>
      </c>
      <c r="H1010" t="s">
        <v>4336</v>
      </c>
      <c r="I1010" t="s">
        <v>4336</v>
      </c>
      <c r="J1010" t="s">
        <v>4336</v>
      </c>
      <c r="K1010" t="s">
        <v>4336</v>
      </c>
      <c r="L1010" t="s">
        <v>4336</v>
      </c>
      <c r="M1010" t="s">
        <v>4336</v>
      </c>
      <c r="N1010" t="s">
        <v>4336</v>
      </c>
      <c r="O1010" t="s">
        <v>5633</v>
      </c>
      <c r="P1010" t="s">
        <v>5634</v>
      </c>
      <c r="Q1010" t="s">
        <v>43</v>
      </c>
      <c r="R1010" t="s">
        <v>43</v>
      </c>
      <c r="S1010" t="s">
        <v>28</v>
      </c>
      <c r="T1010" t="s">
        <v>28</v>
      </c>
      <c r="U1010" t="s">
        <v>28</v>
      </c>
      <c r="V1010" t="s">
        <v>28</v>
      </c>
      <c r="W1010" t="s">
        <v>4336</v>
      </c>
      <c r="Y1010" t="s">
        <v>4498</v>
      </c>
      <c r="Z1010" t="s">
        <v>4385</v>
      </c>
      <c r="AA1010" t="s">
        <v>4360</v>
      </c>
      <c r="AB1010" t="s">
        <v>4528</v>
      </c>
      <c r="AC1010" t="s">
        <v>5650</v>
      </c>
      <c r="AF1010" t="s">
        <v>5710</v>
      </c>
      <c r="AG1010" t="s">
        <v>4367</v>
      </c>
      <c r="AH1010" t="s">
        <v>4368</v>
      </c>
      <c r="AI1010" t="s">
        <v>4343</v>
      </c>
      <c r="AJ1010" s="2">
        <v>22</v>
      </c>
      <c r="AK1010" s="2">
        <v>22</v>
      </c>
      <c r="AL1010" t="s">
        <v>5408</v>
      </c>
      <c r="AM1010" t="s">
        <v>5645</v>
      </c>
      <c r="AO1010">
        <v>4</v>
      </c>
      <c r="AP1010" s="2">
        <v>53.806680999999998</v>
      </c>
      <c r="AQ1010" s="2">
        <v>-1.5550330000000001</v>
      </c>
      <c r="AR1010" s="2">
        <v>53.33</v>
      </c>
      <c r="AS1010" s="2" t="s">
        <v>5653</v>
      </c>
      <c r="AT1010" s="2">
        <v>20</v>
      </c>
      <c r="AU1010" s="2">
        <v>225</v>
      </c>
      <c r="AV1010" s="21">
        <v>0.16679222622227644</v>
      </c>
      <c r="AW1010" s="17">
        <v>3.360945569478795E-3</v>
      </c>
      <c r="AX1010" t="s">
        <v>5652</v>
      </c>
    </row>
    <row r="1011" spans="1:52" x14ac:dyDescent="0.55000000000000004">
      <c r="A1011" t="s">
        <v>4217</v>
      </c>
      <c r="B1011" t="s">
        <v>4218</v>
      </c>
      <c r="C1011">
        <v>1990</v>
      </c>
      <c r="D1011" t="s">
        <v>53</v>
      </c>
      <c r="E1011">
        <v>22</v>
      </c>
      <c r="F1011">
        <v>4</v>
      </c>
      <c r="H1011">
        <v>449</v>
      </c>
      <c r="I1011">
        <v>455</v>
      </c>
      <c r="K1011" s="2" t="s">
        <v>4219</v>
      </c>
      <c r="L1011" s="2" t="s">
        <v>4220</v>
      </c>
      <c r="M1011" t="s">
        <v>5318</v>
      </c>
      <c r="O1011" t="s">
        <v>26</v>
      </c>
      <c r="P1011" t="s">
        <v>27</v>
      </c>
      <c r="Q1011" t="s">
        <v>43</v>
      </c>
      <c r="R1011" t="s">
        <v>43</v>
      </c>
      <c r="S1011" t="s">
        <v>28</v>
      </c>
      <c r="T1011" t="s">
        <v>28</v>
      </c>
      <c r="U1011" t="s">
        <v>28</v>
      </c>
      <c r="V1011" t="s">
        <v>28</v>
      </c>
      <c r="W1011" s="16" t="s">
        <v>5629</v>
      </c>
      <c r="X1011" t="s">
        <v>5624</v>
      </c>
      <c r="Y1011" t="s">
        <v>4495</v>
      </c>
      <c r="Z1011" t="s">
        <v>4358</v>
      </c>
      <c r="AA1011" t="s">
        <v>5369</v>
      </c>
      <c r="AB1011" t="s">
        <v>4471</v>
      </c>
      <c r="AC1011" t="s">
        <v>5675</v>
      </c>
      <c r="AE1011" t="s">
        <v>5709</v>
      </c>
      <c r="AF1011" t="s">
        <v>4356</v>
      </c>
      <c r="AG1011" t="s">
        <v>4419</v>
      </c>
      <c r="AH1011" t="s">
        <v>4420</v>
      </c>
      <c r="AI1011" t="s">
        <v>4343</v>
      </c>
      <c r="AJ1011">
        <f>5*24</f>
        <v>120</v>
      </c>
      <c r="AK1011">
        <f>24*7</f>
        <v>168</v>
      </c>
      <c r="AL1011" t="s">
        <v>5408</v>
      </c>
      <c r="AM1011" t="s">
        <v>4334</v>
      </c>
      <c r="AO1011">
        <v>4</v>
      </c>
      <c r="AP1011">
        <v>37.871898999999999</v>
      </c>
      <c r="AQ1011">
        <v>-122.25854</v>
      </c>
      <c r="AV1011" s="19">
        <v>34</v>
      </c>
      <c r="AW1011">
        <v>2</v>
      </c>
      <c r="AX1011" t="s">
        <v>5676</v>
      </c>
    </row>
    <row r="1012" spans="1:52" x14ac:dyDescent="0.55000000000000004">
      <c r="A1012" t="s">
        <v>5686</v>
      </c>
      <c r="B1012" t="s">
        <v>5687</v>
      </c>
      <c r="C1012">
        <v>2022</v>
      </c>
      <c r="D1012" t="s">
        <v>1771</v>
      </c>
      <c r="E1012">
        <v>376</v>
      </c>
      <c r="H1012" t="s">
        <v>5688</v>
      </c>
      <c r="K1012" s="2" t="s">
        <v>5689</v>
      </c>
      <c r="M1012" t="s">
        <v>5690</v>
      </c>
      <c r="O1012" t="s">
        <v>26</v>
      </c>
      <c r="P1012" t="s">
        <v>4384</v>
      </c>
      <c r="Q1012" t="s">
        <v>43</v>
      </c>
      <c r="R1012" t="s">
        <v>28</v>
      </c>
      <c r="S1012" t="s">
        <v>28</v>
      </c>
      <c r="T1012" t="s">
        <v>28</v>
      </c>
      <c r="U1012" t="s">
        <v>43</v>
      </c>
      <c r="V1012" t="s">
        <v>28</v>
      </c>
      <c r="W1012" t="s">
        <v>4336</v>
      </c>
      <c r="AV1012" s="21"/>
      <c r="AZ1012" s="19" t="s">
        <v>5691</v>
      </c>
    </row>
  </sheetData>
  <hyperlinks>
    <hyperlink ref="L23" r:id="rId1" xr:uid="{00000000-0004-0000-0000-000000000000}"/>
    <hyperlink ref="L24" r:id="rId2" xr:uid="{00000000-0004-0000-0000-000001000000}"/>
    <hyperlink ref="L25" r:id="rId3" xr:uid="{00000000-0004-0000-0000-000002000000}"/>
    <hyperlink ref="L2" r:id="rId4" xr:uid="{A1BE649A-68B0-4721-B294-DB9BF70DB6FE}"/>
    <hyperlink ref="L188" r:id="rId5" tooltip="Persistent link using digital object identifier" xr:uid="{06A901B7-3720-47F6-8E2B-7E8F9A150064}"/>
    <hyperlink ref="K188" r:id="rId6" tooltip="Persistent link using digital object identifier" display="https://doi.org/10.1016/j.soilbio.2003.08.026" xr:uid="{FA6CBEBF-C95F-4D9B-ACF3-EC36AAF12BB8}"/>
    <hyperlink ref="L189" r:id="rId7" tooltip="Persistent link using digital object identifier" xr:uid="{BD47288F-BA83-4B75-9743-53708021C51E}"/>
    <hyperlink ref="L190" r:id="rId8" tooltip="Persistent link using digital object identifier" xr:uid="{4EBEDEAB-C227-4022-91D4-569FF211A368}"/>
    <hyperlink ref="L191" r:id="rId9" tooltip="Persistent link using digital object identifier" xr:uid="{0D3CCE2C-F48E-448B-86EA-A48AADE5B74A}"/>
    <hyperlink ref="L192" r:id="rId10" tooltip="Persistent link using digital object identifier" xr:uid="{EB477D09-8783-46DF-B287-8594074CB005}"/>
    <hyperlink ref="L193" r:id="rId11" tooltip="Persistent link using digital object identifier" xr:uid="{1D59208A-90A8-4603-9BB1-04F8A8B8C7C5}"/>
    <hyperlink ref="K189" r:id="rId12" tooltip="Persistent link using digital object identifier" display="https://doi.org/10.1016/j.soilbio.2003.08.026" xr:uid="{F0F7CDA4-E2D0-4A88-85F1-F8698B484ABE}"/>
    <hyperlink ref="K190" r:id="rId13" tooltip="Persistent link using digital object identifier" display="https://doi.org/10.1016/j.soilbio.2003.08.026" xr:uid="{7DAC610D-B73E-4428-9E1B-C9B8D96FF996}"/>
    <hyperlink ref="K191" r:id="rId14" tooltip="Persistent link using digital object identifier" display="https://doi.org/10.1016/j.soilbio.2003.08.026" xr:uid="{CAF229B1-8966-4AC5-A3FC-C30036834D3E}"/>
    <hyperlink ref="K192" r:id="rId15" tooltip="Persistent link using digital object identifier" display="https://doi.org/10.1016/j.soilbio.2003.08.026" xr:uid="{7030C469-71A5-4CAA-9F4F-B766A942F694}"/>
    <hyperlink ref="K193" r:id="rId16" tooltip="Persistent link using digital object identifier" display="https://doi.org/10.1016/j.soilbio.2003.08.026" xr:uid="{0765F5AC-6BD3-4674-AFC1-E74665D46996}"/>
    <hyperlink ref="L194" r:id="rId17" tooltip="Persistent link using digital object identifier" xr:uid="{73206CDC-27C5-4067-BED1-D6032CA3F3FE}"/>
    <hyperlink ref="K194" r:id="rId18" tooltip="Persistent link using digital object identifier" display="https://doi.org/10.1016/j.soilbio.2003.08.026" xr:uid="{02A22706-9A5D-400E-A841-8004437EC082}"/>
    <hyperlink ref="L195" r:id="rId19" tooltip="Persistent link using digital object identifier" xr:uid="{84028A9D-6CD3-4BF4-9942-6773A3EBE3BB}"/>
    <hyperlink ref="L196" r:id="rId20" tooltip="Persistent link using digital object identifier" xr:uid="{7807E0A9-E9EC-4F1E-AB22-9B390A7FF00D}"/>
    <hyperlink ref="L197" r:id="rId21" tooltip="Persistent link using digital object identifier" xr:uid="{B014A78A-2F4C-4A64-A382-77A0EE70E3D4}"/>
    <hyperlink ref="L198" r:id="rId22" tooltip="Persistent link using digital object identifier" xr:uid="{C2F79B42-37A2-475A-AC2B-9C0DF0B0F7F9}"/>
    <hyperlink ref="L199" r:id="rId23" tooltip="Persistent link using digital object identifier" xr:uid="{6B3905C9-EA03-48D7-9D1C-E76F7C8DC24E}"/>
    <hyperlink ref="K195" r:id="rId24" tooltip="Persistent link using digital object identifier" display="https://doi.org/10.1016/j.soilbio.2003.08.026" xr:uid="{20BA5AAB-4529-4435-AB7F-E4A5AF0AC589}"/>
    <hyperlink ref="K196" r:id="rId25" tooltip="Persistent link using digital object identifier" display="https://doi.org/10.1016/j.soilbio.2003.08.026" xr:uid="{92BC001B-DAD4-4248-87AB-B82CA61A0E21}"/>
    <hyperlink ref="K197" r:id="rId26" tooltip="Persistent link using digital object identifier" display="https://doi.org/10.1016/j.soilbio.2003.08.026" xr:uid="{155005C1-85DC-468B-B0B0-60115063D6D7}"/>
    <hyperlink ref="K198" r:id="rId27" tooltip="Persistent link using digital object identifier" display="https://doi.org/10.1016/j.soilbio.2003.08.026" xr:uid="{2247C21E-2053-4A44-A904-5316AEBB952E}"/>
    <hyperlink ref="K199" r:id="rId28" tooltip="Persistent link using digital object identifier" display="https://doi.org/10.1016/j.soilbio.2003.08.026" xr:uid="{70CFA5CD-8450-414A-81DE-ACD0964B252E}"/>
    <hyperlink ref="L200" r:id="rId29" tooltip="Persistent link using digital object identifier" xr:uid="{32EB37CE-FEA7-4A37-A137-1F122C660F9D}"/>
    <hyperlink ref="K200" r:id="rId30" tooltip="Persistent link using digital object identifier" display="https://doi.org/10.1016/j.soilbio.2003.08.026" xr:uid="{C2B47BE0-0F28-4D9F-A65B-327112DA3575}"/>
    <hyperlink ref="L201" r:id="rId31" tooltip="Persistent link using digital object identifier" xr:uid="{ABD157E2-534A-418E-81B2-992471352EED}"/>
    <hyperlink ref="L202" r:id="rId32" tooltip="Persistent link using digital object identifier" xr:uid="{8F781798-FCFA-49D5-A97D-15BB0240AA6E}"/>
    <hyperlink ref="L203" r:id="rId33" tooltip="Persistent link using digital object identifier" xr:uid="{174AC3C5-3068-4105-8836-7F53BA0E1C19}"/>
    <hyperlink ref="L204" r:id="rId34" tooltip="Persistent link using digital object identifier" xr:uid="{20B9C984-E9F5-493B-AF23-9AC95F306EB8}"/>
    <hyperlink ref="L205" r:id="rId35" tooltip="Persistent link using digital object identifier" xr:uid="{1D2951F8-CDEC-4B4C-8581-60D5DBFC518B}"/>
    <hyperlink ref="K201" r:id="rId36" tooltip="Persistent link using digital object identifier" display="https://doi.org/10.1016/j.soilbio.2003.08.026" xr:uid="{76DBC65D-5BA7-4E75-A812-9D13335CB3F7}"/>
    <hyperlink ref="K202" r:id="rId37" tooltip="Persistent link using digital object identifier" display="https://doi.org/10.1016/j.soilbio.2003.08.026" xr:uid="{96737FDB-8603-4DA0-A548-2D561FD365CA}"/>
    <hyperlink ref="K203" r:id="rId38" tooltip="Persistent link using digital object identifier" display="https://doi.org/10.1016/j.soilbio.2003.08.026" xr:uid="{7B284CFF-7E26-42F3-B35F-015F7C91D32E}"/>
    <hyperlink ref="K204" r:id="rId39" tooltip="Persistent link using digital object identifier" display="https://doi.org/10.1016/j.soilbio.2003.08.026" xr:uid="{5FDD65AE-B715-44A4-AB15-AB27F3812290}"/>
    <hyperlink ref="K205" r:id="rId40" tooltip="Persistent link using digital object identifier" display="https://doi.org/10.1016/j.soilbio.2003.08.026" xr:uid="{67D5B64B-A4B1-4C16-822E-941DFA7A2C8E}"/>
    <hyperlink ref="L182" r:id="rId41" xr:uid="{BCFC00EF-F863-4A0B-A3C5-89577FE42236}"/>
    <hyperlink ref="L99" r:id="rId42" xr:uid="{22E51A22-650B-4244-8D5E-D0C7EAB455A9}"/>
    <hyperlink ref="K99" r:id="rId43" display="https://doi.org/10.1046/j.1469-8137.2000.00610.x" xr:uid="{853FE236-2F70-489E-B331-11D461D571F5}"/>
    <hyperlink ref="L100" r:id="rId44" xr:uid="{938A3876-F4B5-4230-8A23-A9474FDBD15F}"/>
    <hyperlink ref="L101" r:id="rId45" xr:uid="{A1A03EC3-D0E6-4823-965E-1FBFD5E119AB}"/>
    <hyperlink ref="L102" r:id="rId46" xr:uid="{68CF4753-74AB-40B1-A27B-63ACF184D880}"/>
    <hyperlink ref="K100" r:id="rId47" display="https://doi.org/10.1046/j.1469-8137.2000.00610.x" xr:uid="{615EC9DA-7469-437B-B049-42D5AEFA0ECE}"/>
    <hyperlink ref="K101" r:id="rId48" display="https://doi.org/10.1046/j.1469-8137.2000.00610.x" xr:uid="{AC186C5A-36E8-40D4-ACF3-1B2CC003DF23}"/>
    <hyperlink ref="K102" r:id="rId49" display="https://doi.org/10.1046/j.1469-8137.2000.00610.x" xr:uid="{40C3F1E3-78B3-4A9C-8B9A-1E3DAD9B7C9F}"/>
    <hyperlink ref="L103" r:id="rId50" xr:uid="{34063095-AA0C-4F5E-B7E7-7CA1BFF138F8}"/>
    <hyperlink ref="K103" r:id="rId51" display="https://doi.org/10.1046/j.1469-8137.2001.00010.x" xr:uid="{2EF5DECB-A831-4743-877F-B100F5556BEC}"/>
  </hyperlinks>
  <pageMargins left="0.7" right="0.7" top="0.75" bottom="0.75" header="0.3" footer="0.3"/>
  <pageSetup orientation="portrait" r:id="rId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57326-D0D1-47F8-BB6B-6BBDC3356C5B}">
  <dimension ref="A1:B53"/>
  <sheetViews>
    <sheetView topLeftCell="A26" workbookViewId="0">
      <selection activeCell="B54" sqref="B54"/>
    </sheetView>
  </sheetViews>
  <sheetFormatPr defaultRowHeight="14.4" x14ac:dyDescent="0.55000000000000004"/>
  <cols>
    <col min="1" max="1" width="26.15625" customWidth="1"/>
  </cols>
  <sheetData>
    <row r="1" spans="1:2" x14ac:dyDescent="0.55000000000000004">
      <c r="A1" t="s">
        <v>5714</v>
      </c>
      <c r="B1" t="s">
        <v>5715</v>
      </c>
    </row>
    <row r="2" spans="1:2" x14ac:dyDescent="0.55000000000000004">
      <c r="A2" t="s">
        <v>0</v>
      </c>
      <c r="B2" t="s">
        <v>5716</v>
      </c>
    </row>
    <row r="3" spans="1:2" x14ac:dyDescent="0.55000000000000004">
      <c r="A3" t="s">
        <v>1</v>
      </c>
      <c r="B3" t="s">
        <v>5717</v>
      </c>
    </row>
    <row r="4" spans="1:2" x14ac:dyDescent="0.55000000000000004">
      <c r="A4" t="s">
        <v>2</v>
      </c>
      <c r="B4" t="s">
        <v>5718</v>
      </c>
    </row>
    <row r="5" spans="1:2" x14ac:dyDescent="0.55000000000000004">
      <c r="A5" t="s">
        <v>3</v>
      </c>
      <c r="B5" t="s">
        <v>5719</v>
      </c>
    </row>
    <row r="6" spans="1:2" x14ac:dyDescent="0.55000000000000004">
      <c r="A6" t="s">
        <v>4</v>
      </c>
      <c r="B6" t="s">
        <v>5720</v>
      </c>
    </row>
    <row r="7" spans="1:2" x14ac:dyDescent="0.55000000000000004">
      <c r="A7" t="s">
        <v>5</v>
      </c>
      <c r="B7" t="s">
        <v>5721</v>
      </c>
    </row>
    <row r="8" spans="1:2" x14ac:dyDescent="0.55000000000000004">
      <c r="A8" t="s">
        <v>6</v>
      </c>
    </row>
    <row r="9" spans="1:2" x14ac:dyDescent="0.55000000000000004">
      <c r="A9" t="s">
        <v>7</v>
      </c>
      <c r="B9" t="s">
        <v>5722</v>
      </c>
    </row>
    <row r="10" spans="1:2" x14ac:dyDescent="0.55000000000000004">
      <c r="A10" t="s">
        <v>8</v>
      </c>
      <c r="B10" t="s">
        <v>5723</v>
      </c>
    </row>
    <row r="11" spans="1:2" x14ac:dyDescent="0.55000000000000004">
      <c r="A11" t="s">
        <v>9</v>
      </c>
      <c r="B11" t="s">
        <v>5724</v>
      </c>
    </row>
    <row r="12" spans="1:2" x14ac:dyDescent="0.55000000000000004">
      <c r="A12" s="2" t="s">
        <v>10</v>
      </c>
      <c r="B12" t="s">
        <v>5726</v>
      </c>
    </row>
    <row r="13" spans="1:2" x14ac:dyDescent="0.55000000000000004">
      <c r="A13" s="2" t="s">
        <v>11</v>
      </c>
      <c r="B13" t="s">
        <v>5725</v>
      </c>
    </row>
    <row r="14" spans="1:2" x14ac:dyDescent="0.55000000000000004">
      <c r="A14" t="s">
        <v>12</v>
      </c>
      <c r="B14" t="s">
        <v>5727</v>
      </c>
    </row>
    <row r="15" spans="1:2" x14ac:dyDescent="0.55000000000000004">
      <c r="A15" t="s">
        <v>13</v>
      </c>
      <c r="B15" t="s">
        <v>5728</v>
      </c>
    </row>
    <row r="16" spans="1:2" x14ac:dyDescent="0.55000000000000004">
      <c r="A16" t="s">
        <v>14</v>
      </c>
      <c r="B16" t="s">
        <v>5729</v>
      </c>
    </row>
    <row r="17" spans="1:2" x14ac:dyDescent="0.55000000000000004">
      <c r="A17" t="s">
        <v>15</v>
      </c>
      <c r="B17" t="s">
        <v>5730</v>
      </c>
    </row>
    <row r="18" spans="1:2" x14ac:dyDescent="0.55000000000000004">
      <c r="A18" t="s">
        <v>16</v>
      </c>
      <c r="B18" t="s">
        <v>5731</v>
      </c>
    </row>
    <row r="19" spans="1:2" x14ac:dyDescent="0.55000000000000004">
      <c r="A19" t="s">
        <v>4559</v>
      </c>
      <c r="B19" t="s">
        <v>5732</v>
      </c>
    </row>
    <row r="20" spans="1:2" x14ac:dyDescent="0.55000000000000004">
      <c r="A20" t="s">
        <v>4561</v>
      </c>
      <c r="B20" t="s">
        <v>5733</v>
      </c>
    </row>
    <row r="21" spans="1:2" x14ac:dyDescent="0.55000000000000004">
      <c r="A21" t="s">
        <v>17</v>
      </c>
      <c r="B21" t="s">
        <v>5734</v>
      </c>
    </row>
    <row r="22" spans="1:2" x14ac:dyDescent="0.55000000000000004">
      <c r="A22" t="s">
        <v>4560</v>
      </c>
      <c r="B22" t="s">
        <v>5735</v>
      </c>
    </row>
    <row r="23" spans="1:2" x14ac:dyDescent="0.55000000000000004">
      <c r="A23" t="s">
        <v>18</v>
      </c>
      <c r="B23" t="s">
        <v>5736</v>
      </c>
    </row>
    <row r="24" spans="1:2" x14ac:dyDescent="0.55000000000000004">
      <c r="A24" t="s">
        <v>4565</v>
      </c>
      <c r="B24" t="s">
        <v>5737</v>
      </c>
    </row>
    <row r="25" spans="1:2" x14ac:dyDescent="0.55000000000000004">
      <c r="A25" t="s">
        <v>4493</v>
      </c>
      <c r="B25" t="s">
        <v>5738</v>
      </c>
    </row>
    <row r="26" spans="1:2" x14ac:dyDescent="0.55000000000000004">
      <c r="A26" t="s">
        <v>4494</v>
      </c>
      <c r="B26" t="s">
        <v>5739</v>
      </c>
    </row>
    <row r="27" spans="1:2" x14ac:dyDescent="0.55000000000000004">
      <c r="A27" t="s">
        <v>4364</v>
      </c>
      <c r="B27" t="s">
        <v>5740</v>
      </c>
    </row>
    <row r="28" spans="1:2" x14ac:dyDescent="0.55000000000000004">
      <c r="A28" t="s">
        <v>5368</v>
      </c>
      <c r="B28" t="s">
        <v>5741</v>
      </c>
    </row>
    <row r="29" spans="1:2" x14ac:dyDescent="0.55000000000000004">
      <c r="A29" t="s">
        <v>4361</v>
      </c>
      <c r="B29" t="s">
        <v>5742</v>
      </c>
    </row>
    <row r="30" spans="1:2" x14ac:dyDescent="0.55000000000000004">
      <c r="A30" t="s">
        <v>4362</v>
      </c>
      <c r="B30" t="s">
        <v>5743</v>
      </c>
    </row>
    <row r="31" spans="1:2" x14ac:dyDescent="0.55000000000000004">
      <c r="A31" t="s">
        <v>4363</v>
      </c>
      <c r="B31" t="s">
        <v>5744</v>
      </c>
    </row>
    <row r="32" spans="1:2" x14ac:dyDescent="0.55000000000000004">
      <c r="A32" t="s">
        <v>5707</v>
      </c>
      <c r="B32" t="s">
        <v>5745</v>
      </c>
    </row>
    <row r="33" spans="1:2" x14ac:dyDescent="0.55000000000000004">
      <c r="A33" t="s">
        <v>4365</v>
      </c>
      <c r="B33" t="s">
        <v>5746</v>
      </c>
    </row>
    <row r="34" spans="1:2" x14ac:dyDescent="0.55000000000000004">
      <c r="A34" t="s">
        <v>4366</v>
      </c>
      <c r="B34" t="s">
        <v>5747</v>
      </c>
    </row>
    <row r="35" spans="1:2" x14ac:dyDescent="0.55000000000000004">
      <c r="A35" t="s">
        <v>4580</v>
      </c>
      <c r="B35" t="s">
        <v>5748</v>
      </c>
    </row>
    <row r="36" spans="1:2" x14ac:dyDescent="0.55000000000000004">
      <c r="A36" t="s">
        <v>4344</v>
      </c>
      <c r="B36" t="s">
        <v>5749</v>
      </c>
    </row>
    <row r="37" spans="1:2" x14ac:dyDescent="0.55000000000000004">
      <c r="A37" t="s">
        <v>4395</v>
      </c>
      <c r="B37" t="s">
        <v>5750</v>
      </c>
    </row>
    <row r="38" spans="1:2" x14ac:dyDescent="0.55000000000000004">
      <c r="A38" t="s">
        <v>4396</v>
      </c>
      <c r="B38" t="s">
        <v>5751</v>
      </c>
    </row>
    <row r="39" spans="1:2" x14ac:dyDescent="0.55000000000000004">
      <c r="A39" t="s">
        <v>5623</v>
      </c>
      <c r="B39" t="s">
        <v>5752</v>
      </c>
    </row>
    <row r="40" spans="1:2" x14ac:dyDescent="0.55000000000000004">
      <c r="A40" t="s">
        <v>4333</v>
      </c>
      <c r="B40" t="s">
        <v>5753</v>
      </c>
    </row>
    <row r="41" spans="1:2" x14ac:dyDescent="0.55000000000000004">
      <c r="A41" t="s">
        <v>4553</v>
      </c>
      <c r="B41" t="s">
        <v>5754</v>
      </c>
    </row>
    <row r="42" spans="1:2" x14ac:dyDescent="0.55000000000000004">
      <c r="A42" t="s">
        <v>28</v>
      </c>
      <c r="B42" t="s">
        <v>5755</v>
      </c>
    </row>
    <row r="43" spans="1:2" x14ac:dyDescent="0.55000000000000004">
      <c r="A43" t="s">
        <v>4331</v>
      </c>
      <c r="B43" t="s">
        <v>5756</v>
      </c>
    </row>
    <row r="44" spans="1:2" x14ac:dyDescent="0.55000000000000004">
      <c r="A44" t="s">
        <v>4332</v>
      </c>
      <c r="B44" t="s">
        <v>5757</v>
      </c>
    </row>
    <row r="45" spans="1:2" x14ac:dyDescent="0.55000000000000004">
      <c r="A45" t="s">
        <v>4329</v>
      </c>
      <c r="B45" t="s">
        <v>5758</v>
      </c>
    </row>
    <row r="46" spans="1:2" x14ac:dyDescent="0.55000000000000004">
      <c r="A46" t="s">
        <v>4340</v>
      </c>
      <c r="B46" t="s">
        <v>5759</v>
      </c>
    </row>
    <row r="47" spans="1:2" x14ac:dyDescent="0.55000000000000004">
      <c r="A47" t="s">
        <v>4330</v>
      </c>
      <c r="B47" t="s">
        <v>5760</v>
      </c>
    </row>
    <row r="48" spans="1:2" x14ac:dyDescent="0.55000000000000004">
      <c r="A48" t="s">
        <v>4335</v>
      </c>
      <c r="B48" t="s">
        <v>5761</v>
      </c>
    </row>
    <row r="49" spans="1:2" x14ac:dyDescent="0.55000000000000004">
      <c r="A49" s="19" t="s">
        <v>4397</v>
      </c>
      <c r="B49" t="s">
        <v>5762</v>
      </c>
    </row>
    <row r="50" spans="1:2" x14ac:dyDescent="0.55000000000000004">
      <c r="A50" t="s">
        <v>4398</v>
      </c>
      <c r="B50" t="s">
        <v>5763</v>
      </c>
    </row>
    <row r="51" spans="1:2" x14ac:dyDescent="0.55000000000000004">
      <c r="A51" t="s">
        <v>4342</v>
      </c>
      <c r="B51" t="s">
        <v>4342</v>
      </c>
    </row>
    <row r="52" spans="1:2" x14ac:dyDescent="0.55000000000000004">
      <c r="A52" t="s">
        <v>5467</v>
      </c>
      <c r="B52" t="s">
        <v>5764</v>
      </c>
    </row>
    <row r="53" spans="1:2" x14ac:dyDescent="0.55000000000000004">
      <c r="A53" s="19" t="s">
        <v>5428</v>
      </c>
      <c r="B53" t="s">
        <v>5765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scopus1</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Heidi-Jayne Hawkins</cp:lastModifiedBy>
  <dcterms:created xsi:type="dcterms:W3CDTF">2022-06-11T11:31:44Z</dcterms:created>
  <dcterms:modified xsi:type="dcterms:W3CDTF">2022-11-04T11:24:52Z</dcterms:modified>
</cp:coreProperties>
</file>